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GW_PartnerManagementActivities" sheetId="2" r:id="rId6"/>
    <sheet state="visible" name="GW_TechOpsActivities" sheetId="3" r:id="rId7"/>
    <sheet state="visible" name="GW_MarketingActivities" sheetId="4" r:id="rId8"/>
    <sheet state="visible" name="GW_IntegrationComplianceActivit" sheetId="5" r:id="rId9"/>
    <sheet state="visible" name="Approvals2026" sheetId="6" r:id="rId10"/>
    <sheet state="visible" name="2026Flow" sheetId="7" r:id="rId11"/>
    <sheet state="visible" name="MondayData" sheetId="8" r:id="rId12"/>
    <sheet state="visible" name="GWMondayData" sheetId="9" r:id="rId13"/>
    <sheet state="visible" name="GW_MarketplaceActivities" sheetId="10" r:id="rId14"/>
    <sheet state="visible" name="MarketingApproval" sheetId="11" r:id="rId15"/>
    <sheet state="visible" name="AllianceManager" sheetId="12" r:id="rId16"/>
    <sheet state="visible" name="TechAllianceManager" sheetId="13" r:id="rId17"/>
    <sheet state="visible" name="MondayDashboard" sheetId="14" r:id="rId18"/>
    <sheet state="visible" name="InternalBoards" sheetId="15" r:id="rId19"/>
    <sheet state="visible" name="MarketingCalendar" sheetId="16" r:id="rId20"/>
    <sheet state="visible" name="PartnerTranslate" sheetId="17" r:id="rId21"/>
    <sheet state="visible" name="Partner" sheetId="18" r:id="rId22"/>
    <sheet state="visible" name="MarketingCalendarStats" sheetId="19" r:id="rId23"/>
    <sheet state="visible" name="PartnerContacts" sheetId="20" r:id="rId24"/>
    <sheet state="visible" name="Inventory" sheetId="21" r:id="rId25"/>
  </sheets>
  <definedNames/>
  <calcPr/>
</workbook>
</file>

<file path=xl/sharedStrings.xml><?xml version="1.0" encoding="utf-8"?>
<sst xmlns="http://schemas.openxmlformats.org/spreadsheetml/2006/main" count="6773" uniqueCount="1609">
  <si>
    <t>Dev</t>
  </si>
  <si>
    <t>https://script.google.com/a/macros/guidewire.com/s/AKfycbyjf46mo1ApBnirDnxmh_9igX15IHnJkS__iaEEncYpK9r_3c0v7RGj9OIw6-AXWw6U/exec</t>
  </si>
  <si>
    <t>Call Temp Viewer</t>
  </si>
  <si>
    <t>Prod</t>
  </si>
  <si>
    <t>https://script.google.com/a/macros/guidewire.com/s/AKfycbws76mywSxgOcVNWcYZ5SsPXMLQG3JCIR9mYIbzxOPMkDguQtOVaHxWuBa3EmfxZlkF/exec</t>
  </si>
  <si>
    <t>Tim Kennedy</t>
  </si>
  <si>
    <t>marketingmanager</t>
  </si>
  <si>
    <t>link w/page</t>
  </si>
  <si>
    <t xml:space="preserve">both </t>
  </si>
  <si>
    <t>Item Name</t>
  </si>
  <si>
    <t>Group</t>
  </si>
  <si>
    <t>Board Name</t>
  </si>
  <si>
    <t>Partner Name</t>
  </si>
  <si>
    <t>Monday Item ID</t>
  </si>
  <si>
    <t>Board ID</t>
  </si>
  <si>
    <t>Activity Status</t>
  </si>
  <si>
    <t>Owner</t>
  </si>
  <si>
    <t>Assigned To</t>
  </si>
  <si>
    <t>Importance</t>
  </si>
  <si>
    <t>Activity Type</t>
  </si>
  <si>
    <t>Date Created</t>
  </si>
  <si>
    <t>Date Due</t>
  </si>
  <si>
    <t>Actual Completion</t>
  </si>
  <si>
    <t>Files</t>
  </si>
  <si>
    <t>Comments/Notes</t>
  </si>
  <si>
    <t>Subitems</t>
  </si>
  <si>
    <t>Tech Board Type</t>
  </si>
  <si>
    <t>Alliance Manager</t>
  </si>
  <si>
    <t>another test again</t>
  </si>
  <si>
    <t>Open Items</t>
  </si>
  <si>
    <t>Partner Management Activities</t>
  </si>
  <si>
    <t>In Progress</t>
  </si>
  <si>
    <t>Eric Apse</t>
  </si>
  <si>
    <t>1. Urgent</t>
  </si>
  <si>
    <t>Referal</t>
  </si>
  <si>
    <t>just more test</t>
  </si>
  <si>
    <t>Make sure your parter is certified asap</t>
  </si>
  <si>
    <t>Partner Management</t>
  </si>
  <si>
    <t>test</t>
  </si>
  <si>
    <t>5. N/A</t>
  </si>
  <si>
    <t>TechAll Marketing</t>
  </si>
  <si>
    <t>test 2</t>
  </si>
  <si>
    <t>Marketplace</t>
  </si>
  <si>
    <t>test 3</t>
  </si>
  <si>
    <t>test3 new</t>
  </si>
  <si>
    <t>Halted</t>
  </si>
  <si>
    <t>tim test</t>
  </si>
  <si>
    <t>Blockers</t>
  </si>
  <si>
    <t>none</t>
  </si>
  <si>
    <t>Tech Ops Activities</t>
  </si>
  <si>
    <t>Kayla Page</t>
  </si>
  <si>
    <t>Validation</t>
  </si>
  <si>
    <t>Test</t>
  </si>
  <si>
    <t>Integration Compliance Activities</t>
  </si>
  <si>
    <t>Richard Pauly</t>
  </si>
  <si>
    <t>Event URL</t>
  </si>
  <si>
    <t>Event Date Range and Location</t>
  </si>
  <si>
    <t>Decision Date By</t>
  </si>
  <si>
    <t>Primary Objectives</t>
  </si>
  <si>
    <t>Requestor</t>
  </si>
  <si>
    <t>Total Cost</t>
  </si>
  <si>
    <t>Non-participation Risks</t>
  </si>
  <si>
    <t>Funding Type</t>
  </si>
  <si>
    <t>MDF Requested</t>
  </si>
  <si>
    <t>AWS MDF Requested</t>
  </si>
  <si>
    <t>Business Rational</t>
  </si>
  <si>
    <t>Strategic Fit</t>
  </si>
  <si>
    <t>Estimaged Attendees</t>
  </si>
  <si>
    <t>Named Customers/Prospects</t>
  </si>
  <si>
    <t>Target Personas</t>
  </si>
  <si>
    <t>Partner Recruitment Target</t>
  </si>
  <si>
    <t>Delivery Type</t>
  </si>
  <si>
    <t>Overall Status</t>
  </si>
  <si>
    <t>Sponsor Costs</t>
  </si>
  <si>
    <t>Other Costs</t>
  </si>
  <si>
    <t>AllianceManager</t>
  </si>
  <si>
    <t>Partner</t>
  </si>
  <si>
    <t>Market Position/Scale</t>
  </si>
  <si>
    <t>Joint Customers</t>
  </si>
  <si>
    <t>Integration Status</t>
  </si>
  <si>
    <t>Recent joint Activities</t>
  </si>
  <si>
    <t>Near Term Strategic Exploration</t>
  </si>
  <si>
    <t>Event Lead (AM)</t>
  </si>
  <si>
    <t>Onsite Team</t>
  </si>
  <si>
    <t>Speaker/Abstract/SessionTitle/link</t>
  </si>
  <si>
    <t>Assets and Demo</t>
  </si>
  <si>
    <t>SWAG Type/quantity</t>
  </si>
  <si>
    <t>Other Assets</t>
  </si>
  <si>
    <t>Dependencies</t>
  </si>
  <si>
    <t>Requesting Department</t>
  </si>
  <si>
    <t>Partner Marketing Resources</t>
  </si>
  <si>
    <t>Product Marketing Resources</t>
  </si>
  <si>
    <t>Pre-event activation plan</t>
  </si>
  <si>
    <t>Onsite event activation plan</t>
  </si>
  <si>
    <t>Post-event activation plan</t>
  </si>
  <si>
    <t>Post Event Report Due</t>
  </si>
  <si>
    <t>New Leads</t>
  </si>
  <si>
    <t>Meetings Held</t>
  </si>
  <si>
    <t>Opportunities Created</t>
  </si>
  <si>
    <t>Pipleline $ Influenced</t>
  </si>
  <si>
    <t>Boothscans</t>
  </si>
  <si>
    <t>Brand/Media impressions</t>
  </si>
  <si>
    <t>Customer Feedback/Testimonials</t>
  </si>
  <si>
    <t>Competitive Insights</t>
  </si>
  <si>
    <t>Learnings for Nextyear</t>
  </si>
  <si>
    <t>Prospectus URL</t>
  </si>
  <si>
    <t>Prospectus File Upload</t>
  </si>
  <si>
    <t>Recommended Sponsor Tier</t>
  </si>
  <si>
    <t>Other MPO</t>
  </si>
  <si>
    <t>SME Speakers</t>
  </si>
  <si>
    <t>Panel Content</t>
  </si>
  <si>
    <t>Industry Tradeshow/conference</t>
  </si>
  <si>
    <t>Guidewire Trade Show</t>
  </si>
  <si>
    <t>1:1 Description</t>
  </si>
  <si>
    <t>1:1 Region</t>
  </si>
  <si>
    <t>Event Start Date</t>
  </si>
  <si>
    <t>Create Date</t>
  </si>
  <si>
    <t>Form Navigation</t>
  </si>
  <si>
    <t>Scope Document Public URL</t>
  </si>
  <si>
    <t>Test from Tim</t>
  </si>
  <si>
    <t>Incoming</t>
  </si>
  <si>
    <t>2026 Approvals</t>
  </si>
  <si>
    <t>Marketing Team</t>
  </si>
  <si>
    <t>Customer Story Capture, MQL Generation</t>
  </si>
  <si>
    <t>None</t>
  </si>
  <si>
    <t>Partner Funding Request</t>
  </si>
  <si>
    <t>Guidewire Trade Show or Conf (Partner Participation Request)</t>
  </si>
  <si>
    <t>Submitted</t>
  </si>
  <si>
    <t>Medium</t>
  </si>
  <si>
    <t>n/a</t>
  </si>
  <si>
    <t>Exec Summary</t>
  </si>
  <si>
    <t>Ignore</t>
  </si>
  <si>
    <t>Column ID</t>
  </si>
  <si>
    <t>Mandatory</t>
  </si>
  <si>
    <t>Section Grouping</t>
  </si>
  <si>
    <t>Group Name</t>
  </si>
  <si>
    <t>Monday Column</t>
  </si>
  <si>
    <t>Value</t>
  </si>
  <si>
    <t>Event Name, name</t>
  </si>
  <si>
    <t>Group 1</t>
  </si>
  <si>
    <t>Executive Summary</t>
  </si>
  <si>
    <t>Event Start Date, date_mktkb5sf</t>
  </si>
  <si>
    <t>Event URL, text_mktj8ce4</t>
  </si>
  <si>
    <t>Decision Date By, date_mky170gm</t>
  </si>
  <si>
    <t>Event Date Range and Location, text_mktkdwry</t>
  </si>
  <si>
    <t>Primary Objectives, dropdown_mky16p7m</t>
  </si>
  <si>
    <t>Requestor, text_mky7xyqh</t>
  </si>
  <si>
    <t>Non-participation Risks, text_mky7njax</t>
  </si>
  <si>
    <t>Funding Type, color_mkxxef94</t>
  </si>
  <si>
    <t>Overall Status, status</t>
  </si>
  <si>
    <t>MDF Requested, color_mky7z1eq</t>
  </si>
  <si>
    <t>color_mky7z1eq</t>
  </si>
  <si>
    <t>MDF</t>
  </si>
  <si>
    <t>AWS MDF Requested, color_mky7zxp7</t>
  </si>
  <si>
    <t>Business Rational, long_text_mky25ed4</t>
  </si>
  <si>
    <t>Group 2</t>
  </si>
  <si>
    <t>Buisiness Rational</t>
  </si>
  <si>
    <t>Strategic Fit, dropdown_mky29cfy</t>
  </si>
  <si>
    <t>Estimaged Attendees, text_mky7v3a</t>
  </si>
  <si>
    <t>Group 3</t>
  </si>
  <si>
    <t>Buisiness Outcome</t>
  </si>
  <si>
    <t>Named Customers/Prospects, text_mky79235</t>
  </si>
  <si>
    <t>Target Personas, dropdown_mky7k6qv</t>
  </si>
  <si>
    <t>Partner Recruitment Target, text_mky7tsn8</t>
  </si>
  <si>
    <t>Delivery Type, color_mky78mye</t>
  </si>
  <si>
    <t>Group 4</t>
  </si>
  <si>
    <t>Event Specific Information</t>
  </si>
  <si>
    <t>Prospectus URL, link_mky7wxqq</t>
  </si>
  <si>
    <t>color_mky78mye</t>
  </si>
  <si>
    <t>Partner Trade Show/Conf - Co-Marketing Request, Partner Trade Show/Conf - Sponsor Funding</t>
  </si>
  <si>
    <t>Prospectus File Upload, file_mky8p6fk</t>
  </si>
  <si>
    <t>Recommended Sponsor Tier, text_mky76e8h</t>
  </si>
  <si>
    <t>Other MPO, text_mky7e8yw</t>
  </si>
  <si>
    <t>SME Speakers, text_mky7gcf0</t>
  </si>
  <si>
    <t>Panel Content, text_mky7c787</t>
  </si>
  <si>
    <t>Industry Tradeshow/conference, dropdown_mky7b5t0</t>
  </si>
  <si>
    <t>Industry Trade Show/Conf</t>
  </si>
  <si>
    <t>Guidewire Trade Show, dropdown_mky7qg9p</t>
  </si>
  <si>
    <t>1:1 Description, text_mky7dz7</t>
  </si>
  <si>
    <t>dropdown_mky7b5t0</t>
  </si>
  <si>
    <t>1:1 Breakfast or Lunch Meeting</t>
  </si>
  <si>
    <t>1:1 Region, color_mky7gz0q</t>
  </si>
  <si>
    <t>Partner, text_mkv092nh</t>
  </si>
  <si>
    <t>Group 5</t>
  </si>
  <si>
    <t>Partner Information</t>
  </si>
  <si>
    <t>AllianceManager, color_mky7zf8e</t>
  </si>
  <si>
    <t>Sponsor Costs, numeric_mky791e</t>
  </si>
  <si>
    <t>Other Costs, numeric_mky7r8yp</t>
  </si>
  <si>
    <t>Market Position/Scale, color_mky76dt5</t>
  </si>
  <si>
    <t>Joint Customers, text_mky7ywb2</t>
  </si>
  <si>
    <t>Integration Status, color_mky7dc8q</t>
  </si>
  <si>
    <t>Recent joint Activities, text_mky75gvt</t>
  </si>
  <si>
    <t>Near Term Strategic Exploration, dropdown_mky7vh1m</t>
  </si>
  <si>
    <t>Event Lead (AM), text_mky7mp7p</t>
  </si>
  <si>
    <t>Group 6</t>
  </si>
  <si>
    <t>Resourcing Plan</t>
  </si>
  <si>
    <t>Onsite Team, text_mky74107</t>
  </si>
  <si>
    <t>Speaker/Abstract/SessionTitle/link, text_mky7xdf6</t>
  </si>
  <si>
    <t>Assets and Demo, dropdown_mky72rrn</t>
  </si>
  <si>
    <t>SWAG Type/quantity, text_mky785z9</t>
  </si>
  <si>
    <t>Other Assets, text_mky7vayd</t>
  </si>
  <si>
    <t>Dependencies, text_mky7d2z2</t>
  </si>
  <si>
    <t>Requesting Department, status_1</t>
  </si>
  <si>
    <t>Partner Marketing Resources, text_mky7rr8j</t>
  </si>
  <si>
    <t>Product Marketing Resources, text_mky798s1</t>
  </si>
  <si>
    <t>Pre-event activation plan, long_text_mky780sa</t>
  </si>
  <si>
    <t>Group 7</t>
  </si>
  <si>
    <t>Activation Plan</t>
  </si>
  <si>
    <t>Onsite event activation plan, long_text_mky7mct8</t>
  </si>
  <si>
    <t>Post-event activation plan, long_text_mky72g9a</t>
  </si>
  <si>
    <t>Post Event Report Due, date_mky73kmp</t>
  </si>
  <si>
    <t>Group 8</t>
  </si>
  <si>
    <t>Reporting and ROI</t>
  </si>
  <si>
    <t>New Leads, text_mky715r7</t>
  </si>
  <si>
    <t>Meetings Held, text_mky7bme0</t>
  </si>
  <si>
    <t>Opportunities Created, text_mky7yx4w</t>
  </si>
  <si>
    <t>Pipleline $ Influenced, text_mky7j1z0</t>
  </si>
  <si>
    <t>Boothscans, text_mky7kbbz</t>
  </si>
  <si>
    <t>Brand/Media impressions, text_mky717tz</t>
  </si>
  <si>
    <t>Customer Feedback/Testimonials, text_mky73vf5</t>
  </si>
  <si>
    <t>Competitive Insights, text_mky7wvep</t>
  </si>
  <si>
    <t>Learnings for Nextyear, text_mky72rb1</t>
  </si>
  <si>
    <t>Activity</t>
  </si>
  <si>
    <t>Tech Partner Name</t>
  </si>
  <si>
    <t>Agenda for Meeting in December in London</t>
  </si>
  <si>
    <t>Completed Items</t>
  </si>
  <si>
    <t>Hyperexponential Ltd Board</t>
  </si>
  <si>
    <t>Hyperexponential Ltd</t>
  </si>
  <si>
    <t>Patrick has provided.</t>
  </si>
  <si>
    <t>Completed</t>
  </si>
  <si>
    <t>2. High</t>
  </si>
  <si>
    <t>Marketing</t>
  </si>
  <si>
    <t>American Guaranty Fund Group</t>
  </si>
  <si>
    <t>Newgen Software Inc. Board</t>
  </si>
  <si>
    <t>Newgen Software Inc.</t>
  </si>
  <si>
    <t>Newgen has submitted the proposal. waiting for customer to make decision on GW CC + Newgen ECM; In touch with Brittany.</t>
  </si>
  <si>
    <t>Alliances</t>
  </si>
  <si>
    <t>Ammendment needs signature for annex A</t>
  </si>
  <si>
    <t>Insurance Services Office (ISO) Board</t>
  </si>
  <si>
    <t>Insurance Services Office (ISO)</t>
  </si>
  <si>
    <t>Contracts</t>
  </si>
  <si>
    <t>Verisk</t>
  </si>
  <si>
    <t>Are there sources of data we could buy from Verisk</t>
  </si>
  <si>
    <t>4. Low</t>
  </si>
  <si>
    <t>Ask Gilbert if his team will set up open telemetry on the Dynatrace NPE</t>
  </si>
  <si>
    <t>Dynatrace LLC Board</t>
  </si>
  <si>
    <t>Dynatrace LLC</t>
  </si>
  <si>
    <t>3. Medium</t>
  </si>
  <si>
    <t>Sponsorship/Events</t>
  </si>
  <si>
    <t>Audit result - next steps - amend agreement on calculations</t>
  </si>
  <si>
    <t>SOLD</t>
  </si>
  <si>
    <t>GW Alliances</t>
  </si>
  <si>
    <t>Aviva Canada</t>
  </si>
  <si>
    <t>Whatfix Inc. Board</t>
  </si>
  <si>
    <t>Whatfix Inc.</t>
  </si>
  <si>
    <t>Rebooked for May</t>
  </si>
  <si>
    <t>Pipeline</t>
  </si>
  <si>
    <t>BBG TPPA Upate</t>
  </si>
  <si>
    <t>LexisNexis Risk Solutions Inc. Board</t>
  </si>
  <si>
    <t>LexisNexis Risk Solutions Inc.</t>
  </si>
  <si>
    <t>Tim walked the values.. they want some sort of SLA</t>
  </si>
  <si>
    <t>Partner Alliances</t>
  </si>
  <si>
    <t>Bhaskar - accelerator or not</t>
  </si>
  <si>
    <t>Billing Center Accelerator</t>
  </si>
  <si>
    <t>We have paused this as our team is still assessing which product makes the most sense for us to build Whatfix on.</t>
  </si>
  <si>
    <t>BillingCenter Integration with Newgen ECM</t>
  </si>
  <si>
    <t>Scope accepted. Dev in progress</t>
  </si>
  <si>
    <t>GW Alliances, Partner Alliances</t>
  </si>
  <si>
    <t>Accelerator</t>
  </si>
  <si>
    <t>Blog entry - Tim to edit</t>
  </si>
  <si>
    <t>WTW Board</t>
  </si>
  <si>
    <t>WTW</t>
  </si>
  <si>
    <t>BOLT Next Steps &amp; Development Plan</t>
  </si>
  <si>
    <t>As part of restructuring, we disolved our APAC partner team.  Tony will have to get engaged.</t>
  </si>
  <si>
    <t>GW Alliances, Partner Alliances, GW Solution Consulting</t>
  </si>
  <si>
    <t>book Friday touch base.</t>
  </si>
  <si>
    <t>SS&amp;C Blue Prism Board</t>
  </si>
  <si>
    <t>SS&amp;C Blue Prism</t>
  </si>
  <si>
    <t>Blue Prism</t>
  </si>
  <si>
    <t>Box - financial servicres summit</t>
  </si>
  <si>
    <t>Box Board</t>
  </si>
  <si>
    <t>Box</t>
  </si>
  <si>
    <t>Paul Edwards is speaking from London Markets team</t>
  </si>
  <si>
    <t>Box wants to look at esignature</t>
  </si>
  <si>
    <t>recommend rolling it out in phases</t>
  </si>
  <si>
    <t>bundling</t>
  </si>
  <si>
    <t>Mitchell International, Inc. Board</t>
  </si>
  <si>
    <t>Mitchell International, Inc.</t>
  </si>
  <si>
    <t>phase 2 and phase 3 bundled as one release.</t>
  </si>
  <si>
    <t>can we post linked in post for Whatfix premier partner press release</t>
  </si>
  <si>
    <t>Asking Julie</t>
  </si>
  <si>
    <t>Canada Webinar -</t>
  </si>
  <si>
    <t>Open Text Corporation Board</t>
  </si>
  <si>
    <t>Open Text Corporation</t>
  </si>
  <si>
    <t>Not Started</t>
  </si>
  <si>
    <t>CEO Meeting</t>
  </si>
  <si>
    <t>Intel -  both agree good momentum. Mike took action to circle back with product leadership team for other product integrations.  followup email thread . Will Murphy added... lets put together a workshop to elevate partnership to next level.  
Work with PWC and Deloitte.  
Conversation triggered by Safety win earlier this year.  Usecase where box can extract structured content from unstructured documents and feed into Guidewire.</t>
  </si>
  <si>
    <t>Claims Datafill Updates</t>
  </si>
  <si>
    <t>I have passed on the information to the BBG team</t>
  </si>
  <si>
    <t>Closures this past year</t>
  </si>
  <si>
    <t>Red River Mutual, QBE, Market, Adica</t>
  </si>
  <si>
    <t>Common Customer List</t>
  </si>
  <si>
    <t>AKUR8 Board</t>
  </si>
  <si>
    <t>AKUR8</t>
  </si>
  <si>
    <t>Akur8</t>
  </si>
  <si>
    <t>Connections - gold plus</t>
  </si>
  <si>
    <t>Admiral insurance. GM Financial as well</t>
  </si>
  <si>
    <t>Connections meetings with Alliances and CSM</t>
  </si>
  <si>
    <t>Swapnil wants to meet with CSMs Newgen is working with at GW Connections</t>
  </si>
  <si>
    <t>Countersigned Enhancements Contract</t>
  </si>
  <si>
    <t>Should be soon.</t>
  </si>
  <si>
    <t>CSAA</t>
  </si>
  <si>
    <t>CSAA Police Records having problems with Police Records</t>
  </si>
  <si>
    <t>Have passed it on to the BBG Team</t>
  </si>
  <si>
    <t>CSAA- meeting with David McMinn</t>
  </si>
  <si>
    <t>Newgen Demo scheduled; Tim to help introduce David McMinn</t>
  </si>
  <si>
    <t>Customer and Pipeline Report</t>
  </si>
  <si>
    <t>Ongoing</t>
  </si>
  <si>
    <t>Customer and Prospect Tracker</t>
  </si>
  <si>
    <t>Customer List</t>
  </si>
  <si>
    <t>done</t>
  </si>
  <si>
    <t>Customerlist</t>
  </si>
  <si>
    <t>Smarty, LLC Board</t>
  </si>
  <si>
    <t>Smarty, LLC</t>
  </si>
  <si>
    <t>Dannon to provide training to GW Rev Team on how to update customer list.</t>
  </si>
  <si>
    <t>Demo of Open Archive</t>
  </si>
  <si>
    <t>Demo of their ECM Content Management solution</t>
  </si>
  <si>
    <t>Dev Environment Upgrade to N</t>
  </si>
  <si>
    <t>12/4/24 Update:
We are in the process of upgrading our GW instance to the Kufri version of Cloud, and this will be completed soon.
Additionally, the version following Kufri, the Las Lenas version, is expected to be released shortly. If it becomes available soon, we plan to first upgrade to the Kufri version and then to Las Lenas. 
I'll update once we are done on this, as after that we can start the process to test and update the Accelerator version to Kufri on the GW Marketplace (-or Las lenas, if we update to that).</t>
  </si>
  <si>
    <t>NPE</t>
  </si>
  <si>
    <t>email on Cogniznant</t>
  </si>
  <si>
    <t>Enablement Sessions for CSMs</t>
  </si>
  <si>
    <t>End to end solution architecture diagram</t>
  </si>
  <si>
    <t>We received this diagram from your EMEA team. Do you have something similar for claims and billing as well? Perhaps also a carrier facing version. The example I'm showing here seems to have a broker focus.</t>
  </si>
  <si>
    <t>Estimate for implementation claims datafill for Erie</t>
  </si>
  <si>
    <t>don't mention to Erie.. Lexis may pay it.</t>
  </si>
  <si>
    <t>Extension on Connection for submission</t>
  </si>
  <si>
    <t>Farmers</t>
  </si>
  <si>
    <t>Call w/ Zac G on 3.11.25 to provide knowledge share of account with Whatfix. Whatfix to digest all of the information around strategy, customer pains, strategic initiatives and progress. Formulate a plan to reconnect with Zac to fold Whatfix into 1-2 90 day stakeholder plans to address key challenges by leveraging Whatfix</t>
  </si>
  <si>
    <t>Find APAC Conferences Guidewire Sponsors</t>
  </si>
  <si>
    <t>Looking for opportunities to do some joint marketing activities.</t>
  </si>
  <si>
    <t>get agreement signed - submitted on May 13gth.</t>
  </si>
  <si>
    <t>still pending. there was a typo</t>
  </si>
  <si>
    <t>Get Box in EAA program for AI</t>
  </si>
  <si>
    <t>Get Cloud Ammendment signed for NPE</t>
  </si>
  <si>
    <t>Need before we can review UK addendum</t>
  </si>
  <si>
    <t>Get feedback on Agentic POC from AI Team</t>
  </si>
  <si>
    <t>Get list of EA customers on Open Telemetry</t>
  </si>
  <si>
    <t>Get resources trained for NPE</t>
  </si>
  <si>
    <t>Get revshare doc from Whatfix</t>
  </si>
  <si>
    <t>Get slides for regional views of partners in a value chain... EMEA example</t>
  </si>
  <si>
    <t>Get the ISCS acquisition doc signed.</t>
  </si>
  <si>
    <t>Currently in for signature. Due in 5-7 days</t>
  </si>
  <si>
    <t>Get update on Postal Fix and timeline</t>
  </si>
  <si>
    <t>Early may with Mamoth release</t>
  </si>
  <si>
    <t>Go to Market Planning</t>
  </si>
  <si>
    <t>Tony has proposed meeting with Julie and WFX Marketing to discuss GTM planning for H2 25' - 2026 .</t>
  </si>
  <si>
    <t>Great American - RFP for undewriting workbench</t>
  </si>
  <si>
    <t>Pat McAllister - Martin Foy- Triangulation meeting with Cognizant</t>
  </si>
  <si>
    <t>Guidewire EMEA- Newgen Sales Enablement Session</t>
  </si>
  <si>
    <t>Sales Enablement on 30th April</t>
  </si>
  <si>
    <t>Guidewire Newgen PwC Webinar</t>
  </si>
  <si>
    <t>Recording on 18th July; Broadcast on 21st Aug</t>
  </si>
  <si>
    <t>Partner Alliances, Partner Marketing</t>
  </si>
  <si>
    <t>Guidewire Technical Demo (Policy + Claims)</t>
  </si>
  <si>
    <t>As we are working with Zac on aligning CS value drivers that GW CS measures today , compared to user behavioral engagement metrics WFX measures today for Insurtech customers, WFX team is in need of seeing who could provide a demo to understand what the business processes are for end users across relevant workflows via GW applications. Need Tim's help to help set this up for WFX team</t>
  </si>
  <si>
    <t>GW Blog Entry</t>
  </si>
  <si>
    <t>Work on a blog entry. Work on the CSG Accelerator - end of year.</t>
  </si>
  <si>
    <t>Highspot Featured Content</t>
  </si>
  <si>
    <t>HX is doing a press release announcing their intent to build an integration to Duck Creek.</t>
  </si>
  <si>
    <t>ICBC</t>
  </si>
  <si>
    <t>having upgrade process problems. hearing they are having challenges  migrating v9 to cloud and Accenture. may have follow up questions for me</t>
  </si>
  <si>
    <t>ICBC signed</t>
  </si>
  <si>
    <t>Waiting until. migration is complete to engage after signing</t>
  </si>
  <si>
    <t>ICPEI</t>
  </si>
  <si>
    <t>Certificate issue - on top of jar files - this was resolved in the update on Feb 18th.</t>
  </si>
  <si>
    <t>Indico alternative</t>
  </si>
  <si>
    <t>book Partner Day in San Mateo - Partner Summit</t>
  </si>
  <si>
    <t>iNow integration - WTW</t>
  </si>
  <si>
    <t>Kannampuzhayil Murali, Anoop (Cognizant) &lt;anoopk.murali@cognizant.com&gt; is the cognizant contact. Need a iNow customer to do this.</t>
  </si>
  <si>
    <t>Introduce account team for Radian to Box</t>
  </si>
  <si>
    <t>investigate v10</t>
  </si>
  <si>
    <t>we would need to get approval as we have a restriction agains V10 for Blue Prism</t>
  </si>
  <si>
    <t>Is there are Partner Enablement day in the US this year</t>
  </si>
  <si>
    <t>Yes it will be the 2nd week of June</t>
  </si>
  <si>
    <t>Jack Morgenson - value consulting team</t>
  </si>
  <si>
    <t>Joint Webinar</t>
  </si>
  <si>
    <t>Tony scheduled meeting on Wednesday 9/3 to discuss with Tim + GW Marketing (if required)</t>
  </si>
  <si>
    <t>Leah is transitioning off the Accelerator team. New person is Cindy. Wants a meeting with GW</t>
  </si>
  <si>
    <t>Wants to have a meeting to talk about problems with cloud accelerators and how we could do better.</t>
  </si>
  <si>
    <t>Lightspeed Auto Referral - 12 page document</t>
  </si>
  <si>
    <t>marketing push - two Lightspeed solutions -</t>
  </si>
  <si>
    <t>Marketplace Upgrade for Customer Procurement</t>
  </si>
  <si>
    <t>Marketplace Video Recording</t>
  </si>
  <si>
    <t>Defer until we have a customer.</t>
  </si>
  <si>
    <t>Meet with Patrick as he gets engaged</t>
  </si>
  <si>
    <t>Meeting in person with Zac</t>
  </si>
  <si>
    <t>Target May 15</t>
  </si>
  <si>
    <t>Mercury - pending</t>
  </si>
  <si>
    <t>Montana State Fund</t>
  </si>
  <si>
    <t>Early customer migrating to the cloud. 
Met with Kennen</t>
  </si>
  <si>
    <t>Move NPE to Mamoth</t>
  </si>
  <si>
    <t>working on the upgrade now.</t>
  </si>
  <si>
    <t>Move to Premier</t>
  </si>
  <si>
    <t>MVR PA issue</t>
  </si>
  <si>
    <t>Lexis has denied us a contract change to share risk with customers</t>
  </si>
  <si>
    <t>N-2 compliance</t>
  </si>
  <si>
    <t>Nationwide</t>
  </si>
  <si>
    <t>may have some customers on rating, but not Nationwide</t>
  </si>
  <si>
    <t>Need additional people added to partner portal</t>
  </si>
  <si>
    <t>need to do a go to market planning</t>
  </si>
  <si>
    <t>focus</t>
  </si>
  <si>
    <t>need to focus on getting word out in the US</t>
  </si>
  <si>
    <t>do some webinars. Deloitte is their auditor</t>
  </si>
  <si>
    <t>Need to get a purchase order for compliance payment for Verisk audit</t>
  </si>
  <si>
    <t>Need to update accelerator and submit for cloud update</t>
  </si>
  <si>
    <t>Need to update accelerator version</t>
  </si>
  <si>
    <t>Ed to send me their pdf</t>
  </si>
  <si>
    <t>New accelerator for Rating coming in 2026</t>
  </si>
  <si>
    <t>Make sure you meet with Bhaskar and GTF to approve scope document BEFORE development begins</t>
  </si>
  <si>
    <t>New item</t>
  </si>
  <si>
    <t>Indico Data Solutions, Inc.</t>
  </si>
  <si>
    <t>Perforce Software, Inc. Board</t>
  </si>
  <si>
    <t>Perforce Software, Inc.</t>
  </si>
  <si>
    <t>Wilbur Solutions Pty Ltd Board</t>
  </si>
  <si>
    <t>Wilbur Solutions Pty Ltd</t>
  </si>
  <si>
    <t>Rod Gowin</t>
  </si>
  <si>
    <t>Vertafore Agency Platform Board</t>
  </si>
  <si>
    <t>Vertafore Agency Platform</t>
  </si>
  <si>
    <t>Roots Automation, Inc. Board</t>
  </si>
  <si>
    <t>Roots Automation, Inc.</t>
  </si>
  <si>
    <t>Aaron Shaw</t>
  </si>
  <si>
    <t>Risk Control Technologies Inc. Board</t>
  </si>
  <si>
    <t>Risk Control Technologies Inc.</t>
  </si>
  <si>
    <t>Quantexa Limited Board</t>
  </si>
  <si>
    <t>Quantexa Limited</t>
  </si>
  <si>
    <t>Vivienne Hoary</t>
  </si>
  <si>
    <t>Paymentus Board</t>
  </si>
  <si>
    <t>Paymentus</t>
  </si>
  <si>
    <t>Shannon Spies</t>
  </si>
  <si>
    <t>OneSpan Canada Inc. (VASCO eSignLive) Board</t>
  </si>
  <si>
    <t>OneSpan Canada Inc. (VASCO eSignLive)</t>
  </si>
  <si>
    <t>Lisa Vingerhoet</t>
  </si>
  <si>
    <t>ODG by MCG Health Board</t>
  </si>
  <si>
    <t>ODG by MCG Health</t>
  </si>
  <si>
    <t>Nation Safe Drivers Board</t>
  </si>
  <si>
    <t>Nation Safe Drivers</t>
  </si>
  <si>
    <t>Kyber Technologies, Inc. Board</t>
  </si>
  <si>
    <t>Kyber Technologies, Inc.</t>
  </si>
  <si>
    <t>Jopari Solutions Board</t>
  </si>
  <si>
    <t>Jopari Solutions</t>
  </si>
  <si>
    <t>InvoiceCloud Board</t>
  </si>
  <si>
    <t>InvoiceCloud</t>
  </si>
  <si>
    <t>International Consumer Services Sweden AB (ValueChecker) Board</t>
  </si>
  <si>
    <t>International Consumer Services Sweden AB (ValueChecker)</t>
  </si>
  <si>
    <t>Iceye Oy Board</t>
  </si>
  <si>
    <t>Iceye Oy</t>
  </si>
  <si>
    <t>IAA Board</t>
  </si>
  <si>
    <t>IAA</t>
  </si>
  <si>
    <t>GENPACT UK LTD Board</t>
  </si>
  <si>
    <t>GENPACT UK LTD</t>
  </si>
  <si>
    <t>Genesys Cloud Services, Inc. Board</t>
  </si>
  <si>
    <t>Genesys Cloud Services, Inc.</t>
  </si>
  <si>
    <t>ExamWorks Compliance Solutions Board</t>
  </si>
  <si>
    <t>ExamWorks Compliance Solutions</t>
  </si>
  <si>
    <t>ECHO Board</t>
  </si>
  <si>
    <t>ECHO</t>
  </si>
  <si>
    <t>Datavail Corporation Board</t>
  </si>
  <si>
    <t>Datavail Corporation</t>
  </si>
  <si>
    <t>CRS Temporary Housing Board</t>
  </si>
  <si>
    <t>CRS Temporary Housing</t>
  </si>
  <si>
    <t>Claimatic Board</t>
  </si>
  <si>
    <t>Claimatic</t>
  </si>
  <si>
    <t>Caseglide Board</t>
  </si>
  <si>
    <t>Caseglide</t>
  </si>
  <si>
    <t>Belron Canada Board</t>
  </si>
  <si>
    <t>Belron Canada</t>
  </si>
  <si>
    <t>Transcard Board</t>
  </si>
  <si>
    <t>Transcard</t>
  </si>
  <si>
    <t>SailPoint Technologies, Inc. Board</t>
  </si>
  <si>
    <t>SailPoint Technologies, Inc.</t>
  </si>
  <si>
    <t>Precisely Software Board</t>
  </si>
  <si>
    <t>Precisely Software</t>
  </si>
  <si>
    <t>AgentSync Board</t>
  </si>
  <si>
    <t>AgentSync</t>
  </si>
  <si>
    <t>Amazon Web Services, Inc. Board</t>
  </si>
  <si>
    <t>Amazon Web Services, Inc.</t>
  </si>
  <si>
    <t>American Association of Insurance Services (AAIS) Board</t>
  </si>
  <si>
    <t>American Association of Insurance Services (AAIS)</t>
  </si>
  <si>
    <t>Appian Board</t>
  </si>
  <si>
    <t>Appian</t>
  </si>
  <si>
    <t>Fatima Aoulagha-Bannou</t>
  </si>
  <si>
    <t>Applied Systems Inc Board</t>
  </si>
  <si>
    <t>Applied Systems Inc</t>
  </si>
  <si>
    <t>Appulate, Inc. Board</t>
  </si>
  <si>
    <t>Appulate, Inc.</t>
  </si>
  <si>
    <t>Arbitration Forums, Inc Board</t>
  </si>
  <si>
    <t>Arbitration Forums, Inc</t>
  </si>
  <si>
    <t>Assurant Board</t>
  </si>
  <si>
    <t>Assurant</t>
  </si>
  <si>
    <t>Audatex UK Limited Board</t>
  </si>
  <si>
    <t>Audatex UK Limited</t>
  </si>
  <si>
    <t>CCC Intelligent Solutions Inc Board</t>
  </si>
  <si>
    <t>CCC Intelligent Solutions Inc</t>
  </si>
  <si>
    <t>Kelly Clayton</t>
  </si>
  <si>
    <t>ClaimTECH Board</t>
  </si>
  <si>
    <t>ClaimTECH</t>
  </si>
  <si>
    <t>Copart, Inc. Board</t>
  </si>
  <si>
    <t>Copart, Inc.</t>
  </si>
  <si>
    <t>CoreLogic Board</t>
  </si>
  <si>
    <t>CoreLogic</t>
  </si>
  <si>
    <t>Databricks Board</t>
  </si>
  <si>
    <t>Databricks</t>
  </si>
  <si>
    <t>Paul Harper</t>
  </si>
  <si>
    <t>Docusign Inc Board</t>
  </si>
  <si>
    <t>Docusign Inc</t>
  </si>
  <si>
    <t>Earnix Board</t>
  </si>
  <si>
    <t>Earnix</t>
  </si>
  <si>
    <t>EPAM Systems Inc. Board</t>
  </si>
  <si>
    <t>EPAM Systems Inc.</t>
  </si>
  <si>
    <t>EvolutionIQ Board</t>
  </si>
  <si>
    <t>EvolutionIQ</t>
  </si>
  <si>
    <t>FRISS Board</t>
  </si>
  <si>
    <t>FRISS</t>
  </si>
  <si>
    <t>GhostDraft Enterprises LLC Board</t>
  </si>
  <si>
    <t>GhostDraft Enterprises LLC</t>
  </si>
  <si>
    <t>Hertz Board</t>
  </si>
  <si>
    <t>Hertz</t>
  </si>
  <si>
    <t>Hyland Software, Inc Board</t>
  </si>
  <si>
    <t>Hyland Software, Inc</t>
  </si>
  <si>
    <t>Nearmap US, Inc Board</t>
  </si>
  <si>
    <t>Nearmap US, Inc</t>
  </si>
  <si>
    <t>One Inc Board</t>
  </si>
  <si>
    <t>One Inc</t>
  </si>
  <si>
    <t>Progi Board</t>
  </si>
  <si>
    <t>Progi</t>
  </si>
  <si>
    <t>Shift Board</t>
  </si>
  <si>
    <t>Shift</t>
  </si>
  <si>
    <t>SmartComms LLC Board</t>
  </si>
  <si>
    <t>SmartComms LLC</t>
  </si>
  <si>
    <t>Snowflake Board</t>
  </si>
  <si>
    <t>Snowflake</t>
  </si>
  <si>
    <t>Stripe, Inc. Board</t>
  </si>
  <si>
    <t>Stripe, Inc.</t>
  </si>
  <si>
    <t>Swiss Re Solutions Ltd. Board</t>
  </si>
  <si>
    <t>Swiss Re Solutions Ltd.</t>
  </si>
  <si>
    <t>Newgen GW Reseller Agreement</t>
  </si>
  <si>
    <t>BOLT discussion; our call on 11th Feb</t>
  </si>
  <si>
    <t>Newgen PwC Guidewire webinar Video</t>
  </si>
  <si>
    <t>Newgen UK- GW- Sollers London Market Roundtable</t>
  </si>
  <si>
    <t>Date- 29th Jan; Sollers LM, GI teams, Newgen and GW LM team</t>
  </si>
  <si>
    <t>GW Alliances, Partner Alliances, Partner Marketing, GW Marketing</t>
  </si>
  <si>
    <t>Next Accelerator will be on-prem V10 policy center.</t>
  </si>
  <si>
    <t>Scope document done. Awaiting approval. That may be stalled for now. not. a high priority</t>
  </si>
  <si>
    <t>Next release of BBB Integrations</t>
  </si>
  <si>
    <t>Communicated end of May
MVR - Nov 2024
CLUE Auto - Sept 2024
NCF - Sept 2024
PoliceRecords - March 2024
Claims Datafill - Sept 2024
Clue Property - Sept 2024</t>
  </si>
  <si>
    <t>Notify them if reviews appear</t>
  </si>
  <si>
    <t>Question, Lexis has integration with reviews on the AWS marketplace. Our marketplace team is asking how those are approved by your legal if they have concerns around confidentiality with ours.</t>
  </si>
  <si>
    <t>NPE agreement update to pay invoice</t>
  </si>
  <si>
    <t>NPE Contract Signed</t>
  </si>
  <si>
    <t>In contract review. ETA in march 13.</t>
  </si>
  <si>
    <t>NPE update</t>
  </si>
  <si>
    <t>On-Prem to Cloud Marketplace Accelerators</t>
  </si>
  <si>
    <t>Partnership Initiatives Tracker</t>
  </si>
  <si>
    <t>Submitted to Tony. He is able to access</t>
  </si>
  <si>
    <t>PIPLog from the Demo</t>
  </si>
  <si>
    <t>Nationwide wants this badly. GW Team thought might be an interim solution that could be built out for Nationwide. Jeremy C just connected Rebecca to GW Account team for Nationwide. Next step is to brief them to see how we can assist Nationwide.</t>
  </si>
  <si>
    <t>Podcast response</t>
  </si>
  <si>
    <t>looking to find a customer.</t>
  </si>
  <si>
    <t>GW Alliances, GW Marketing</t>
  </si>
  <si>
    <t>Portrait and</t>
  </si>
  <si>
    <t>possible reseller - Rescue is our reserving software - and radar base and radar emblem</t>
  </si>
  <si>
    <t>will wait until later in the year after meeting with WTW leadership team on key new initiatives.</t>
  </si>
  <si>
    <t>Postal Fix pendig</t>
  </si>
  <si>
    <t>Early May target due to delays caused by Mammoth breaking changes to IG.</t>
  </si>
  <si>
    <t>Provide a target list of 5 SM and 6 BP GW Cloud customers</t>
  </si>
  <si>
    <t>Provision NPE</t>
  </si>
  <si>
    <t>Cant start until NPE agreement is signed.</t>
  </si>
  <si>
    <t>quantee - Let me check back with comms. They just aren't releasing anything right now on the topic.</t>
  </si>
  <si>
    <t>Marketing won't let us issue new statements for now on this.</t>
  </si>
  <si>
    <t>Question about progression of their tech stack.</t>
  </si>
  <si>
    <t>Radar live is the only thing on cloud now. Radar - just on prem. and their pricing solution are not yet. still in progress.</t>
  </si>
  <si>
    <t>Rebook Canadian Sales Enablement Meeting</t>
  </si>
  <si>
    <t>WFX team is planning on being in Canada. Can Tim help set up meeting in person for Anupam, Nick and Amit to meet with Canadian team for in person enablement session / meet &amp; greet?</t>
  </si>
  <si>
    <t>recomended going to ITC</t>
  </si>
  <si>
    <t>Tony to go to Australia.</t>
  </si>
  <si>
    <t>Redo webinar</t>
  </si>
  <si>
    <t>using third party to fix it; call on 22nd to re-record</t>
  </si>
  <si>
    <t>Reengage with Shaiker</t>
  </si>
  <si>
    <t>very concerned about getting NPE funding</t>
  </si>
  <si>
    <t>Referral option... how to progress</t>
  </si>
  <si>
    <t>Regional Guidewire Forum Attendance</t>
  </si>
  <si>
    <t xml:space="preserve">12/4/24 Update: 
We have connected with Luisa and have executed the contract to attend the Paris forum event in 2025 </t>
  </si>
  <si>
    <t>Requesting CSM contact for Kemper, West Bend Insurance</t>
  </si>
  <si>
    <t>Engaged with Kemper for CCM and West Bend for ECM and CCM</t>
  </si>
  <si>
    <t>Resolve question on connecting muiltiple ecm environments to a single planet for demo only</t>
  </si>
  <si>
    <t>Revisit Claims Assignment estimate</t>
  </si>
  <si>
    <t>Need to drill down on why it is so high.  Deferred as lower priority last year. Now need to meet. Rebecca will send more detail. Tim to book a meetihg with Ian/Ted for 1 week later.</t>
  </si>
  <si>
    <t>Safety insurance CSM Meeting</t>
  </si>
  <si>
    <t>Kristen, Wes (Gw CSM and sales) contacted. Newgen negotiating</t>
  </si>
  <si>
    <t>Saranya provided new video assets</t>
  </si>
  <si>
    <t>Tim is to review with marketing</t>
  </si>
  <si>
    <t>Satish requested zero dollar renewal</t>
  </si>
  <si>
    <t>Scope doc turned into a work order</t>
  </si>
  <si>
    <t>Send AI deck to Will</t>
  </si>
  <si>
    <t>send ig mapping to lexis all integrations</t>
  </si>
  <si>
    <t>Send NPE agreement for BBG</t>
  </si>
  <si>
    <t>set up a meeting with AI Team for followup</t>
  </si>
  <si>
    <t>Set up call regarding questions on API</t>
  </si>
  <si>
    <t>Set up call with CSM for Red River now</t>
  </si>
  <si>
    <t>Set up Ecosystem Office Hours demo</t>
  </si>
  <si>
    <t>Melinda may want a different format - for this than seller to seller. We have no sales person we can work with. Zac has a customer USAA who can joing</t>
  </si>
  <si>
    <t>Set up meeting it’s Ben G about INow external rating integration.d</t>
  </si>
  <si>
    <t>Have emailed back and forth with Ben. He is fine with WTW doing this. Will set up a call to talk but Ben said Cognizant has far more knowledge on how to approach this.</t>
  </si>
  <si>
    <t>Set up meeting s with 5SM and 6 CL customers</t>
  </si>
  <si>
    <t>Set up meeting with SBT owner James McCully and Troy Smith</t>
  </si>
  <si>
    <t>Meeting is set for Thursday March 6th</t>
  </si>
  <si>
    <t>Guidewire PD</t>
  </si>
  <si>
    <t>set up meeting with Sharron and Shannon with Paul and Rich to talk about webinar</t>
  </si>
  <si>
    <t>Set up meeting with Zach, the GW GM for Claims.</t>
  </si>
  <si>
    <t>want to wait until we know we can build something into claim center this year...  decisions engine inject and use as an external rules engine.</t>
  </si>
  <si>
    <t>Set up meetings with Guidewire london team</t>
  </si>
  <si>
    <t>8.27.25: Tim shared that week of 9/15 GW London team has their SKO and folks will be remote as a result it is difficult to set up meetings for WFX to meet respective personnel locally that week</t>
  </si>
  <si>
    <t>Set up Preview of connections</t>
  </si>
  <si>
    <t>Tim can do this first week of April</t>
  </si>
  <si>
    <t>set up standing meeting once a month</t>
  </si>
  <si>
    <t>setup webinar with CSMs</t>
  </si>
  <si>
    <t>Shaji , GM APAC  has asked Whatfix to be a part of BOLT - an ANZ project to rapidly implement insurancesuite in 3 months by bundling partner integrations and localized content.</t>
  </si>
  <si>
    <t>Richard Pauly investigating.</t>
  </si>
  <si>
    <t>Shannons Team webinar</t>
  </si>
  <si>
    <t>Sign NPE</t>
  </si>
  <si>
    <t>waiting for Smarty contract review</t>
  </si>
  <si>
    <t>Sponsoring ANZ GIF- Sydney</t>
  </si>
  <si>
    <t>Sponsoring at Gold this year</t>
  </si>
  <si>
    <t>Need to get contract in with signature by 4/30</t>
  </si>
  <si>
    <t>Sponsoring Europe GIF - Brussles</t>
  </si>
  <si>
    <t>Submit remaining docs to Lexis for MVR</t>
  </si>
  <si>
    <t>They will be an NPE free once they complete training.</t>
  </si>
  <si>
    <t>Tim to provide customer list for PolicyCenter</t>
  </si>
  <si>
    <t>Tim to send the cosell referral document template.</t>
  </si>
  <si>
    <t>To disuss Guidewire Connections '25 Pipeline</t>
  </si>
  <si>
    <t>Training registration for person</t>
  </si>
  <si>
    <t>Lexis resource has completed no training.</t>
  </si>
  <si>
    <t>UK TTPA for Claims</t>
  </si>
  <si>
    <t>Contract in review</t>
  </si>
  <si>
    <t>Update common customer list and GW pipeline</t>
  </si>
  <si>
    <t>very close to getting approval. were some anti-trust issues.
Pzu in poland
National Farmers Union in the UK. 
Repositioning to numbers... 
Are connected at DLG vial mulesoft. 
common customers are mostly pricing and not integrated.</t>
  </si>
  <si>
    <t>Update on customer counts, and pipeline in GW customer base</t>
  </si>
  <si>
    <t>update to cloud accelerator is Las Lenas</t>
  </si>
  <si>
    <t>suggested moving to n right after</t>
  </si>
  <si>
    <t>Update to Premier Partner - send amendment</t>
  </si>
  <si>
    <t>9/26/25: WFX submitted signed Amendment for GW to review/sign</t>
  </si>
  <si>
    <t>Updated accelerator CSG</t>
  </si>
  <si>
    <t>Updated APD Accelerator</t>
  </si>
  <si>
    <t>Video request from Marketing</t>
  </si>
  <si>
    <t>we don't have a customer yet for APD or CSG... with cloud accelerator implemented. will defer until then.</t>
  </si>
  <si>
    <t>GW Marketing</t>
  </si>
  <si>
    <t>Waiting on Audit final report</t>
  </si>
  <si>
    <t>Joseph is wrapping up work product and will send to Mitch</t>
  </si>
  <si>
    <t>want access to educvation portal</t>
  </si>
  <si>
    <t>Now free. Also want APD</t>
  </si>
  <si>
    <t>want to update to Gold at connections</t>
  </si>
  <si>
    <t>Nancy Daniel is checking</t>
  </si>
  <si>
    <t>Webinar on APD</t>
  </si>
  <si>
    <t>Lisa working on the press release. There is something also with Laura Drabik</t>
  </si>
  <si>
    <t>Western Reserve Group / Blue Prism</t>
  </si>
  <si>
    <t>What is the decision on BBG continuing on contracted maintenance August 1</t>
  </si>
  <si>
    <t>We need to get a statement of work in place to cover it and these won't get your legal approval quickly</t>
  </si>
  <si>
    <t>Whatfix Guidewire Certification</t>
  </si>
  <si>
    <t>11/25/24 Update: 
@Aryandeep Shukla from Whatfix has completed the certification. He is also the Whatfix sales engineering lead working on updating the instance to the latest version.
"2/13/25: Upgrade completed by both Gw and Whatfix team ; accelerator upgrade to Cloud.  Las Lenas version now on Marketplace</t>
  </si>
  <si>
    <t>Whatfix NPE Updates</t>
  </si>
  <si>
    <t>Update the NPE from n-2 currently to Niseco immediately or it will be Deactivated by cloud ops December 2025</t>
  </si>
  <si>
    <t>Whatfix Partner Awards - Sentry</t>
  </si>
  <si>
    <t>WFX team has 95% of the questions responded today with the collaboration from Sentry. Tim/Tony to review responses and align on strength prior to submitting. Pending some additional business metrics from Chris at Sentry</t>
  </si>
  <si>
    <t>Whatfix to update accelerators to Niseco</t>
  </si>
  <si>
    <t>What is the update and status - stops working in December</t>
  </si>
  <si>
    <t>who is valid SI with a consulting license</t>
  </si>
  <si>
    <t>Work Assignment for BBG Maintenance</t>
  </si>
  <si>
    <t>Draft provided to business review</t>
  </si>
  <si>
    <t>Work Comp Layer - want to talk about it soon.</t>
  </si>
  <si>
    <t>Bill Morgan is meeting 1st week of December. Also talked to sales enablement.  Did a demo of our accelerator. Continue to support and consult to the Guidewire team as GW builds out this layer.</t>
  </si>
  <si>
    <t>Work Orders</t>
  </si>
  <si>
    <t>Write a Blog for Guidewire Website around migration from on-prem to cloud</t>
  </si>
  <si>
    <t>Plan to record 2nd half September. Recommend inviting Zac.</t>
  </si>
  <si>
    <t>ZNA</t>
  </si>
  <si>
    <t>Call w. Zac G on 3.10.25: ac shared account download with Whatfix team and Whatfix team shared current pursuit details of stakeholders and team currently in discussions with regarding Whatfix. Tony sent Zac G Whatfix value benefits and value deck to have handy when connecting with ZNA stakeholder team to get Whatfix into his strategic conversations, while also connecting the dots of who Whatfix is engaged with today</t>
  </si>
  <si>
    <t>Zoom Audio Edits</t>
  </si>
  <si>
    <t>Marketplace Activities</t>
  </si>
  <si>
    <t>Priority</t>
  </si>
  <si>
    <t>Cost</t>
  </si>
  <si>
    <t>Date and Location</t>
  </si>
  <si>
    <t>Start Date</t>
  </si>
  <si>
    <t>Request Type</t>
  </si>
  <si>
    <t>Urgency</t>
  </si>
  <si>
    <t>Number of Meetings or Receptions</t>
  </si>
  <si>
    <t>Total Audience</t>
  </si>
  <si>
    <t>Expected Attendance</t>
  </si>
  <si>
    <t>Speaking Opportunity</t>
  </si>
  <si>
    <t>Justification Link</t>
  </si>
  <si>
    <t>Brand Details</t>
  </si>
  <si>
    <t>Final Approval Date</t>
  </si>
  <si>
    <t>Eric Decision</t>
  </si>
  <si>
    <t>Marketing Decision</t>
  </si>
  <si>
    <t>Will Decision</t>
  </si>
  <si>
    <t>Earnix 2026 Excelerate</t>
  </si>
  <si>
    <t>Marketing Events Approval Requests</t>
  </si>
  <si>
    <t>Priority 1</t>
  </si>
  <si>
    <t>London 2026</t>
  </si>
  <si>
    <t>Live Event</t>
  </si>
  <si>
    <t>Normal</t>
  </si>
  <si>
    <t>No</t>
  </si>
  <si>
    <t>Logo on a booth</t>
  </si>
  <si>
    <t>Live event for AWS</t>
  </si>
  <si>
    <t>Approved</t>
  </si>
  <si>
    <t>AAIS</t>
  </si>
  <si>
    <t>https://events.aaisonline.com/2025aaismaineventsponsorships/Opportunities</t>
  </si>
  <si>
    <t>April 6-8 ClearWater FLA</t>
  </si>
  <si>
    <t>3 in total = 1 potential carrier (Insurors Indemnity) 2 vanguard prospects (FireFly + Adaptify), 1 existing partner(P*K)</t>
  </si>
  <si>
    <t>300-400</t>
  </si>
  <si>
    <t>Table in the Exhibit Hall with Marketplace branding. Guidewire Corp logo during Keynote speaker and networking break sessions</t>
  </si>
  <si>
    <t>InsurtechLIVE Networking Event in Australia (Ketaki Padhye to complete) Approved via Will Murphy, leadership meeting, 12/19.</t>
  </si>
  <si>
    <t>Ketaki Padehye</t>
  </si>
  <si>
    <t>Workers Comp IV Pitch Day (with GIF or Insurtech Insights)</t>
  </si>
  <si>
    <t>Nearmap Execitve Summit with GW Sponsor</t>
  </si>
  <si>
    <t>Nearmap US, Inc.</t>
  </si>
  <si>
    <t>APAC MYSU</t>
  </si>
  <si>
    <t>Box Works</t>
  </si>
  <si>
    <t>BOX</t>
  </si>
  <si>
    <t>November 12 -13 , 2024 San Francisco, CA</t>
  </si>
  <si>
    <t>CoreLogic Customer Event</t>
  </si>
  <si>
    <t>March 23 -25, 2025 Los Angeles, CA (rescheduled)</t>
  </si>
  <si>
    <t>InsuranceSuite Customers</t>
  </si>
  <si>
    <t>No speaking role</t>
  </si>
  <si>
    <t>Logo will appear on a booth</t>
  </si>
  <si>
    <t>Developer Summit + hackathon</t>
  </si>
  <si>
    <t>https://www.excelerate.earnix.com/</t>
  </si>
  <si>
    <t>September 25-26, 2024. London</t>
  </si>
  <si>
    <t>PolicyCenter and iNow customers</t>
  </si>
  <si>
    <t>Christina Lucas is a keynote</t>
  </si>
  <si>
    <t>Logo will appear on booth</t>
  </si>
  <si>
    <t>WTW - event pending</t>
  </si>
  <si>
    <t>Priority 3</t>
  </si>
  <si>
    <t>London.. summer 2025</t>
  </si>
  <si>
    <t>EMEA IV Pitch Day  (with GIF or Insurtech Insights, London Markets)</t>
  </si>
  <si>
    <t>June 26th</t>
  </si>
  <si>
    <t>EMEA Mid year sales update MYSU</t>
  </si>
  <si>
    <t>Evolution IQ</t>
  </si>
  <si>
    <t>https://www.wcrinet.org/news/news_info/save-the-date-2025-wcri-issues-research-conference-march-6-7-in-phoenix-az</t>
  </si>
  <si>
    <t>Gregg Rabenold</t>
  </si>
  <si>
    <t>Workers Compensation Research Institute  Conference, March 6- 7 Phoenix</t>
  </si>
  <si>
    <t>Dinner with 20 customers/prospects</t>
  </si>
  <si>
    <t>Joint customers and prospects</t>
  </si>
  <si>
    <t>15 - 20</t>
  </si>
  <si>
    <t>Dinners / social events around other EIQ or GW participting events</t>
  </si>
  <si>
    <t>Sales pitch and networking</t>
  </si>
  <si>
    <t>https://www.ncci.com/Articles/Pages/Insights-AIS-Save-the-Date-2025.aspx</t>
  </si>
  <si>
    <t>National Council on Compensation Insurance,  May 12 -13, 2025</t>
  </si>
  <si>
    <t>TBD - (NYC or Chicago)</t>
  </si>
  <si>
    <t>15-20</t>
  </si>
  <si>
    <t>Executive Symposium</t>
  </si>
  <si>
    <t>Genesys</t>
  </si>
  <si>
    <t>TBD - working on co-marketing event ideas</t>
  </si>
  <si>
    <t>Genesys conference</t>
  </si>
  <si>
    <t>https://www.genesys.com/xperience</t>
  </si>
  <si>
    <t>September 8-10 Nashville</t>
  </si>
  <si>
    <t>3000 (200 insurers)</t>
  </si>
  <si>
    <t>Panel speaking opportunity, Gregg R to participate</t>
  </si>
  <si>
    <t>Small booth, banner and meeting recognition</t>
  </si>
  <si>
    <t>Insurtech (Las Vegas) - IV Pitch Day</t>
  </si>
  <si>
    <t>Insurtech Hartford</t>
  </si>
  <si>
    <t>Insurtech Innovators - Nordics</t>
  </si>
  <si>
    <t>Insurtech Insights London - Show Customer Marketplace</t>
  </si>
  <si>
    <t>Invoice Cloud / Guidewire</t>
  </si>
  <si>
    <t>Bourbon Tasting - Behind the barrel</t>
  </si>
  <si>
    <t>ITC Trade Show Vegas - Partner Recruitment</t>
  </si>
  <si>
    <t>https://vegas.insuretechconnect.com/</t>
  </si>
  <si>
    <t>Lisa Vingerhoet, Gregg Rabenold</t>
  </si>
  <si>
    <t>Las Vegas, 10/15- 10/17</t>
  </si>
  <si>
    <t>Nearmap reception and EIQ</t>
  </si>
  <si>
    <t>IVANS</t>
  </si>
  <si>
    <t>Link</t>
  </si>
  <si>
    <t>Ivans Insuretech Boston May 15th</t>
  </si>
  <si>
    <t>Conference</t>
  </si>
  <si>
    <t>3 - 500</t>
  </si>
  <si>
    <t>Marketplace Lunch and Learn (in planning)</t>
  </si>
  <si>
    <t>One Inc Customer Conference</t>
  </si>
  <si>
    <t>Marco Island, May 7-9</t>
  </si>
  <si>
    <t>One Inc Masters Event</t>
  </si>
  <si>
    <t>Augusta GA, April 7 - 13</t>
  </si>
  <si>
    <t>Customer execs</t>
  </si>
  <si>
    <t>10 customers - Chubb, PMA, West Bend, Aspire, The Hartford, TMHCC, EMC, Encova</t>
  </si>
  <si>
    <t>N/A</t>
  </si>
  <si>
    <t>Re:Invent Customer Dinner</t>
  </si>
  <si>
    <t>Re:Invent Executive Track Dinner</t>
  </si>
  <si>
    <t>Smart AMER</t>
  </si>
  <si>
    <t>https://www.smartcommunications.com/resources/events/innovate/</t>
  </si>
  <si>
    <t>New Orleans, April 23-25, 2025</t>
  </si>
  <si>
    <t>Yes - Future of Claims break out to insurance attendees</t>
  </si>
  <si>
    <t>Marketplace logo at the table and on all materials</t>
  </si>
  <si>
    <t>Smart Communications MDF 20K</t>
  </si>
  <si>
    <t>Smart EMEA</t>
  </si>
  <si>
    <t>London, Sept 2025</t>
  </si>
  <si>
    <t>Syngery / VPMOM Post Q4 (CKO)</t>
  </si>
  <si>
    <t>Verisk Claims</t>
  </si>
  <si>
    <t>https://events.verisk.com/event/4b92d2b7-71a6-4fcb-82ed-0a8a2938aa20/websitePage:97164067-80b9-419d-a1d4-5c44539aed43</t>
  </si>
  <si>
    <t>Salt Lake City. Feb 3-6 2025</t>
  </si>
  <si>
    <t>Claimcenter and iNow customerws</t>
  </si>
  <si>
    <t>Booth</t>
  </si>
  <si>
    <t>Insurtech Australia Gold Partner Sponsorship</t>
  </si>
  <si>
    <t>https://insurtechaustralia.org/</t>
  </si>
  <si>
    <t>12 months MEMBERSHIP</t>
  </si>
  <si>
    <t>Insurtech Community and P&amp;C Carriers in Australia and NZ</t>
  </si>
  <si>
    <t>TBD</t>
  </si>
  <si>
    <t>1. Facilitated Introductions to insurtech network
2. Exclusive invitations to IA Partner and Insurtech-only networking events
3. Promotion of partner event/s or initiative/s to IA networks
4. Priority for development of thought leadership contribution (articles, events, digital channels).</t>
  </si>
  <si>
    <t>CCC</t>
  </si>
  <si>
    <t>Priority 2</t>
  </si>
  <si>
    <t>May 13 - 15, 2025 Frisco Texas</t>
  </si>
  <si>
    <t>Gregg Rabenold speaking on panel during conference about ecosystems</t>
  </si>
  <si>
    <t>GSAC</t>
  </si>
  <si>
    <t>GSAC/CAPS Professional Services Meeting</t>
  </si>
  <si>
    <t>GSC</t>
  </si>
  <si>
    <t>Marketplace Summit (in planning, possibly combine with InsurPitch)</t>
  </si>
  <si>
    <t>CIAB ILF (Council for Insurance Agents and Brokers)</t>
  </si>
  <si>
    <t>Connected Claims</t>
  </si>
  <si>
    <t>EMEA Paris Seller Enablement</t>
  </si>
  <si>
    <t>EMEA Regional Sales KO</t>
  </si>
  <si>
    <t>EMEA SI Partner Advisory</t>
  </si>
  <si>
    <t>NAMIC Management</t>
  </si>
  <si>
    <t>National Insurance Conference of Canada</t>
  </si>
  <si>
    <t>TinTech Power Lunch UK</t>
  </si>
  <si>
    <t>Auto Insurance Report Conf</t>
  </si>
  <si>
    <t>OnRamp</t>
  </si>
  <si>
    <t>Cotality Interconnect 2026 - Headshot studio sponsor - $10,000</t>
  </si>
  <si>
    <t>https://intrconnect.cotality.com/event/6924361e-50f7-40b7-8ed4-19f64208d9a4/intrconnect-26</t>
  </si>
  <si>
    <t>Headshot studio sponsor - We would have Guidewire branding on the headshot studio. Totality sponsored connections this year and there is strong hope for reciprocal support</t>
  </si>
  <si>
    <t>Whitepaper or Customer Success</t>
  </si>
  <si>
    <t>Item</t>
  </si>
  <si>
    <t>Summary of Partner Activities</t>
  </si>
  <si>
    <t>Temperature</t>
  </si>
  <si>
    <t>Engagement</t>
  </si>
  <si>
    <t>Status</t>
  </si>
  <si>
    <t>PartnerBoard</t>
  </si>
  <si>
    <t>CustomerBoard</t>
  </si>
  <si>
    <t>MarketingLevel</t>
  </si>
  <si>
    <t>Green</t>
  </si>
  <si>
    <t>Active</t>
  </si>
  <si>
    <t>Activated</t>
  </si>
  <si>
    <t>High</t>
  </si>
  <si>
    <t>Very Active</t>
  </si>
  <si>
    <t>Occational</t>
  </si>
  <si>
    <t>Quite happy generally. Not seeing huge traction with downloads or customer connections. Need to do more to support and promote</t>
  </si>
  <si>
    <t>Company made major cuts due to earnings miss and gutted their alliance program down to two people. Very good traction with Guidewire custmers</t>
  </si>
  <si>
    <t>42 Accelerators. Huge footprint</t>
  </si>
  <si>
    <t>Just published their accelerator. One customer asking for changes due to unique way of batching transactions.</t>
  </si>
  <si>
    <t>Very happy. Asking for some fixes due to api breaking changes that will cost $8K</t>
  </si>
  <si>
    <t>Built RFG Accelerator. Wanting a quote on a new one for their property apis similar to Smarty</t>
  </si>
  <si>
    <t>Agentsync</t>
  </si>
  <si>
    <t>Yellow</t>
  </si>
  <si>
    <t>Happy about accelerator publishing. Very cost conscious</t>
  </si>
  <si>
    <t>Not seeing value from partnership</t>
  </si>
  <si>
    <t>Red</t>
  </si>
  <si>
    <t>Expecting to sign a build and maintenance BBG agreement for around 200K</t>
  </si>
  <si>
    <t>Mostly checked out. We were unable to sponsor their conference</t>
  </si>
  <si>
    <t>Disengaged</t>
  </si>
  <si>
    <t>Strategic</t>
  </si>
  <si>
    <t>Very unhappy with how relationship has cooled since PricingCenter announced. Still heavy traction with our customers</t>
  </si>
  <si>
    <t>Patrick joined as Alliance Manager. Very engaged building accelerator.</t>
  </si>
  <si>
    <t>Indigo Data Solutions, Inc.</t>
  </si>
  <si>
    <t>InsurePay</t>
  </si>
  <si>
    <t>Agreed to pay for maintenance.,Showing delivery in February</t>
  </si>
  <si>
    <t>Accelerators modernized finally</t>
  </si>
  <si>
    <t>Onboarded</t>
  </si>
  <si>
    <t>Stripe</t>
  </si>
  <si>
    <t>BoardName</t>
  </si>
  <si>
    <t>ID</t>
  </si>
  <si>
    <t>Tab</t>
  </si>
  <si>
    <t>Permission</t>
  </si>
  <si>
    <t>GW_PartnerManagementActivities</t>
  </si>
  <si>
    <t>PartnerManagement</t>
  </si>
  <si>
    <t>GW_TechOpsActivities</t>
  </si>
  <si>
    <t>SolutionOps</t>
  </si>
  <si>
    <t>Marketing Activities</t>
  </si>
  <si>
    <t>GW_MarketingActivities</t>
  </si>
  <si>
    <t>MarketingProjects</t>
  </si>
  <si>
    <t>GW_IntegrationComplianceActivities</t>
  </si>
  <si>
    <t>Month</t>
  </si>
  <si>
    <t>Week</t>
  </si>
  <si>
    <t>Date</t>
  </si>
  <si>
    <t>Formula</t>
  </si>
  <si>
    <t>EventDate</t>
  </si>
  <si>
    <t>Submission link</t>
  </si>
  <si>
    <t>Tech Alert - Portal UI/UX Refresh</t>
  </si>
  <si>
    <t>Pending</t>
  </si>
  <si>
    <t>Marketing Event Calendar</t>
  </si>
  <si>
    <t>September</t>
  </si>
  <si>
    <t>Newsletters + Email Campaigns</t>
  </si>
  <si>
    <t>Synergy</t>
  </si>
  <si>
    <t>August</t>
  </si>
  <si>
    <t>GW Events/ MP Summit</t>
  </si>
  <si>
    <t>Tech Alert BTS Education</t>
  </si>
  <si>
    <t>Connections Executive Track</t>
  </si>
  <si>
    <t>October</t>
  </si>
  <si>
    <t>Marketplace Summit APAC</t>
  </si>
  <si>
    <t>November</t>
  </si>
  <si>
    <t>Insuretech Innovators Summit London</t>
  </si>
  <si>
    <t>LIve Event</t>
  </si>
  <si>
    <t>ITC OneSpan Reception</t>
  </si>
  <si>
    <t>ITC Insuretech Pitch</t>
  </si>
  <si>
    <t>ITC Nearmap Reception</t>
  </si>
  <si>
    <t>Roots Webinar with M Anderson + Erie</t>
  </si>
  <si>
    <t>Press Releae</t>
  </si>
  <si>
    <t>Roots PR for joint Webinar</t>
  </si>
  <si>
    <t>Partner Newsletter</t>
  </si>
  <si>
    <t>Customer Newsletter</t>
  </si>
  <si>
    <t>Internal Newsletter</t>
  </si>
  <si>
    <t>Partner Newsletter (copy)</t>
  </si>
  <si>
    <t>December</t>
  </si>
  <si>
    <t>Internal Newsletter (copy)</t>
  </si>
  <si>
    <t>Connections Know Before You Go Email</t>
  </si>
  <si>
    <t>Partner Awards Linked in</t>
  </si>
  <si>
    <t>Social Promo</t>
  </si>
  <si>
    <t>Newgen Spring Campaign Post</t>
  </si>
  <si>
    <t>Cadenx RX Announcement</t>
  </si>
  <si>
    <t>Cadenx</t>
  </si>
  <si>
    <t>Livegenic new Integration</t>
  </si>
  <si>
    <t>Livegenic,  Inc aka Wilbur</t>
  </si>
  <si>
    <t>DingGo new Partner Announcement</t>
  </si>
  <si>
    <t>DingGo</t>
  </si>
  <si>
    <t>Postex New Partner Announcement</t>
  </si>
  <si>
    <t>Postex</t>
  </si>
  <si>
    <t>Epam</t>
  </si>
  <si>
    <t>OpenText</t>
  </si>
  <si>
    <t>OpenText Inc.</t>
  </si>
  <si>
    <t>ITV Vegas</t>
  </si>
  <si>
    <t>Boxworks</t>
  </si>
  <si>
    <t>Swiss Re Enablement Webinar</t>
  </si>
  <si>
    <t>Webinar</t>
  </si>
  <si>
    <t>Tim on Newgen Webinar</t>
  </si>
  <si>
    <t>Hyland Webinar w/Gregg</t>
  </si>
  <si>
    <t>Hyland Software, Inc.</t>
  </si>
  <si>
    <t>Marketplace Enablement Webinar</t>
  </si>
  <si>
    <t>Roots Webinar w/Michael A</t>
  </si>
  <si>
    <t>OpenText Webinar w/Gregg</t>
  </si>
  <si>
    <t>One Inc/GW blog: Claims litigation and nuclear verdicts</t>
  </si>
  <si>
    <t>Blogs</t>
  </si>
  <si>
    <t>Smarty Blog</t>
  </si>
  <si>
    <t>Hi Marley Blog</t>
  </si>
  <si>
    <t>Hi Marley</t>
  </si>
  <si>
    <t>Roots Partner Posting Blog</t>
  </si>
  <si>
    <t>Connections on MP.com (copy)</t>
  </si>
  <si>
    <t>GW.com or MP.com Promo</t>
  </si>
  <si>
    <t>Connections on MP.com</t>
  </si>
  <si>
    <t>Excellence Award Winners</t>
  </si>
  <si>
    <t>Smart Innovate London</t>
  </si>
  <si>
    <t>Nordic User Group Michael Anderson Presentation</t>
  </si>
  <si>
    <t>HX Live</t>
  </si>
  <si>
    <t>Earnix Excelerate</t>
  </si>
  <si>
    <t>Connections</t>
  </si>
  <si>
    <t>Smarty Talking Points</t>
  </si>
  <si>
    <t>Sales Enablement Pitch Pkgs</t>
  </si>
  <si>
    <t>Nearmap Talking Points</t>
  </si>
  <si>
    <t>Whatfix Pannel at ITC</t>
  </si>
  <si>
    <t>Whatfix Partner Day</t>
  </si>
  <si>
    <t>Whatfix Partner Day Webinar</t>
  </si>
  <si>
    <t>Verisk Blog</t>
  </si>
  <si>
    <t>test 2ab</t>
  </si>
  <si>
    <t>From</t>
  </si>
  <si>
    <t>To</t>
  </si>
  <si>
    <t>Addatech</t>
  </si>
  <si>
    <t>ADDATECH Systems</t>
  </si>
  <si>
    <t>Appulate</t>
  </si>
  <si>
    <t>ARB</t>
  </si>
  <si>
    <t>ARMA</t>
  </si>
  <si>
    <t>ARMA Group Holdings</t>
  </si>
  <si>
    <t>AWS</t>
  </si>
  <si>
    <t>Amazon Web Services, Inc</t>
  </si>
  <si>
    <t>Belron</t>
  </si>
  <si>
    <t>Caliber</t>
  </si>
  <si>
    <t>Caliber Data Processing, LLC</t>
  </si>
  <si>
    <t>CamCom</t>
  </si>
  <si>
    <t>CamCom Technologies Pvt. Ltd.</t>
  </si>
  <si>
    <t>Cenata</t>
  </si>
  <si>
    <t>Codafication</t>
  </si>
  <si>
    <t>Convr</t>
  </si>
  <si>
    <t>Convr, Inc.</t>
  </si>
  <si>
    <t>Copart</t>
  </si>
  <si>
    <t>Corvel</t>
  </si>
  <si>
    <t>CorVel Healthcare Corporation</t>
  </si>
  <si>
    <t>Cox</t>
  </si>
  <si>
    <t>Cox Automotive Australia Pty Ltd</t>
  </si>
  <si>
    <t>CSIO</t>
  </si>
  <si>
    <t>Centre for Study of Insurance Operations</t>
  </si>
  <si>
    <t>Darva</t>
  </si>
  <si>
    <t>DARVA</t>
  </si>
  <si>
    <t>DAS</t>
  </si>
  <si>
    <t>Digital Agriculture Services (DAS)</t>
  </si>
  <si>
    <t>Datavail</t>
  </si>
  <si>
    <t>DocuSign</t>
  </si>
  <si>
    <t>ABI Document Support Services(R) LLC</t>
  </si>
  <si>
    <t>Dream Payments</t>
  </si>
  <si>
    <t>Genpact</t>
  </si>
  <si>
    <t>Ghostdraft</t>
  </si>
  <si>
    <t>Gigaforce</t>
  </si>
  <si>
    <t>Gradient AI</t>
  </si>
  <si>
    <t>Gradient A.I. Corp.</t>
  </si>
  <si>
    <t>Gryphon</t>
  </si>
  <si>
    <t>Gryphon Networks Corp</t>
  </si>
  <si>
    <t>Hubio</t>
  </si>
  <si>
    <t>Hyland</t>
  </si>
  <si>
    <t>HyperExponential</t>
  </si>
  <si>
    <t>Indico</t>
  </si>
  <si>
    <t>Indico Data Solutions, Inc</t>
  </si>
  <si>
    <t>Indico Data</t>
  </si>
  <si>
    <t>Insurance Service Office (ISO)</t>
  </si>
  <si>
    <t>itel</t>
  </si>
  <si>
    <t>itel Laboratories, inc.</t>
  </si>
  <si>
    <t>Ivans</t>
  </si>
  <si>
    <t>Jopari</t>
  </si>
  <si>
    <t>KennedysIQ</t>
  </si>
  <si>
    <t>Kennedys IQ Limited</t>
  </si>
  <si>
    <t>Kyber Technologies</t>
  </si>
  <si>
    <t>LenderDock</t>
  </si>
  <si>
    <t>LexisNexis</t>
  </si>
  <si>
    <t>Liberate</t>
  </si>
  <si>
    <t>Livegenic</t>
  </si>
  <si>
    <t>Medallia</t>
  </si>
  <si>
    <t>Mitchell</t>
  </si>
  <si>
    <t>Monoova</t>
  </si>
  <si>
    <t>Monoova Payments Pty Ltd</t>
  </si>
  <si>
    <t>Nearmap</t>
  </si>
  <si>
    <t>Newgen</t>
  </si>
  <si>
    <t>ODG</t>
  </si>
  <si>
    <t>OneInc</t>
  </si>
  <si>
    <t>Onespan</t>
  </si>
  <si>
    <t>OneSpan</t>
  </si>
  <si>
    <t>Opentext</t>
  </si>
  <si>
    <t>Photocert</t>
  </si>
  <si>
    <t>Pilotbird</t>
  </si>
  <si>
    <t>Precisely</t>
  </si>
  <si>
    <t>ProNavigator</t>
  </si>
  <si>
    <t>ProNav Technologies Ltd</t>
  </si>
  <si>
    <t>Quantexa</t>
  </si>
  <si>
    <t>Replicant</t>
  </si>
  <si>
    <t>Replicant Solutions, Inc.</t>
  </si>
  <si>
    <t>Rising Medical Solutions</t>
  </si>
  <si>
    <t>Rising Medical Solutions, LLC</t>
  </si>
  <si>
    <t>Risk Control Tech</t>
  </si>
  <si>
    <t>RiskJockey</t>
  </si>
  <si>
    <t>RiskJockey, Inc.</t>
  </si>
  <si>
    <t>Roots</t>
  </si>
  <si>
    <t>Seiko Solutions</t>
  </si>
  <si>
    <t>Seiko Solutions Inc.</t>
  </si>
  <si>
    <t>Shift Technology</t>
  </si>
  <si>
    <t>Smartcomm</t>
  </si>
  <si>
    <t>SmartComm</t>
  </si>
  <si>
    <t>Smarty</t>
  </si>
  <si>
    <t>Social Discovery</t>
  </si>
  <si>
    <t>Social Discovery Corp.</t>
  </si>
  <si>
    <t>Streamline</t>
  </si>
  <si>
    <t>Streamline Imaging LLC</t>
  </si>
  <si>
    <t>Swiss Re</t>
  </si>
  <si>
    <t>SwissRe</t>
  </si>
  <si>
    <t>Truuth</t>
  </si>
  <si>
    <t>Locii Pty Ltd (Trading as Truuth)</t>
  </si>
  <si>
    <t>Whatfix</t>
  </si>
  <si>
    <t>January</t>
  </si>
  <si>
    <t>February</t>
  </si>
  <si>
    <t>March</t>
  </si>
  <si>
    <t>April</t>
  </si>
  <si>
    <t>May</t>
  </si>
  <si>
    <t>June</t>
  </si>
  <si>
    <t>July</t>
  </si>
  <si>
    <t>boardID</t>
  </si>
  <si>
    <t>boardName</t>
  </si>
  <si>
    <t>boardType</t>
  </si>
  <si>
    <t>workspaceID</t>
  </si>
  <si>
    <t>workspaceName</t>
  </si>
  <si>
    <t>Subitems of Test Managed Submission Board</t>
  </si>
  <si>
    <t>public</t>
  </si>
  <si>
    <t>Partner Projects (Development)</t>
  </si>
  <si>
    <t>Test Managed Submission Board</t>
  </si>
  <si>
    <t>Subitems of DEV Project Steps Template</t>
  </si>
  <si>
    <t>DEV Project Steps Template</t>
  </si>
  <si>
    <t>Subitems of Duplicate of Partner Project Tracking</t>
  </si>
  <si>
    <t>Duplicate of Partner Project Tracking</t>
  </si>
  <si>
    <t>Subitems of Package Submission Test Board</t>
  </si>
  <si>
    <t>Package Submission Test Board</t>
  </si>
  <si>
    <t>PwC - CDA Connector</t>
  </si>
  <si>
    <t>Bhaskar Test</t>
  </si>
  <si>
    <t>Subitems of Project Steps Template</t>
  </si>
  <si>
    <t>Project Steps Template</t>
  </si>
  <si>
    <t>Subitems of [Internal]Upgrade Test Board by</t>
  </si>
  <si>
    <t>share</t>
  </si>
  <si>
    <t>Partner Projects</t>
  </si>
  <si>
    <t>[Internal]Upgrade Test Board by</t>
  </si>
  <si>
    <t>Subitems of Floatbot Accelerator for ClaimCenter Cloud by Floatbot</t>
  </si>
  <si>
    <t>Floatbot Accelerator for ClaimCenter Cloud by Floatbot</t>
  </si>
  <si>
    <t>Subitems of InvoiceCloud Accelerator for BillingCenter Cloud (treated as a new accelerator)</t>
  </si>
  <si>
    <t>InvoiceCloud Accelerator for BillingCenter Cloud (treated as a new accelerator)</t>
  </si>
  <si>
    <t>Subitems of InvoiceCloud Accelerator for PolicyCenter Cloud Olos (treated as a new accelerator)</t>
  </si>
  <si>
    <t>InvoiceCloud Accelerator for PolicyCenter Cloud Olos (treated as a new accelerator)</t>
  </si>
  <si>
    <t>Subitems of Alacrity THD Accelerator for ClaimCenter Cloud by Alacrity</t>
  </si>
  <si>
    <t>Alacrity THD Accelerator for ClaimCenter Cloud by Alacrity</t>
  </si>
  <si>
    <t>Subitems of DingGo Accelerator for ClaimCenter by DingGo</t>
  </si>
  <si>
    <t>DingGo Accelerator for ClaimCenter by DingGo</t>
  </si>
  <si>
    <t>Subitems of N2uitive Accelerator for ClaimCenter Cloud by GFT</t>
  </si>
  <si>
    <t>N2uitive Accelerator for ClaimCenter Cloud by GFT</t>
  </si>
  <si>
    <t>Subitems of [Update] LexusNexis Policy Reports by</t>
  </si>
  <si>
    <t>[Update] LexusNexis Policy Reports by</t>
  </si>
  <si>
    <t>Subitems of [Update] IVANS Accelerator for PolicyCenter Cloud by Ivans</t>
  </si>
  <si>
    <t>[Update] IVANS Accelerator for PolicyCenter Cloud by Ivans</t>
  </si>
  <si>
    <t>Subitems of BBG/RFG Maintenance Upgrades</t>
  </si>
  <si>
    <t>Subitems of [Update] The Arbitration Forums Recovery Accelerator for ClaimCenter Cloud by ARB</t>
  </si>
  <si>
    <t>[Update] The Arbitration Forums Recovery Accelerator for ClaimCenter Cloud by ARB</t>
  </si>
  <si>
    <t>Subitems of Verisk Statistical Service Accelerator for ClaimCenter Cloud by Verisk</t>
  </si>
  <si>
    <t>Verisk Statistical Service Accelerator for ClaimCenter Cloud by Verisk</t>
  </si>
  <si>
    <t>Subitems of Verisk Accelerator for Digital Media Forensics for ClaimCenter</t>
  </si>
  <si>
    <t>Verisk Accelerator for Digital Media Forensics for ClaimCenter</t>
  </si>
  <si>
    <t>Subitems of USA EV Insurance Product Model by ValueMomentum by Valuemomentum</t>
  </si>
  <si>
    <t>USA EV Insurance Product Model by ValueMomentum by Valuemomentum</t>
  </si>
  <si>
    <t>Subitems of CDA Connector by ValueMomentum</t>
  </si>
  <si>
    <t>CDA Connector by ValueMomentum</t>
  </si>
  <si>
    <t>Subitems of [Update] Verisk wcPrism 3.0 accelerator for ClaimCenter Cloud by Verisk</t>
  </si>
  <si>
    <t>[Update] Verisk wcPrism 3.0 accelerator for ClaimCenter Cloud by Verisk</t>
  </si>
  <si>
    <t>Subitems of Clyde&amp;Co Newton Legal Hub Accelerator for ClaimCenter Cloud by Clyde&amp;Co</t>
  </si>
  <si>
    <t>Clyde&amp;Co Newton Legal Hub Accelerator for ClaimCenter Cloud by Clyde&amp;Co</t>
  </si>
  <si>
    <t>Subitems of Verisk Liability Navigator Accelerator for ClaimCenter Cloud</t>
  </si>
  <si>
    <t>Verisk Liability Navigator Accelerator for ClaimCenter Cloud</t>
  </si>
  <si>
    <t>Subitems of Hyland Content Innovation Cloud for PolicyCenter by Hyland</t>
  </si>
  <si>
    <t>Hyland Content Innovation Cloud for PolicyCenter by Hyland</t>
  </si>
  <si>
    <t>Subitems of Gigaforce Accelerator for ClaimCenter Cloud by Gigaforce</t>
  </si>
  <si>
    <t>Gigaforce Accelerator for ClaimCenter Cloud by Gigaforce</t>
  </si>
  <si>
    <t>Subitems of Verisk Statistical Service for PolicyCenter Cloud by Verisk</t>
  </si>
  <si>
    <t>Verisk Statistical Service for PolicyCenter Cloud by Verisk</t>
  </si>
  <si>
    <t>Subitems of Verisk CV Contribution for PolicyCenter by Verisk</t>
  </si>
  <si>
    <t>Verisk CV Contribution for PolicyCenter by Verisk</t>
  </si>
  <si>
    <t>Subitems of [Update]Verisk wcNav 2.0 for ClaimCenter v10.2.4 by Verisk</t>
  </si>
  <si>
    <t>[Update]Verisk wcNav 2.0 for ClaimCenter v10.2.4 by Verisk</t>
  </si>
  <si>
    <t>Subitems of Verisk Risk Analyser Personal Auto &amp; Commercial Auto (RAPA, RACA) for PolicyCenter by Verisk</t>
  </si>
  <si>
    <t>Verisk Risk Analyser Personal Auto &amp; Commercial Auto (RAPA, RACA) for PolicyCenter by Verisk</t>
  </si>
  <si>
    <t>Subitems of Hyperexponential(hx) Rating accelerator for PolicyCenter by Hyperexponential</t>
  </si>
  <si>
    <t>Hyperexponential(hx) Rating accelerator for PolicyCenter by Hyperexponential</t>
  </si>
  <si>
    <t>Subitems of Replicant FNOL Accelerator for ClaimCenter by Replicant</t>
  </si>
  <si>
    <t>Replicant FNOL Accelerator for ClaimCenter by Replicant</t>
  </si>
  <si>
    <t>Subitems of Surety Accelerator by EPAM</t>
  </si>
  <si>
    <t>Surety Accelerator by EPAM</t>
  </si>
  <si>
    <t>Subitems of Manuscript Endorsement Accelerator for PC by Capgemini</t>
  </si>
  <si>
    <t>Manuscript Endorsement Accelerator for PC by Capgemini</t>
  </si>
  <si>
    <t>Subitems of InsOps by</t>
  </si>
  <si>
    <t>InsOps by</t>
  </si>
  <si>
    <t>Subitems of Wilbur(Livegenic) Accelerator for CC - AU Market by Livegenic</t>
  </si>
  <si>
    <t>Wilbur(Livegenic) Accelerator for CC - AU Market by Livegenic</t>
  </si>
  <si>
    <t>Subitems of Mitchell CSG by Mitchell</t>
  </si>
  <si>
    <t>Mitchell CSG by Mitchell</t>
  </si>
  <si>
    <t>Subitems of [Update] Earnix Accelerator for Rating and Pricing for PolicyCenter by Earnix</t>
  </si>
  <si>
    <t>[Update] Earnix Accelerator for Rating and Pricing for PolicyCenter by Earnix</t>
  </si>
  <si>
    <t>Subitems of Liberate Voice FNOL CC</t>
  </si>
  <si>
    <t>Liberate Voice FNOL CC</t>
  </si>
  <si>
    <t>Subitems of Akur8 Rating accelerator for PC by Akur8</t>
  </si>
  <si>
    <t>Akur8 Rating accelerator for PC by Akur8</t>
  </si>
  <si>
    <t>Subitems of RiskJockey FOIA Open Records by RiskJockey</t>
  </si>
  <si>
    <t>RiskJockey FOIA Open Records by RiskJockey</t>
  </si>
  <si>
    <t>Subitems of Exstream Communication BC Cloud by Opentext</t>
  </si>
  <si>
    <t>Exstream Communication BC Cloud by Opentext</t>
  </si>
  <si>
    <t>Subitems of Voltaire AI Accelerator for ClaimCenter by Voltaire</t>
  </si>
  <si>
    <t>Voltaire AI Accelerator for ClaimCenter by Voltaire</t>
  </si>
  <si>
    <t>Subitems of Verisk Liability Navigator Accelerator for ClaimCenter v10 by Verisk</t>
  </si>
  <si>
    <t>Verisk Liability Navigator Accelerator for ClaimCenter v10 by Verisk</t>
  </si>
  <si>
    <t>Subitems of Sprout.ai by Sprout.ai</t>
  </si>
  <si>
    <t>Sprout.ai by Sprout.ai</t>
  </si>
  <si>
    <t>Subitems of Test Accelrator for ClaimCenter by</t>
  </si>
  <si>
    <t>Test Accelrator for ClaimCenter by</t>
  </si>
  <si>
    <t>Subitems of (Update)InvoiceCloud Accelerator for BillingCenter</t>
  </si>
  <si>
    <t>(Update)InvoiceCloud Accelerator for BillingCenter</t>
  </si>
  <si>
    <t>Subitems of (Update)InvoiceCloud Accelerator for PolicyCenter</t>
  </si>
  <si>
    <t>(Update)InvoiceCloud Accelerator for PolicyCenter</t>
  </si>
  <si>
    <t>Subitems of Hexaware Service Request Automation for ClaimCenter on Niseko by Hexaware</t>
  </si>
  <si>
    <t>Hexaware Service Request Automation for ClaimCenter on Niseko by Hexaware</t>
  </si>
  <si>
    <t>Subitems of Verisk Claims search upgrade from G to M by</t>
  </si>
  <si>
    <t>Verisk Claims search upgrade from G to M by</t>
  </si>
  <si>
    <t>Subitems of ARMA Credit Clear by ARMA</t>
  </si>
  <si>
    <t>ARMA Credit Clear by ARMA</t>
  </si>
  <si>
    <t>Subitems of Standard Mobility by Yarowa</t>
  </si>
  <si>
    <t>Standard Mobility by Yarowa</t>
  </si>
  <si>
    <t>Subitems of ClaimCenter texting by Hi Marley</t>
  </si>
  <si>
    <t>ClaimCenter texting by Hi Marley</t>
  </si>
  <si>
    <t>Subitems of Darva Accelerator P&amp;L Claims Management for ClaimCenter Niseko by Darva</t>
  </si>
  <si>
    <t>Darva Accelerator P&amp;L Claims Management for ClaimCenter Niseko by Darva</t>
  </si>
  <si>
    <t>Subitems of GFT Image Viewer Accelerator for PolicyCenter &amp; BillingCenter by</t>
  </si>
  <si>
    <t>GFT Image Viewer Accelerator for PolicyCenter &amp; BillingCenter by</t>
  </si>
  <si>
    <t>Subitems of Gradient AI Accelerator for ClaimCenter Cloud by GradientAi</t>
  </si>
  <si>
    <t>Gradient AI Accelerator for ClaimCenter Cloud by GradientAi</t>
  </si>
  <si>
    <t>Subitems of Quadient Inspire Personalized Communications Accelerator for ClaimCenter</t>
  </si>
  <si>
    <t>Quadient Inspire Personalized Communications Accelerator for ClaimCenter</t>
  </si>
  <si>
    <t>Subitems of ProNavigator Accelerator for Expert for PolicyCenter by Pronavigator</t>
  </si>
  <si>
    <t>ProNavigator Accelerator for Expert for PolicyCenter by Pronavigator</t>
  </si>
  <si>
    <t>Subitems of Verisk Accelerator Benchmark Weather Verification for ClaimCenter</t>
  </si>
  <si>
    <t>Verisk Accelerator Benchmark Weather Verification for ClaimCenter</t>
  </si>
  <si>
    <t>Subitems of [Update] Verisk Accelerator MSPNav Section 111 for ClaimCenter Niseko by Verisk</t>
  </si>
  <si>
    <t>[Update] Verisk Accelerator MSPNav Section 111 for ClaimCenter Niseko by Verisk</t>
  </si>
  <si>
    <t>Subitems of Ontellus Accelerator for ClaimCenter by Ontellus</t>
  </si>
  <si>
    <t>Ontellus Accelerator for ClaimCenter by Ontellus</t>
  </si>
  <si>
    <t>Subitems of Postex Nederland Accelerator for PolicyCenter by Postex</t>
  </si>
  <si>
    <t>Postex Nederland Accelerator for PolicyCenter by Postex</t>
  </si>
  <si>
    <t>Subitems of ValueChecker Accelerator for ClaimCenter by ValueChecker</t>
  </si>
  <si>
    <t>ValueChecker Accelerator for ClaimCenter by ValueChecker</t>
  </si>
  <si>
    <t>Subitems of Clara Analytics Document Intelligence Pro for ClaimCenter</t>
  </si>
  <si>
    <t>Clara Analytics Document Intelligence Pro for ClaimCenter</t>
  </si>
  <si>
    <t>Subitems of [Update] Arbitration Forums Recovery Accelerator for ClaimCenter</t>
  </si>
  <si>
    <t>[Update] Arbitration Forums Recovery Accelerator for ClaimCenter</t>
  </si>
  <si>
    <t>Subitems of Submissions for brokers by Appulate</t>
  </si>
  <si>
    <t>Submissions for brokers by Appulate</t>
  </si>
  <si>
    <t>Subitems of Quantexa Accelerator for ClaimCenter</t>
  </si>
  <si>
    <t>Quantexa Accelerator for ClaimCenter</t>
  </si>
  <si>
    <t>Subitems of SubroConnect Accelerator for ClaimCenter by Caliber</t>
  </si>
  <si>
    <t>SubroConnect Accelerator for ClaimCenter by Caliber</t>
  </si>
  <si>
    <t>Subitems of [Update] EvolutionIQ Claims Guidance for Workers' Compensation for ClaimCenter</t>
  </si>
  <si>
    <t>[Update] EvolutionIQ Claims Guidance for Workers' Compensation for ClaimCenter</t>
  </si>
  <si>
    <t>Subitems of Cadence Rx CC Cloud by CadenceRx</t>
  </si>
  <si>
    <t>Cadence Rx CC Cloud by CadenceRx</t>
  </si>
  <si>
    <t>Subitems of Enlyte Casualty Solutions Accelerator for ClaimCenter</t>
  </si>
  <si>
    <t>Enlyte Casualty Solutions Accelerator for ClaimCenter</t>
  </si>
  <si>
    <t>Subitems of Nation Safe Drivers Accelerator for Roadside Assistance for PolicyCenter</t>
  </si>
  <si>
    <t>Nation Safe Drivers Accelerator for Roadside Assistance for PolicyCenter</t>
  </si>
  <si>
    <t>Subitems of Stripe Payments BC Self Managed by Stripe</t>
  </si>
  <si>
    <t>Stripe Payments BC Self Managed by Stripe</t>
  </si>
  <si>
    <t>Subitems of Stripe Accelerator for BillingCenter Cloud</t>
  </si>
  <si>
    <t>Subitems of Stripe Accelerator for ClaimCenter Cloud</t>
  </si>
  <si>
    <t>Stripe Accelerator for BillingCenter Cloud</t>
  </si>
  <si>
    <t>Stripe Accelerator for ClaimCenter Cloud</t>
  </si>
  <si>
    <t>Subitems of Niseko Breaking Changes Tracker</t>
  </si>
  <si>
    <t>BBG/RFG Maintenance Upgrades</t>
  </si>
  <si>
    <t>Subitems of Image Viewer by GFT for ClaimCenter</t>
  </si>
  <si>
    <t>Image Viewer by GFT for ClaimCenter</t>
  </si>
  <si>
    <t>Subitems of ProNavigator Accelerator for Expert for ClaimCenter</t>
  </si>
  <si>
    <t>ProNavigator Accelerator for Expert for ClaimCenter</t>
  </si>
  <si>
    <t>Project A</t>
  </si>
  <si>
    <t>AI report</t>
  </si>
  <si>
    <t>Project B</t>
  </si>
  <si>
    <t>Portfolio</t>
  </si>
  <si>
    <t>Project A - Resource planner</t>
  </si>
  <si>
    <t>Project B - Resource planner</t>
  </si>
  <si>
    <t>Getting started with WM for enterprise</t>
  </si>
  <si>
    <t>Subitems of [Update] Jopari ProPay Accelerator for ClaimCenter</t>
  </si>
  <si>
    <t>[Update] Jopari ProPay Accelerator for ClaimCenter</t>
  </si>
  <si>
    <t>Niseko Breaking Changes Tracker</t>
  </si>
  <si>
    <t>Subitems of [Update] Transcard Payment Solutions Suite</t>
  </si>
  <si>
    <t>[Update] Transcard Payment Solutions Suite</t>
  </si>
  <si>
    <t>Subitems of [Update] Friss Claims Analytics Accelerator for ClaimCenter</t>
  </si>
  <si>
    <t>[Update] Friss Claims Analytics Accelerator for ClaimCenter</t>
  </si>
  <si>
    <t>Subitems of Upgrade Testing</t>
  </si>
  <si>
    <t>Upgrade Testing</t>
  </si>
  <si>
    <t>Subitems of MedEbridge CC OnPrem by medEbridge</t>
  </si>
  <si>
    <t>MedEbridge CC OnPrem by medEbridge</t>
  </si>
  <si>
    <t>Subitems of GSC test board</t>
  </si>
  <si>
    <t>GSC test board</t>
  </si>
  <si>
    <t>GSC Maintenance Releases</t>
  </si>
  <si>
    <t>Subitems of [Update] OpenText Accelerator for Content Management for ClaimCenter</t>
  </si>
  <si>
    <t>Subitems of [Update] OpenText Accelerator for Content Management for PolicyCenter</t>
  </si>
  <si>
    <t>[Update] OpenText Accelerator for Content Management for ClaimCenter</t>
  </si>
  <si>
    <t>[Update] OpenText Accelerator for Content Management for PolicyCenter</t>
  </si>
  <si>
    <t>Subitems of [Update]Radar Live by WTW (Olos)</t>
  </si>
  <si>
    <t>[Update]Radar Live by WTW (Olos)</t>
  </si>
  <si>
    <t>Subitems of [Update] ExamWorks Compliance Accelerator for ClaimCenter</t>
  </si>
  <si>
    <t>[Update] ExamWorks Compliance Accelerator for ClaimCenter</t>
  </si>
  <si>
    <t>Subitems of Radar Live by WTW (Mammoth)</t>
  </si>
  <si>
    <t>Radar Live by WTW (Mammoth)</t>
  </si>
  <si>
    <t>Subitems of Roots Automation Claim AI for ClaimCenter</t>
  </si>
  <si>
    <t>Roots Automation Claim AI for ClaimCenter</t>
  </si>
  <si>
    <t>Subitems of Livegenic CC Cloud by Livegenic</t>
  </si>
  <si>
    <t>Livegenic CC Cloud by Livegenic</t>
  </si>
  <si>
    <t>Subitems of Claims Coverage Identifier by Verisk</t>
  </si>
  <si>
    <t>Claims Coverage Identifier by Verisk</t>
  </si>
  <si>
    <t>Subitems of Sustainable Auto Product by Capgemini</t>
  </si>
  <si>
    <t>Sustainable Auto Product by Capgemini</t>
  </si>
  <si>
    <t>Subitems of Progi Accelerator for Repair Shop Booking for ClaimCenter</t>
  </si>
  <si>
    <t>Progi Accelerator for Repair Shop Booking for ClaimCenter</t>
  </si>
  <si>
    <t>Subitems of Exstream Communication PC Cloud by Opentext</t>
  </si>
  <si>
    <t>Exstream Communication PC Cloud by Opentext</t>
  </si>
  <si>
    <t>Subitems of Paymentus Billing &amp; Payments Accelerator for BillingCenter</t>
  </si>
  <si>
    <t>Paymentus Billing &amp; Payments Accelerator for BillingCenter</t>
  </si>
  <si>
    <t>Subitems of Kyber Accelerator for Claims Forms &amp; Correspondence for ClaimCenter</t>
  </si>
  <si>
    <t>Kyber Accelerator for Claims Forms &amp; Correspondence for ClaimCenter</t>
  </si>
  <si>
    <t>Subitems of PwC Risk Detect for ClaimCenter</t>
  </si>
  <si>
    <t>PwC Risk Detect for ClaimCenter</t>
  </si>
  <si>
    <t>Subitems of Conversational FNOL AI solution by Gryphon AI</t>
  </si>
  <si>
    <t>Conversational FNOL AI solution by Gryphon AI</t>
  </si>
  <si>
    <t>Subitems of Deloitte Broker Billing Accelerator for BillingCenter</t>
  </si>
  <si>
    <t>Deloitte Broker Billing Accelerator for BillingCenter</t>
  </si>
  <si>
    <t>Subitems of Nearmap Accelerator for Betterview Property Intelligence for PolicyCenter</t>
  </si>
  <si>
    <t>Nearmap Accelerator for Betterview Property Intelligence for PolicyCenter</t>
  </si>
  <si>
    <t>Subitems of XactAnalysis Cloud by Verisk</t>
  </si>
  <si>
    <t>XactAnalysis Cloud by Verisk</t>
  </si>
  <si>
    <t>Subitems of Lightspeed Small Comm (for Property) by Verisk</t>
  </si>
  <si>
    <t>Lightspeed Small Comm (for Property) by Verisk</t>
  </si>
  <si>
    <t>Subitems of Swiss Re's Rapid Damage Assessment (RDA) Accelerator for ClaimCenter</t>
  </si>
  <si>
    <t>Swiss Re's Rapid Damage Assessment (RDA) Accelerator for ClaimCenter</t>
  </si>
  <si>
    <t>Subitems of Echo Health by ECHO</t>
  </si>
  <si>
    <t>Echo Health by ECHO</t>
  </si>
  <si>
    <t>Subitems of NPE Out of Compliance</t>
  </si>
  <si>
    <t>Subitems of Precisely Document Production by Precisely</t>
  </si>
  <si>
    <t>Precisely Document Production by Precisely</t>
  </si>
  <si>
    <t>Subitems of Update Producer IG App by Capgemini</t>
  </si>
  <si>
    <t>Update Producer IG App by Capgemini</t>
  </si>
  <si>
    <t>Subitems of [Update] Belron Canada Accelerator for Auto Glass Claim Processing for ClaimCenter</t>
  </si>
  <si>
    <t>[Update] Belron Canada Accelerator for Auto Glass Claim Processing for ClaimCenter</t>
  </si>
  <si>
    <t>Subitems of Service Servicing by Assurant</t>
  </si>
  <si>
    <t>Service Servicing by Assurant</t>
  </si>
  <si>
    <t>Subitems of Claims Social Discovery by Social Discovery</t>
  </si>
  <si>
    <t>Claims Social Discovery by Social Discovery</t>
  </si>
  <si>
    <t>Subitems of AgentSync Accelerator for Ready to Sell for PolicyCenter</t>
  </si>
  <si>
    <t>AgentSync Accelerator for Ready to Sell for PolicyCenter</t>
  </si>
  <si>
    <t>Subitems of Verisk Lightspeed Auto by Verisk</t>
  </si>
  <si>
    <t>Verisk Lightspeed Auto by Verisk</t>
  </si>
  <si>
    <t>Subitems of Caseglide by Caseglide</t>
  </si>
  <si>
    <t>Caseglide by Caseglide</t>
  </si>
  <si>
    <t>Subitems of DAS Accelerator for Underwriters and Front Office Agents for PolicyCenter</t>
  </si>
  <si>
    <t>DAS Accelerator for Underwriters and Front Office Agents for PolicyCenter</t>
  </si>
  <si>
    <t>Subitems of Workflow Questionnaire(Intake Process) Tracking</t>
  </si>
  <si>
    <t>Subitems of Streamline Physical Medicine &amp; Diagnostic Services Accelerator for ClaimCenter</t>
  </si>
  <si>
    <t>Streamline Physical Medicine &amp; Diagnostic Services Accelerator for ClaimCenter</t>
  </si>
  <si>
    <t>Subitems of [Update] Newgen Software Content Management Accelerator for ClaimCenter</t>
  </si>
  <si>
    <t>[Update] Newgen Software Content Management Accelerator for ClaimCenter</t>
  </si>
  <si>
    <t>Subitems of [Update] Newgen Software Content Management Accelerator for PolicyCenter</t>
  </si>
  <si>
    <t>[Update] Newgen Software Content Management Accelerator for PolicyCenter</t>
  </si>
  <si>
    <t>Subitems of [Update] InvoiceCloud Payments Accelerator for BillingCenter</t>
  </si>
  <si>
    <t>[Update] InvoiceCloud Payments Accelerator for BillingCenter</t>
  </si>
  <si>
    <t>Subitems of CRS ProConnect Accelerator for ClaimCenter</t>
  </si>
  <si>
    <t>CRS ProConnect Accelerator for ClaimCenter</t>
  </si>
  <si>
    <t>Subitems of Update Producer Contact IG App by Capgemini</t>
  </si>
  <si>
    <t>Update Producer Contact IG App by Capgemini</t>
  </si>
  <si>
    <t>Subitems of Address Verification and Enrichment IG App by Capgemini</t>
  </si>
  <si>
    <t>Subitems of Capgemini Update Account for PolicyCenter</t>
  </si>
  <si>
    <t>Address Verification and Enrichment IG App by Capgemini</t>
  </si>
  <si>
    <t>Subitems of Capgemini User Info Sync for PolicyCenter</t>
  </si>
  <si>
    <t>Capgemini Update Account for PolicyCenter</t>
  </si>
  <si>
    <t>Capgemini User Info Sync for PolicyCenter</t>
  </si>
  <si>
    <t>Subitems of [Update] WorkDesk Connector BC Cloud to Niseko - ECM by Newgen</t>
  </si>
  <si>
    <t>[Update] WorkDesk Connector BC Cloud to Niseko - ECM by Newgen</t>
  </si>
  <si>
    <t>Subitems of Earnix (Self-Managed) by Earnix</t>
  </si>
  <si>
    <t>Earnix (Self-Managed) by Earnix</t>
  </si>
  <si>
    <t>Subitems of CCC APD Accelerator by CCC</t>
  </si>
  <si>
    <t>CCC APD Accelerator by CCC</t>
  </si>
  <si>
    <t>Subitems of Autopilot Solution CC Cloud by Hexaware</t>
  </si>
  <si>
    <t>Autopilot Solution CC Cloud by Hexaware</t>
  </si>
  <si>
    <t>Subitems of Genesys Embeddable Agent Plugin CC by Genesys</t>
  </si>
  <si>
    <t>Genesys Embeddable Agent Plugin CC by Genesys</t>
  </si>
  <si>
    <t>Subitems of Genesys Embeddable Agent Plugin PC by Genesys</t>
  </si>
  <si>
    <t>Genesys Embeddable Agent Plugin PC by Genesys</t>
  </si>
  <si>
    <t>Subitems of IVANS CC Cloud by Ivans</t>
  </si>
  <si>
    <t>IVANS CC Cloud by Ivans</t>
  </si>
  <si>
    <t>AI Workflow for NPE</t>
  </si>
  <si>
    <t>Subitems of Statistical Service Phase 2 CC 10.2.3 by Verisk</t>
  </si>
  <si>
    <t>Statistical Service Phase 2 CC 10.2.3 by Verisk</t>
  </si>
  <si>
    <t>Subitems of Statistical Service Phase 2 PC 10.2.3 by Verisk</t>
  </si>
  <si>
    <t>Statistical Service Phase 2 PC 10.2.3 by Verisk</t>
  </si>
  <si>
    <t>Subitems of Cloud Upgrade Tracking - Partner Submissions</t>
  </si>
  <si>
    <t>Subitems of Copart CC(v10 to Cloud upgrade) by Copart</t>
  </si>
  <si>
    <t>Copart CC(v10 to Cloud upgrade) by Copart</t>
  </si>
  <si>
    <t>Subitems of Extended ECM for PC by Opentext</t>
  </si>
  <si>
    <t>Extended ECM for PC by Opentext</t>
  </si>
  <si>
    <t>Subitems of Extended ECM for CC by Opentext</t>
  </si>
  <si>
    <t>Extended ECM for CC by Opentext</t>
  </si>
  <si>
    <t>Subitems of [Upgrade] Hertz Accelerator for Insurance Claim Rental Management for ClaimCenter</t>
  </si>
  <si>
    <t>[Upgrade] Hertz Accelerator for Insurance Claim Rental Management for ClaimCenter</t>
  </si>
  <si>
    <t>Subitems of Exstream Communication CC Cloud by Opentext</t>
  </si>
  <si>
    <t>Exstream Communication CC Cloud by Opentext</t>
  </si>
  <si>
    <t>Subitems of Jopari CC Cloud by Jopari</t>
  </si>
  <si>
    <t>Jopari CC Cloud by Jopari</t>
  </si>
  <si>
    <t>Subitems of PC Stat Analysis by Verisk 10.2.3</t>
  </si>
  <si>
    <t>PC Stat Analysis by Verisk 10.2.3</t>
  </si>
  <si>
    <t>Scope Approved Actions</t>
  </si>
  <si>
    <t>Subitems of Verisk Accelerator for Claim Coverage Identifier for ClaimCenter 10</t>
  </si>
  <si>
    <t>Verisk Accelerator for Claim Coverage Identifier for ClaimCenter 10</t>
  </si>
  <si>
    <t>Subitems of Hyland Accelerator for ClaimCenter</t>
  </si>
  <si>
    <t>Hyland Accelerator for ClaimCenter</t>
  </si>
  <si>
    <t>NPE Out of Compliance</t>
  </si>
  <si>
    <t>Subitems of IVANS PC (Update) by Ivans</t>
  </si>
  <si>
    <t>IVANS PC (Update) by Ivans</t>
  </si>
  <si>
    <t>Subitems of IG Apps (Submission Intake) by Capgemini</t>
  </si>
  <si>
    <t>IG Apps (Submission Intake) by Capgemini</t>
  </si>
  <si>
    <t>Subitems of Payment Solution for PC by Paymentus</t>
  </si>
  <si>
    <t>Payment Solution for PC by Paymentus</t>
  </si>
  <si>
    <t>Subitems of Subro hub V4 Kufri by ARB</t>
  </si>
  <si>
    <t>Subro hub V4 Kufri by ARB</t>
  </si>
  <si>
    <t>Subitems of MSP Nav Section 111 Cloud by Verisk</t>
  </si>
  <si>
    <t>MSP Nav Section 111 Cloud by Verisk</t>
  </si>
  <si>
    <t>Subitems of Wc Prism (Cloud migration) by Verisk</t>
  </si>
  <si>
    <t>Subitems of MSP Nav Section 111 Phase 2 Self managed by Verisk</t>
  </si>
  <si>
    <t>Wc Prism (Cloud migration) by Verisk</t>
  </si>
  <si>
    <t>MSP Nav Section 111 Phase 2 Self managed by Verisk</t>
  </si>
  <si>
    <t>NoCodeChanges Self Validation Notifications</t>
  </si>
  <si>
    <t>Cloud Upgrade Tracking - Partner Submissions</t>
  </si>
  <si>
    <t>Subitems of Assurant Servicing System by Assurant</t>
  </si>
  <si>
    <t>Assurant Servicing System by Assurant</t>
  </si>
  <si>
    <t>Subitems of Claims Intake by Indico</t>
  </si>
  <si>
    <t>Claims Intake by Indico</t>
  </si>
  <si>
    <t>Subitems of Payments for PC Kufri Update by InvoiceCloud</t>
  </si>
  <si>
    <t>Payments for PC Kufri Update by InvoiceCloud</t>
  </si>
  <si>
    <t>Subitems of BBG / RFG with GSC Estimation</t>
  </si>
  <si>
    <t>NPE Status Changes</t>
  </si>
  <si>
    <t>NPE Request Initial Steps</t>
  </si>
  <si>
    <t>Subitems of CDA Connector for Snowflake by SnowFlake</t>
  </si>
  <si>
    <t>CDA Connector for Snowflake by SnowFlake</t>
  </si>
  <si>
    <t>Subitems of Underwriting Task Manager by CGI</t>
  </si>
  <si>
    <t>Underwriting Task Manager by CGI</t>
  </si>
  <si>
    <t>Security Review</t>
  </si>
  <si>
    <t>Subitems of Payments (Outgoing) by ECHO</t>
  </si>
  <si>
    <t>Payments (Outgoing) by ECHO</t>
  </si>
  <si>
    <t>BBG / RFG with GSC Estimation</t>
  </si>
  <si>
    <t>Subitems of Verisk Statistical Analysis PC 10.2.3 by Verisk</t>
  </si>
  <si>
    <t>Verisk Statistical Analysis PC 10.2.3 by Verisk</t>
  </si>
  <si>
    <t>Subitems of Verisk Statistical Analysis CC 10.2.3 by Verisk</t>
  </si>
  <si>
    <t>Verisk Statistical Analysis CC 10.2.3 by Verisk</t>
  </si>
  <si>
    <t>Subitems of Weather Verification by CoreLogic</t>
  </si>
  <si>
    <t>Weather Verification by CoreLogic</t>
  </si>
  <si>
    <t>Subitems of Onespan PC Cloud by Onespan</t>
  </si>
  <si>
    <t>Onespan PC Cloud by Onespan</t>
  </si>
  <si>
    <t>Subitems of Onespan CC Cloud by Onespan</t>
  </si>
  <si>
    <t>Onespan CC Cloud by Onespan</t>
  </si>
  <si>
    <t>Subitems of Azure/CDA Connector by Datavail</t>
  </si>
  <si>
    <t>Azure/CDA Connector by Datavail</t>
  </si>
  <si>
    <t>Test Project</t>
  </si>
  <si>
    <t>Partner Projects Portfolio</t>
  </si>
  <si>
    <t>Subitems of Belron Glass Canada by Belron</t>
  </si>
  <si>
    <t>Belron Glass Canada by Belron</t>
  </si>
  <si>
    <t>Subitems of One Inc Payments for BC by One Inc</t>
  </si>
  <si>
    <t>One Inc Payments for BC by One Inc</t>
  </si>
  <si>
    <t>Subitems of One Inc Payments for PC by One Inc</t>
  </si>
  <si>
    <t>One Inc Payments for PC by One Inc</t>
  </si>
  <si>
    <t>Subitems of One Inc Payments for CC by One Inc</t>
  </si>
  <si>
    <t>One Inc Payments for CC by One Inc</t>
  </si>
  <si>
    <t>Subitems of Radar Live by WTW (Kufri)</t>
  </si>
  <si>
    <t>Radar Live by WTW (Kufri)</t>
  </si>
  <si>
    <t>Subitems of ClaimCenter SIU V10 for Verisk by Verisk</t>
  </si>
  <si>
    <t>ClaimCenter SIU V10 for Verisk by Verisk</t>
  </si>
  <si>
    <t>Subitems of Document Generation by Ghostdraft</t>
  </si>
  <si>
    <t>Document Generation by Ghostdraft</t>
  </si>
  <si>
    <t>Subitems of Earnix Price-it(Jasper) by Earnix</t>
  </si>
  <si>
    <t>Earnix Price-it(Jasper) by Earnix</t>
  </si>
  <si>
    <t>Subitems of Benchmark Weather by Verisk</t>
  </si>
  <si>
    <t>Benchmark Weather by Verisk</t>
  </si>
  <si>
    <t>Subitems of IVANS BC Cloud by Ivans</t>
  </si>
  <si>
    <t>IVANS BC Cloud by Ivans</t>
  </si>
  <si>
    <t>Subitems of [OLD]Darva Accelerator P&amp;L Claims Management for ClaimCenter</t>
  </si>
  <si>
    <t>[OLD]Darva Accelerator P&amp;L Claims Management for ClaimCenter</t>
  </si>
  <si>
    <t>Subitems of Cox Automative Vehicle Services by Cox</t>
  </si>
  <si>
    <t>Cox Automative Vehicle Services by Cox</t>
  </si>
  <si>
    <t>Subitems of AI Accelerator by Convr</t>
  </si>
  <si>
    <t>AI Accelerator by Convr</t>
  </si>
  <si>
    <t>Workflow Questionnaire(Intake Process) Tracking</t>
  </si>
  <si>
    <t>Subitems of Automation by Blue Prism by Blue Prism</t>
  </si>
  <si>
    <t>Automation by Blue Prism by Blue Prism</t>
  </si>
  <si>
    <t>Subitems of Earnix Price-it (Innsbruck)</t>
  </si>
  <si>
    <t>Earnix Price-it (Innsbruck)</t>
  </si>
  <si>
    <t>Subitems of PwC Microsoft Dynamics by PwC</t>
  </si>
  <si>
    <t>PwC Microsoft Dynamics by PwC</t>
  </si>
  <si>
    <t>Subitems of Main NPE Tracking</t>
  </si>
  <si>
    <t>Subitems of ARB Subrogation by ARB</t>
  </si>
  <si>
    <t>ARB Subrogation by ARB</t>
  </si>
  <si>
    <t>Subitems of Transcard Payment Solutions by Transcard</t>
  </si>
  <si>
    <t>Transcard Payment Solutions by Transcard</t>
  </si>
  <si>
    <t>Subitems of Underwriting Risk Control by Risk Control Tech Las Leñas</t>
  </si>
  <si>
    <t>Underwriting Risk Control by Risk Control Tech Las Leñas</t>
  </si>
  <si>
    <t>Subitems of Claim Center Verisk Statistical Analysis</t>
  </si>
  <si>
    <t>Subitems of Photo Fraud Detection by Photocert</t>
  </si>
  <si>
    <t>Photo Fraud Detection by Photocert</t>
  </si>
  <si>
    <t>Subitems of Payments Solution for CC By Paymentus</t>
  </si>
  <si>
    <t>Payments Solution for CC By Paymentus</t>
  </si>
  <si>
    <t>Subitems of Gigaforce Subrogation by Gigaforce</t>
  </si>
  <si>
    <t>Gigaforce Subrogation by Gigaforce</t>
  </si>
  <si>
    <t>Subitems of Genpact Claims Services by Genpact</t>
  </si>
  <si>
    <t>Genpact Claims Services by Genpact</t>
  </si>
  <si>
    <t>Subitems of ODG Disability by ODG</t>
  </si>
  <si>
    <t>ODG Disability by ODG</t>
  </si>
  <si>
    <t>Subitems of IAA Salvage by IAA</t>
  </si>
  <si>
    <t>IAA Salvage by IAA</t>
  </si>
  <si>
    <t>Main NPE Tracking</t>
  </si>
  <si>
    <t>Claim Center Verisk Statistical Analysis</t>
  </si>
  <si>
    <t>Subitems of Partner Project Tracking</t>
  </si>
  <si>
    <t>Partner Project Tracking</t>
  </si>
  <si>
    <t>BBG-Sow-InputTest</t>
  </si>
  <si>
    <t>Digital Samples</t>
  </si>
  <si>
    <t>Subitems of APD Definition Submissions</t>
  </si>
  <si>
    <t>APD Definition Submissions</t>
  </si>
  <si>
    <t>Subitems of Jutro Samples Submissions</t>
  </si>
  <si>
    <t>Jutro Samples Submissions</t>
  </si>
  <si>
    <t>Subitems of PE Day Meeting Reservations</t>
  </si>
  <si>
    <t>Alliances Marketing</t>
  </si>
  <si>
    <t>Subitems of Partner Marketing - Funding</t>
  </si>
  <si>
    <t>PE Day Meeting Reservations</t>
  </si>
  <si>
    <t>Partner Marketing - Funding</t>
  </si>
  <si>
    <t>Tech Partner Advisory Council - Nomination Form Report - 15/12/2025</t>
  </si>
  <si>
    <t>MDF Claim Form</t>
  </si>
  <si>
    <t>Subitems of MDF Request Form</t>
  </si>
  <si>
    <t>MDF Request Form</t>
  </si>
  <si>
    <t>Marketplace Summits FY26 Partner Selections</t>
  </si>
  <si>
    <t>FY26 Summit Project Plan</t>
  </si>
  <si>
    <t>Subitems of Tech Partner Advisory Council - Nomination Form</t>
  </si>
  <si>
    <t>Tech Partner Advisory Council - Nomination Form</t>
  </si>
  <si>
    <t>Subitems of SWAG Request Form</t>
  </si>
  <si>
    <t>SWAG Request Form</t>
  </si>
  <si>
    <t>Delivery - Resource planner</t>
  </si>
  <si>
    <t>Subitems of Partner Events and Activity</t>
  </si>
  <si>
    <t>Partner Events and Activity</t>
  </si>
  <si>
    <t>MCP getting started</t>
  </si>
  <si>
    <t>Tech Alliance Management</t>
  </si>
  <si>
    <t>Cadence RX</t>
  </si>
  <si>
    <t>Subitems of Hyland Software, Inc. Customer</t>
  </si>
  <si>
    <t>Subitems of Hyland Software, Inc.</t>
  </si>
  <si>
    <t>Hyland Software, Inc. Customer</t>
  </si>
  <si>
    <t>Subitems of Progi</t>
  </si>
  <si>
    <t>New project</t>
  </si>
  <si>
    <t>Hyland Project</t>
  </si>
  <si>
    <t>Subitems of Progi Customer</t>
  </si>
  <si>
    <t>Progi Customer</t>
  </si>
  <si>
    <t>Subitems of Dynatrace</t>
  </si>
  <si>
    <t>Dynatrace</t>
  </si>
  <si>
    <t>Subitems of Dynatrace Customer</t>
  </si>
  <si>
    <t>Dynatrace Customer</t>
  </si>
  <si>
    <t>Subitems of Primary Partner Board</t>
  </si>
  <si>
    <t>Subitems of Snowflake Customer</t>
  </si>
  <si>
    <t>Snowflake Customer</t>
  </si>
  <si>
    <t>Subitems of OpenText Customer</t>
  </si>
  <si>
    <t>OpenText Customer</t>
  </si>
  <si>
    <t>Subitems of 2026 Marketing Event Approval Requests</t>
  </si>
  <si>
    <t>2026 Marketing Event Approval Requests</t>
  </si>
  <si>
    <t>Subitems of One Inc Customer</t>
  </si>
  <si>
    <t>One Inc Customer</t>
  </si>
  <si>
    <t>Subitems of Blue Prism Customer</t>
  </si>
  <si>
    <t>Blue Prism Customer</t>
  </si>
  <si>
    <t>Subitems of Akur8 Customer</t>
  </si>
  <si>
    <t>Akur8 Customer</t>
  </si>
  <si>
    <t>Subitems of Mitchell Customer</t>
  </si>
  <si>
    <t>Mitchell Customer</t>
  </si>
  <si>
    <t>Subitems of Transcard Customer</t>
  </si>
  <si>
    <t>Transcard Customer</t>
  </si>
  <si>
    <t>Subitems of WTW Customer</t>
  </si>
  <si>
    <t>WTW Customer</t>
  </si>
  <si>
    <t>Subitems of Earnix Customer</t>
  </si>
  <si>
    <t>Earnix Customer</t>
  </si>
  <si>
    <t>Subitems of Newgen Customer</t>
  </si>
  <si>
    <t>Newgen Customer</t>
  </si>
  <si>
    <t>Subitems of Box Customer</t>
  </si>
  <si>
    <t>Box Customer</t>
  </si>
  <si>
    <t>Subitems of Whatfix Customer</t>
  </si>
  <si>
    <t>Whatfix Customer</t>
  </si>
  <si>
    <t>Subitems of TechAlliances Activity Tracker</t>
  </si>
  <si>
    <t>TechAlliances Activity Tracker</t>
  </si>
  <si>
    <t>Subitems of Marketplace Activities</t>
  </si>
  <si>
    <t>Approvals</t>
  </si>
  <si>
    <t>Subitems of Marketing Activites</t>
  </si>
  <si>
    <t>Marketing Activites</t>
  </si>
  <si>
    <t>Subitems of Swiss Re Solutions Ltd.</t>
  </si>
  <si>
    <t>Subitems of SmartComms LLC</t>
  </si>
  <si>
    <t>Subitems of Shift</t>
  </si>
  <si>
    <t>Subitems of One Inc</t>
  </si>
  <si>
    <t>Subitems of Docusign</t>
  </si>
  <si>
    <t>Docusign</t>
  </si>
  <si>
    <t>Subitems of Stripe</t>
  </si>
  <si>
    <t>Subitems of Snowflake</t>
  </si>
  <si>
    <t>Subitems of Sailpoint Technologies, Inc.</t>
  </si>
  <si>
    <t>Sailpoint Technologies, Inc.</t>
  </si>
  <si>
    <t>Subitems of Open Text Corporation</t>
  </si>
  <si>
    <t>Subitems of Nearmap US, Inc</t>
  </si>
  <si>
    <t>Subitems of Hertz</t>
  </si>
  <si>
    <t>Subitems of GhostDraft Enterprises LLC</t>
  </si>
  <si>
    <t>Subitems of FRISS</t>
  </si>
  <si>
    <t>Subitems of EvolutionIQ</t>
  </si>
  <si>
    <t>Subitems of Databricks</t>
  </si>
  <si>
    <t>Subitems of Copart, Inc.</t>
  </si>
  <si>
    <t>Subitems of CCC Intelligent Solutions Inc</t>
  </si>
  <si>
    <t>Subitems of Audatex UK Limited</t>
  </si>
  <si>
    <t>Subitems of Applied Systems Inc</t>
  </si>
  <si>
    <t>Subitems of American Association of Insurance Services (AAIS)</t>
  </si>
  <si>
    <t>Subitems of Amazon Web Services, Inc</t>
  </si>
  <si>
    <t>Subitems of AgentSync</t>
  </si>
  <si>
    <t>Subitems of Indico Data Solutions, Inc</t>
  </si>
  <si>
    <t>Subitems of Hi Marley</t>
  </si>
  <si>
    <t>Subitems of Genesys Cloud Services, Inc.</t>
  </si>
  <si>
    <t>Subitems of Appian</t>
  </si>
  <si>
    <t>Subitems of Perforce Software, Inc.</t>
  </si>
  <si>
    <t>Design Weekly Tasks</t>
  </si>
  <si>
    <t>Subitems of Tech Ops Activities</t>
  </si>
  <si>
    <t>Subitems of Partner Management Activities</t>
  </si>
  <si>
    <t>Subitems of Marketing Event Approval Requests</t>
  </si>
  <si>
    <t>Marketing Event Approval Requests</t>
  </si>
  <si>
    <t>Subitems of Earnix</t>
  </si>
  <si>
    <t>Subitems of CoreLogic</t>
  </si>
  <si>
    <t>Subitems of Verisk</t>
  </si>
  <si>
    <t>Subitems of Transcard</t>
  </si>
  <si>
    <t>Subitems of Precisely</t>
  </si>
  <si>
    <t>Subitems of Box</t>
  </si>
  <si>
    <t>Subitems of Blue Prism</t>
  </si>
  <si>
    <t>Subitems of Appulate</t>
  </si>
  <si>
    <t>GENERIC Partner Customer/Pipeline Tracker</t>
  </si>
  <si>
    <t>private</t>
  </si>
  <si>
    <t>Subitems of WTW</t>
  </si>
  <si>
    <t>Subitems of HyperExponential</t>
  </si>
  <si>
    <t>Subitems of Akur8</t>
  </si>
  <si>
    <t>Subitems of Smarty</t>
  </si>
  <si>
    <t>Subitems of Mitchell</t>
  </si>
  <si>
    <t>Primary Partner Board</t>
  </si>
  <si>
    <t>Subitems of Newgen</t>
  </si>
  <si>
    <t>Subitems of LexisNexis</t>
  </si>
  <si>
    <t>Subitems of Whatfix</t>
  </si>
  <si>
    <t>Subitems of Guidewire Solutions Inventory</t>
  </si>
  <si>
    <t>Marketplace Solutions</t>
  </si>
  <si>
    <t>Guidewire Solutions Inventory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</si>
</sst>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mmmm yyyy"/>
    <numFmt numFmtId="166" formatCode="mmmm d/yy"/>
    <numFmt numFmtId="167" formatCode="mmmm d, h:mm am/pm"/>
    <numFmt numFmtId="168" formatCode="m/d/yyyy"/>
    <numFmt numFmtId="169" formatCode="m-d"/>
  </numFmts>
  <fonts count="15">
    <font>
      <sz val="10.0"/>
      <color rgb="FF000000"/>
      <name val="Arial"/>
      <scheme val="minor"/>
    </font>
    <font>
      <color theme="1"/>
      <name val="Arial"/>
      <scheme val="minor"/>
    </font>
    <font>
      <u/>
      <color rgb="FF0000FF"/>
    </font>
    <font>
      <b/>
      <color theme="1"/>
      <name val="Arial"/>
      <scheme val="minor"/>
    </font>
    <font>
      <u/>
      <color rgb="FF0000FF"/>
    </font>
    <font>
      <color theme="1"/>
      <name val="Arial"/>
    </font>
    <font>
      <u/>
      <color rgb="FF0000FF"/>
      <name val="Arial"/>
    </font>
    <font>
      <u/>
      <color rgb="FF1155CC"/>
      <name val="Arial"/>
    </font>
    <font>
      <sz val="9.0"/>
      <color rgb="FF3C4043"/>
      <name val="Roboto Mono"/>
    </font>
    <font>
      <color rgb="FF73726C"/>
      <name val="Jetbrains"/>
    </font>
    <font>
      <color rgb="FF3C4043"/>
      <name val="'Roboto Mono'"/>
    </font>
    <font>
      <sz val="11.0"/>
      <color rgb="FF333333"/>
      <name val="Figtree"/>
    </font>
    <font>
      <color rgb="FF222222"/>
      <name val="Arial"/>
    </font>
    <font>
      <u/>
      <color rgb="FF0000FF"/>
    </font>
    <font>
      <b/>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1" numFmtId="164" xfId="0" applyAlignment="1" applyFont="1" applyNumberFormat="1">
      <alignment readingOrder="0"/>
    </xf>
    <xf borderId="0" fillId="0" fontId="1" numFmtId="0" xfId="0" applyFont="1"/>
    <xf borderId="0" fillId="0" fontId="1" numFmtId="164" xfId="0" applyFont="1" applyNumberFormat="1"/>
    <xf borderId="0" fillId="0" fontId="8" numFmtId="0" xfId="0" applyAlignment="1" applyFont="1">
      <alignment vertical="bottom"/>
    </xf>
    <xf borderId="0" fillId="0" fontId="1" numFmtId="14" xfId="0" applyFont="1" applyNumberFormat="1"/>
    <xf borderId="0" fillId="0" fontId="1" numFmtId="14" xfId="0" applyAlignment="1" applyFont="1" applyNumberFormat="1">
      <alignment readingOrder="0"/>
    </xf>
    <xf borderId="0" fillId="0" fontId="1" numFmtId="165" xfId="0" applyFont="1" applyNumberFormat="1"/>
    <xf borderId="0" fillId="0" fontId="1" numFmtId="0" xfId="0" applyFont="1"/>
    <xf borderId="0" fillId="0" fontId="1" numFmtId="166" xfId="0" applyAlignment="1" applyFont="1" applyNumberFormat="1">
      <alignment readingOrder="0"/>
    </xf>
    <xf borderId="0" fillId="0" fontId="1" numFmtId="167" xfId="0" applyFont="1" applyNumberFormat="1"/>
    <xf borderId="0" fillId="0" fontId="1" numFmtId="167" xfId="0" applyAlignment="1" applyFont="1" applyNumberFormat="1">
      <alignment readingOrder="0"/>
    </xf>
    <xf borderId="0" fillId="0" fontId="1" numFmtId="168" xfId="0" applyFont="1" applyNumberFormat="1"/>
    <xf borderId="0" fillId="2" fontId="9" numFmtId="0" xfId="0" applyAlignment="1" applyFill="1" applyFont="1">
      <alignment readingOrder="0"/>
    </xf>
    <xf borderId="0" fillId="3" fontId="10" numFmtId="0" xfId="0" applyAlignment="1" applyFill="1" applyFont="1">
      <alignment readingOrder="0"/>
    </xf>
    <xf borderId="0" fillId="2" fontId="11" numFmtId="0" xfId="0" applyAlignment="1" applyFont="1">
      <alignment readingOrder="0"/>
    </xf>
    <xf borderId="0" fillId="0" fontId="1" numFmtId="169" xfId="0" applyFont="1" applyNumberFormat="1"/>
    <xf borderId="0" fillId="2" fontId="12" numFmtId="0" xfId="0" applyAlignment="1" applyFont="1">
      <alignment readingOrder="0"/>
    </xf>
    <xf borderId="0" fillId="0" fontId="1" numFmtId="49" xfId="0" applyFont="1" applyNumberFormat="1"/>
    <xf borderId="0" fillId="0" fontId="13" numFmtId="0" xfId="0" applyFont="1"/>
    <xf borderId="0" fillId="0" fontId="1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cript.google.com/a/macros/guidewire.com/s/AKfycbyjf46mo1ApBnirDnxmh_9igX15IHnJkS__iaEEncYpK9r_3c0v7RGj9OIw6-AXWw6U/exec" TargetMode="External"/><Relationship Id="rId2" Type="http://schemas.openxmlformats.org/officeDocument/2006/relationships/hyperlink" Target="https://script.google.com/a/macros/guidewire.com/s/AKfycbws76mywSxgOcVNWcYZ5SsPXMLQG3JCIR9mYIbzxOPMkDguQtOVaHxWuBa3EmfxZlkF/exec"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events.aaisonline.com/2025aaismaineventsponsorships/Opportunities" TargetMode="External"/><Relationship Id="rId2" Type="http://schemas.openxmlformats.org/officeDocument/2006/relationships/hyperlink" Target="https://www.excelerate.earnix.com/" TargetMode="External"/><Relationship Id="rId3" Type="http://schemas.openxmlformats.org/officeDocument/2006/relationships/hyperlink" Target="https://www.wcrinet.org/news/news_info/save-the-date-2025-wcri-issues-research-conference-march-6-7-in-phoenix-az" TargetMode="External"/><Relationship Id="rId4" Type="http://schemas.openxmlformats.org/officeDocument/2006/relationships/hyperlink" Target="https://www.ncci.com/Articles/Pages/Insights-AIS-Save-the-Date-2025.aspx" TargetMode="External"/><Relationship Id="rId11" Type="http://schemas.openxmlformats.org/officeDocument/2006/relationships/drawing" Target="../drawings/drawing11.xml"/><Relationship Id="rId10" Type="http://schemas.openxmlformats.org/officeDocument/2006/relationships/hyperlink" Target="https://intrconnect.cotality.com/event/6924361e-50f7-40b7-8ed4-19f64208d9a4/intrconnect-26" TargetMode="External"/><Relationship Id="rId9" Type="http://schemas.openxmlformats.org/officeDocument/2006/relationships/hyperlink" Target="https://insurtechaustralia.org/" TargetMode="External"/><Relationship Id="rId5" Type="http://schemas.openxmlformats.org/officeDocument/2006/relationships/hyperlink" Target="https://www.genesys.com/xperience" TargetMode="External"/><Relationship Id="rId6" Type="http://schemas.openxmlformats.org/officeDocument/2006/relationships/hyperlink" Target="https://vegas.insuretechconnect.com/" TargetMode="External"/><Relationship Id="rId7" Type="http://schemas.openxmlformats.org/officeDocument/2006/relationships/hyperlink" Target="https://www.smartcommunications.com/resources/events/innovate/" TargetMode="External"/><Relationship Id="rId8" Type="http://schemas.openxmlformats.org/officeDocument/2006/relationships/hyperlink" Target="https://events.verisk.com/event/4b92d2b7-71a6-4fcb-82ed-0a8a2938aa20/websitePage:97164067-80b9-419d-a1d4-5c44539aed43"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charlee.ai" TargetMode="External"/><Relationship Id="rId2" Type="http://schemas.openxmlformats.org/officeDocument/2006/relationships/hyperlink" Target="http://experience.com" TargetMode="External"/><Relationship Id="rId3" Type="http://schemas.openxmlformats.org/officeDocument/2006/relationships/hyperlink" Target="http://expert.ai" TargetMode="External"/><Relationship Id="rId4" Type="http://schemas.openxmlformats.org/officeDocument/2006/relationships/hyperlink" Target="http://sprout.ai" TargetMode="Externa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hyperlink" Target="http://sprout.ai" TargetMode="External"/><Relationship Id="rId10" Type="http://schemas.openxmlformats.org/officeDocument/2006/relationships/hyperlink" Target="http://expert.ai" TargetMode="External"/><Relationship Id="rId13" Type="http://schemas.openxmlformats.org/officeDocument/2006/relationships/drawing" Target="../drawings/drawing20.xml"/><Relationship Id="rId12" Type="http://schemas.openxmlformats.org/officeDocument/2006/relationships/hyperlink" Target="http://sprout.ai" TargetMode="External"/><Relationship Id="rId1" Type="http://schemas.openxmlformats.org/officeDocument/2006/relationships/hyperlink" Target="http://charlee.ai" TargetMode="External"/><Relationship Id="rId2" Type="http://schemas.openxmlformats.org/officeDocument/2006/relationships/hyperlink" Target="http://experience.com" TargetMode="External"/><Relationship Id="rId3" Type="http://schemas.openxmlformats.org/officeDocument/2006/relationships/hyperlink" Target="http://experience.com" TargetMode="External"/><Relationship Id="rId4" Type="http://schemas.openxmlformats.org/officeDocument/2006/relationships/hyperlink" Target="http://experience.com" TargetMode="External"/><Relationship Id="rId9" Type="http://schemas.openxmlformats.org/officeDocument/2006/relationships/hyperlink" Target="http://experience.com" TargetMode="External"/><Relationship Id="rId5" Type="http://schemas.openxmlformats.org/officeDocument/2006/relationships/hyperlink" Target="http://experience.com" TargetMode="External"/><Relationship Id="rId6" Type="http://schemas.openxmlformats.org/officeDocument/2006/relationships/hyperlink" Target="http://experience.com" TargetMode="External"/><Relationship Id="rId7" Type="http://schemas.openxmlformats.org/officeDocument/2006/relationships/hyperlink" Target="http://experience.com" TargetMode="External"/><Relationship Id="rId8" Type="http://schemas.openxmlformats.org/officeDocument/2006/relationships/hyperlink" Target="http://experience.com"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0</v>
      </c>
      <c r="C3" s="2" t="s">
        <v>1</v>
      </c>
    </row>
    <row r="4">
      <c r="A4" s="3" t="s">
        <v>2</v>
      </c>
      <c r="B4" s="1" t="s">
        <v>3</v>
      </c>
      <c r="C4" s="4" t="s">
        <v>4</v>
      </c>
    </row>
    <row r="8">
      <c r="C8" s="1" t="s">
        <v>3</v>
      </c>
      <c r="D8" s="5" t="s">
        <v>5</v>
      </c>
      <c r="E8" s="1" t="s">
        <v>6</v>
      </c>
    </row>
    <row r="9">
      <c r="C9" s="6"/>
      <c r="D9" s="7" t="str">
        <f>if(C8="Prod",C4,C3)</f>
        <v>https://script.google.com/a/macros/guidewire.com/s/AKfycbws76mywSxgOcVNWcYZ5SsPXMLQG3JCIR9mYIbzxOPMkDguQtOVaHxWuBa3EmfxZlkF/exec</v>
      </c>
    </row>
    <row r="10">
      <c r="C10" s="6"/>
      <c r="D10" s="6" t="str">
        <f>IF(D8="","","&amp;manager="&amp;SUBSTITUTE(D8," ","%20"))</f>
        <v>&amp;manager=Tim%20Kennedy</v>
      </c>
    </row>
    <row r="11">
      <c r="C11" s="6"/>
      <c r="D11" s="6" t="str">
        <f>CONCAT("?page=",E8)</f>
        <v>?page=marketingmanager</v>
      </c>
    </row>
    <row r="12">
      <c r="C12" s="6"/>
      <c r="D12" s="8"/>
    </row>
    <row r="13">
      <c r="C13" s="1" t="s">
        <v>7</v>
      </c>
      <c r="D13" s="2" t="str">
        <f>concat(D9,+D11)</f>
        <v>https://script.google.com/a/macros/guidewire.com/s/AKfycbws76mywSxgOcVNWcYZ5SsPXMLQG3JCIR9mYIbzxOPMkDguQtOVaHxWuBa3EmfxZlkF/exec?page=marketingmanager</v>
      </c>
    </row>
    <row r="14">
      <c r="C14" s="1" t="s">
        <v>8</v>
      </c>
      <c r="D14" s="2" t="str">
        <f>concat(D13,D10)</f>
        <v>https://script.google.com/a/macros/guidewire.com/s/AKfycbws76mywSxgOcVNWcYZ5SsPXMLQG3JCIR9mYIbzxOPMkDguQtOVaHxWuBa3EmfxZlkF/exec?page=marketingmanager&amp;manager=Tim%20Kennedy</v>
      </c>
    </row>
    <row r="22">
      <c r="C22" s="1" t="str">
        <f t="shared" ref="C22:C23" si="1">concat(C21,C19)</f>
        <v/>
      </c>
    </row>
    <row r="23">
      <c r="C23" s="1" t="str">
        <f t="shared" si="1"/>
        <v/>
      </c>
    </row>
  </sheetData>
  <dataValidations>
    <dataValidation type="list" allowBlank="1" showErrorMessage="1" sqref="C8">
      <formula1>"Dev,Prod"</formula1>
    </dataValidation>
    <dataValidation type="list" allowBlank="1" showErrorMessage="1" sqref="D8">
      <formula1>AllianceManager!A2:A1001</formula1>
    </dataValidation>
    <dataValidation type="list" allowBlank="1" showErrorMessage="1" sqref="E8">
      <formula1>"marketingmanager,main"</formula1>
    </dataValidation>
  </dataValidations>
  <hyperlinks>
    <hyperlink r:id="rId1" ref="C3"/>
    <hyperlink r:id="rId2" ref="C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9.25"/>
    <col customWidth="1" min="3" max="3" width="23.25"/>
    <col customWidth="1" min="4" max="4" width="11.0"/>
    <col customWidth="1" min="5" max="5" width="12.25"/>
    <col customWidth="1" min="6" max="6" width="10.0"/>
    <col customWidth="1" min="7" max="7" width="11.25"/>
    <col customWidth="1" min="8" max="9" width="10.38"/>
    <col customWidth="1" min="10" max="10" width="9.25"/>
    <col customWidth="1" min="11" max="11" width="16.25"/>
    <col customWidth="1" min="12" max="12" width="10.38"/>
    <col customWidth="1" min="13" max="13" width="9.13"/>
    <col customWidth="1" min="14" max="14" width="14.25"/>
    <col customWidth="1" min="15" max="15" width="4.38"/>
    <col customWidth="1" min="16" max="16" width="13.88"/>
    <col customWidth="1" min="17" max="17" width="7.75"/>
    <col customWidth="1" min="18" max="18" width="23.25"/>
    <col customWidth="1" min="19" max="20" width="13.5"/>
  </cols>
  <sheetData>
    <row r="1">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27</v>
      </c>
    </row>
    <row r="2">
      <c r="A2" s="1" t="s">
        <v>28</v>
      </c>
      <c r="B2" s="1" t="s">
        <v>29</v>
      </c>
      <c r="C2" s="1" t="s">
        <v>30</v>
      </c>
      <c r="E2" s="1">
        <v>1.1093054347E10</v>
      </c>
      <c r="F2" s="1">
        <v>9.791255941E9</v>
      </c>
      <c r="G2" s="1" t="s">
        <v>31</v>
      </c>
      <c r="H2" s="1" t="s">
        <v>32</v>
      </c>
      <c r="I2" s="1" t="s">
        <v>5</v>
      </c>
      <c r="J2" s="1" t="s">
        <v>33</v>
      </c>
      <c r="K2" s="1" t="s">
        <v>34</v>
      </c>
      <c r="L2" s="9">
        <v>45698.0</v>
      </c>
      <c r="M2" s="9">
        <v>46028.0</v>
      </c>
      <c r="P2" s="1" t="s">
        <v>35</v>
      </c>
      <c r="Q2" s="10"/>
      <c r="R2" s="1" t="s">
        <v>30</v>
      </c>
    </row>
    <row r="3">
      <c r="A3" s="1" t="s">
        <v>36</v>
      </c>
      <c r="B3" s="1" t="s">
        <v>29</v>
      </c>
      <c r="C3" s="1" t="s">
        <v>30</v>
      </c>
      <c r="E3" s="1">
        <v>1.0941024281E10</v>
      </c>
      <c r="F3" s="1">
        <v>9.791255941E9</v>
      </c>
      <c r="G3" s="1" t="s">
        <v>31</v>
      </c>
      <c r="H3" s="1" t="s">
        <v>32</v>
      </c>
      <c r="I3" s="1" t="s">
        <v>5</v>
      </c>
      <c r="J3" s="1" t="s">
        <v>33</v>
      </c>
      <c r="K3" s="1" t="s">
        <v>37</v>
      </c>
      <c r="L3" s="9">
        <v>45698.0</v>
      </c>
      <c r="M3" s="9">
        <v>46036.0</v>
      </c>
      <c r="P3" s="10"/>
      <c r="Q3" s="10"/>
      <c r="R3" s="1" t="s">
        <v>30</v>
      </c>
    </row>
    <row r="4">
      <c r="A4" s="1" t="s">
        <v>38</v>
      </c>
      <c r="B4" s="1" t="s">
        <v>29</v>
      </c>
      <c r="C4" s="1" t="s">
        <v>30</v>
      </c>
      <c r="E4" s="1">
        <v>1.0809257698E10</v>
      </c>
      <c r="F4" s="1">
        <v>9.791255941E9</v>
      </c>
      <c r="G4" s="1" t="s">
        <v>31</v>
      </c>
      <c r="H4" s="1" t="s">
        <v>32</v>
      </c>
      <c r="I4" s="1" t="s">
        <v>5</v>
      </c>
      <c r="J4" s="1" t="s">
        <v>39</v>
      </c>
      <c r="K4" s="1" t="s">
        <v>40</v>
      </c>
      <c r="L4" s="9">
        <v>45698.0</v>
      </c>
      <c r="M4" s="9">
        <v>46037.0</v>
      </c>
      <c r="P4" s="10"/>
      <c r="Q4" s="10"/>
      <c r="R4" s="1" t="s">
        <v>30</v>
      </c>
    </row>
    <row r="5">
      <c r="A5" s="1" t="s">
        <v>41</v>
      </c>
      <c r="B5" s="1" t="s">
        <v>29</v>
      </c>
      <c r="C5" s="1" t="s">
        <v>30</v>
      </c>
      <c r="E5" s="1">
        <v>1.0813317258E10</v>
      </c>
      <c r="F5" s="1">
        <v>9.791255941E9</v>
      </c>
      <c r="G5" s="1" t="s">
        <v>31</v>
      </c>
      <c r="H5" s="1" t="s">
        <v>32</v>
      </c>
      <c r="I5" s="1" t="s">
        <v>5</v>
      </c>
      <c r="J5" s="1" t="s">
        <v>33</v>
      </c>
      <c r="K5" s="1" t="s">
        <v>42</v>
      </c>
      <c r="L5" s="9">
        <v>45698.0</v>
      </c>
      <c r="M5" s="9">
        <v>46033.0</v>
      </c>
      <c r="P5" s="10"/>
      <c r="Q5" s="10"/>
      <c r="R5" s="1" t="s">
        <v>30</v>
      </c>
    </row>
    <row r="6">
      <c r="A6" s="1" t="s">
        <v>43</v>
      </c>
      <c r="B6" s="1" t="s">
        <v>29</v>
      </c>
      <c r="C6" s="1" t="s">
        <v>30</v>
      </c>
      <c r="E6" s="1">
        <v>1.0813553846E10</v>
      </c>
      <c r="F6" s="1">
        <v>9.791255941E9</v>
      </c>
      <c r="G6" s="1" t="s">
        <v>31</v>
      </c>
      <c r="H6" s="1" t="s">
        <v>32</v>
      </c>
      <c r="I6" s="1" t="s">
        <v>5</v>
      </c>
      <c r="J6" s="1" t="s">
        <v>33</v>
      </c>
      <c r="K6" s="1" t="s">
        <v>40</v>
      </c>
      <c r="L6" s="9">
        <v>45698.0</v>
      </c>
      <c r="M6" s="9">
        <v>46038.0</v>
      </c>
      <c r="P6" s="10"/>
      <c r="Q6" s="10"/>
      <c r="R6" s="1" t="s">
        <v>30</v>
      </c>
    </row>
    <row r="7">
      <c r="A7" s="1" t="s">
        <v>44</v>
      </c>
      <c r="B7" s="1" t="s">
        <v>29</v>
      </c>
      <c r="C7" s="1" t="s">
        <v>30</v>
      </c>
      <c r="E7" s="1">
        <v>1.0813549497E10</v>
      </c>
      <c r="F7" s="1">
        <v>9.791255941E9</v>
      </c>
      <c r="G7" s="1" t="s">
        <v>45</v>
      </c>
      <c r="H7" s="1" t="s">
        <v>32</v>
      </c>
      <c r="I7" s="1" t="s">
        <v>5</v>
      </c>
      <c r="J7" s="1" t="s">
        <v>33</v>
      </c>
      <c r="K7" s="1" t="s">
        <v>42</v>
      </c>
      <c r="L7" s="9">
        <v>45698.0</v>
      </c>
      <c r="M7" s="9">
        <v>46038.0</v>
      </c>
      <c r="P7" s="10"/>
      <c r="R7" s="1" t="s">
        <v>30</v>
      </c>
    </row>
    <row r="8">
      <c r="A8" s="1" t="s">
        <v>46</v>
      </c>
      <c r="B8" s="1" t="s">
        <v>29</v>
      </c>
      <c r="C8" s="1" t="s">
        <v>30</v>
      </c>
      <c r="E8" s="1">
        <v>1.0819625182E10</v>
      </c>
      <c r="F8" s="1">
        <v>9.791255941E9</v>
      </c>
      <c r="G8" s="1" t="s">
        <v>47</v>
      </c>
      <c r="H8" s="1" t="s">
        <v>5</v>
      </c>
      <c r="I8" s="1" t="s">
        <v>5</v>
      </c>
      <c r="J8" s="1" t="s">
        <v>33</v>
      </c>
      <c r="K8" s="1" t="s">
        <v>37</v>
      </c>
      <c r="L8" s="9">
        <v>45698.0</v>
      </c>
      <c r="M8" s="9">
        <v>46029.0</v>
      </c>
      <c r="P8" s="1" t="s">
        <v>48</v>
      </c>
      <c r="Q8" s="10"/>
      <c r="R8" s="1" t="s">
        <v>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9.25"/>
    <col customWidth="1" min="3" max="3" width="14.75"/>
    <col customWidth="1" min="4" max="4" width="11.0"/>
    <col customWidth="1" min="5" max="5" width="12.25"/>
    <col customWidth="1" min="6" max="6" width="10.0"/>
    <col customWidth="1" min="7" max="7" width="11.25"/>
    <col customWidth="1" min="8" max="8" width="9.0"/>
    <col customWidth="1" min="9" max="9" width="10.38"/>
    <col customWidth="1" min="10" max="10" width="9.25"/>
    <col customWidth="1" min="11" max="11" width="10.13"/>
    <col customWidth="1" min="12" max="12" width="10.38"/>
    <col customWidth="1" min="13" max="13" width="9.13"/>
    <col customWidth="1" min="14" max="14" width="14.25"/>
    <col customWidth="1" min="15" max="15" width="4.38"/>
    <col customWidth="1" min="16" max="16" width="13.88"/>
    <col customWidth="1" min="17" max="17" width="7.75"/>
    <col customWidth="1" min="18" max="18" width="14.75"/>
    <col customWidth="1" min="19" max="20" width="13.5"/>
  </cols>
  <sheetData>
    <row r="1">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27</v>
      </c>
    </row>
    <row r="2">
      <c r="A2" s="1" t="s">
        <v>38</v>
      </c>
      <c r="B2" s="1" t="s">
        <v>29</v>
      </c>
      <c r="C2" s="1" t="s">
        <v>49</v>
      </c>
      <c r="E2" s="1">
        <v>1.0813055615E10</v>
      </c>
      <c r="F2" s="1">
        <v>9.79127239E9</v>
      </c>
      <c r="G2" s="1" t="s">
        <v>31</v>
      </c>
      <c r="H2" s="1" t="s">
        <v>50</v>
      </c>
      <c r="I2" s="1" t="s">
        <v>5</v>
      </c>
      <c r="J2" s="1" t="s">
        <v>33</v>
      </c>
      <c r="K2" s="1" t="s">
        <v>51</v>
      </c>
      <c r="L2" s="9">
        <v>45698.0</v>
      </c>
      <c r="M2" s="9">
        <v>46052.0</v>
      </c>
      <c r="P2" s="1" t="s">
        <v>48</v>
      </c>
      <c r="Q2" s="10"/>
      <c r="R2" s="1" t="s">
        <v>49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9.25"/>
    <col customWidth="1" min="3" max="3" width="24.75"/>
    <col customWidth="1" min="4" max="4" width="11.0"/>
    <col customWidth="1" min="5" max="5" width="12.25"/>
    <col customWidth="1" min="6" max="6" width="11.0"/>
    <col customWidth="1" min="7" max="7" width="11.25"/>
    <col customWidth="1" min="8" max="8" width="10.75"/>
    <col customWidth="1" min="9" max="9" width="10.38"/>
    <col customWidth="1" min="10" max="10" width="9.25"/>
    <col customWidth="1" min="11" max="11" width="16.25"/>
    <col customWidth="1" min="12" max="12" width="10.38"/>
    <col customWidth="1" min="13" max="13" width="9.13"/>
    <col customWidth="1" min="14" max="14" width="14.25"/>
    <col customWidth="1" min="15" max="15" width="4.38"/>
    <col customWidth="1" min="16" max="16" width="13.88"/>
    <col customWidth="1" min="17" max="17" width="7.75"/>
    <col customWidth="1" min="18" max="18" width="12.88"/>
    <col customWidth="1" min="19" max="20" width="13.5"/>
  </cols>
  <sheetData>
    <row r="1">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27</v>
      </c>
    </row>
    <row r="2">
      <c r="A2" s="1" t="s">
        <v>52</v>
      </c>
      <c r="B2" s="1" t="s">
        <v>29</v>
      </c>
      <c r="C2" s="1" t="s">
        <v>53</v>
      </c>
      <c r="E2" s="1">
        <v>1.1092783913E10</v>
      </c>
      <c r="F2" s="1">
        <v>1.837501336E10</v>
      </c>
      <c r="G2" s="1" t="s">
        <v>31</v>
      </c>
      <c r="H2" s="1" t="s">
        <v>54</v>
      </c>
      <c r="I2" s="1" t="s">
        <v>5</v>
      </c>
      <c r="J2" s="1" t="s">
        <v>33</v>
      </c>
      <c r="K2" s="1" t="s">
        <v>37</v>
      </c>
      <c r="L2" s="9">
        <v>45698.0</v>
      </c>
      <c r="M2" s="9">
        <v>46052.0</v>
      </c>
      <c r="P2" s="1" t="s">
        <v>38</v>
      </c>
      <c r="Q2" s="10"/>
      <c r="R2"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c r="B1" s="1" t="s">
        <v>10</v>
      </c>
      <c r="C1" s="1" t="s">
        <v>11</v>
      </c>
      <c r="D1" s="1" t="s">
        <v>12</v>
      </c>
      <c r="E1" s="1" t="s">
        <v>13</v>
      </c>
      <c r="F1" s="1" t="s">
        <v>14</v>
      </c>
      <c r="G1" s="1" t="s">
        <v>25</v>
      </c>
      <c r="H1" s="1" t="s">
        <v>55</v>
      </c>
      <c r="I1" s="1" t="s">
        <v>56</v>
      </c>
      <c r="J1" s="1" t="s">
        <v>57</v>
      </c>
      <c r="K1" s="1" t="s">
        <v>58</v>
      </c>
      <c r="L1" s="1" t="s">
        <v>59</v>
      </c>
      <c r="M1" s="1" t="s">
        <v>60</v>
      </c>
      <c r="N1" s="1" t="s">
        <v>61</v>
      </c>
      <c r="O1" s="1" t="s">
        <v>62</v>
      </c>
      <c r="P1" s="1" t="s">
        <v>63</v>
      </c>
      <c r="Q1" s="1" t="s">
        <v>64</v>
      </c>
      <c r="R1" s="1" t="s">
        <v>65</v>
      </c>
      <c r="S1" s="1" t="s">
        <v>66</v>
      </c>
      <c r="T1" s="1" t="s">
        <v>67</v>
      </c>
      <c r="U1" s="1" t="s">
        <v>68</v>
      </c>
      <c r="V1" s="1" t="s">
        <v>69</v>
      </c>
      <c r="W1" s="1" t="s">
        <v>70</v>
      </c>
      <c r="X1" s="1" t="s">
        <v>71</v>
      </c>
      <c r="Y1" s="1" t="s">
        <v>72</v>
      </c>
      <c r="Z1" s="1" t="s">
        <v>73</v>
      </c>
      <c r="AA1" s="1" t="s">
        <v>74</v>
      </c>
      <c r="AB1" s="1" t="s">
        <v>75</v>
      </c>
      <c r="AC1" s="1" t="s">
        <v>76</v>
      </c>
      <c r="AD1" s="1" t="s">
        <v>77</v>
      </c>
      <c r="AE1" s="1" t="s">
        <v>78</v>
      </c>
      <c r="AF1" s="1" t="s">
        <v>79</v>
      </c>
      <c r="AG1" s="1" t="s">
        <v>80</v>
      </c>
      <c r="AH1" s="1" t="s">
        <v>81</v>
      </c>
      <c r="AI1" s="1" t="s">
        <v>82</v>
      </c>
      <c r="AJ1" s="1" t="s">
        <v>83</v>
      </c>
      <c r="AK1" s="1" t="s">
        <v>84</v>
      </c>
      <c r="AL1" s="1" t="s">
        <v>85</v>
      </c>
      <c r="AM1" s="1" t="s">
        <v>86</v>
      </c>
      <c r="AN1" s="1" t="s">
        <v>87</v>
      </c>
      <c r="AO1" s="1" t="s">
        <v>88</v>
      </c>
      <c r="AP1" s="1" t="s">
        <v>89</v>
      </c>
      <c r="AQ1" s="1" t="s">
        <v>90</v>
      </c>
      <c r="AR1" s="1" t="s">
        <v>91</v>
      </c>
      <c r="AS1" s="1" t="s">
        <v>92</v>
      </c>
      <c r="AT1" s="1" t="s">
        <v>93</v>
      </c>
      <c r="AU1" s="1" t="s">
        <v>94</v>
      </c>
      <c r="AV1" s="1" t="s">
        <v>95</v>
      </c>
      <c r="AW1" s="1" t="s">
        <v>96</v>
      </c>
      <c r="AX1" s="1" t="s">
        <v>97</v>
      </c>
      <c r="AY1" s="1" t="s">
        <v>98</v>
      </c>
      <c r="AZ1" s="1" t="s">
        <v>99</v>
      </c>
      <c r="BA1" s="1" t="s">
        <v>100</v>
      </c>
      <c r="BB1" s="1" t="s">
        <v>101</v>
      </c>
      <c r="BC1" s="1" t="s">
        <v>102</v>
      </c>
      <c r="BD1" s="1" t="s">
        <v>103</v>
      </c>
      <c r="BE1" s="1" t="s">
        <v>104</v>
      </c>
      <c r="BF1" s="1" t="s">
        <v>105</v>
      </c>
      <c r="BG1" s="1" t="s">
        <v>106</v>
      </c>
      <c r="BH1" s="1" t="s">
        <v>107</v>
      </c>
      <c r="BI1" s="1" t="s">
        <v>108</v>
      </c>
      <c r="BJ1" s="1" t="s">
        <v>109</v>
      </c>
      <c r="BK1" s="1" t="s">
        <v>110</v>
      </c>
      <c r="BL1" s="1" t="s">
        <v>111</v>
      </c>
      <c r="BM1" s="1" t="s">
        <v>112</v>
      </c>
      <c r="BN1" s="1" t="s">
        <v>113</v>
      </c>
      <c r="BO1" s="1" t="s">
        <v>114</v>
      </c>
      <c r="BP1" s="1" t="s">
        <v>115</v>
      </c>
      <c r="BQ1" s="1" t="s">
        <v>116</v>
      </c>
      <c r="BR1" s="1" t="s">
        <v>117</v>
      </c>
      <c r="BS1" s="1" t="s">
        <v>118</v>
      </c>
      <c r="BT1" s="1" t="s">
        <v>27</v>
      </c>
    </row>
    <row r="2">
      <c r="A2" s="1" t="s">
        <v>119</v>
      </c>
      <c r="B2" s="1" t="s">
        <v>120</v>
      </c>
      <c r="C2" s="1" t="s">
        <v>121</v>
      </c>
      <c r="D2" s="1" t="s">
        <v>122</v>
      </c>
      <c r="E2" s="1">
        <v>1.0693573595E10</v>
      </c>
      <c r="F2" s="1">
        <v>1.8389979949E10</v>
      </c>
      <c r="H2" s="10"/>
      <c r="I2" s="10"/>
      <c r="J2" s="9">
        <v>46022.0</v>
      </c>
      <c r="K2" s="1" t="s">
        <v>123</v>
      </c>
      <c r="L2" s="1" t="s">
        <v>5</v>
      </c>
      <c r="N2" s="1" t="s">
        <v>124</v>
      </c>
      <c r="O2" s="1" t="s">
        <v>125</v>
      </c>
      <c r="P2" s="10"/>
      <c r="Q2" s="10"/>
      <c r="S2" s="10"/>
      <c r="V2" s="10"/>
      <c r="X2" s="1" t="s">
        <v>126</v>
      </c>
      <c r="Y2" s="1" t="s">
        <v>127</v>
      </c>
      <c r="Z2" s="10"/>
      <c r="AB2" s="10"/>
      <c r="AD2" s="1" t="s">
        <v>128</v>
      </c>
      <c r="AF2" s="1" t="s">
        <v>124</v>
      </c>
      <c r="AH2" s="10"/>
      <c r="AL2" s="10"/>
      <c r="AP2" s="10"/>
      <c r="BL2" s="10"/>
      <c r="BM2" s="10"/>
      <c r="BO2" s="1" t="s">
        <v>129</v>
      </c>
      <c r="BP2" s="9">
        <v>46023.0</v>
      </c>
      <c r="BQ2" s="9">
        <v>45994.0</v>
      </c>
      <c r="BR2" s="1" t="s">
        <v>130</v>
      </c>
    </row>
    <row r="3">
      <c r="A3" s="10"/>
      <c r="B3" s="10"/>
      <c r="C3" s="10"/>
      <c r="D3" s="10"/>
      <c r="E3" s="10"/>
      <c r="F3" s="10"/>
      <c r="J3" s="11"/>
      <c r="K3" s="10"/>
      <c r="L3" s="10"/>
      <c r="N3" s="10"/>
      <c r="O3" s="10"/>
      <c r="X3" s="10"/>
      <c r="Y3" s="10"/>
      <c r="AD3" s="10"/>
      <c r="AF3" s="10"/>
      <c r="BO3" s="10"/>
      <c r="BP3" s="11"/>
      <c r="BQ3" s="11"/>
      <c r="BR3" s="10"/>
    </row>
    <row r="4">
      <c r="A4" s="10"/>
      <c r="B4" s="10"/>
      <c r="C4" s="10"/>
      <c r="D4" s="10"/>
      <c r="E4" s="10"/>
      <c r="F4" s="10"/>
      <c r="J4" s="11"/>
      <c r="K4" s="10"/>
      <c r="L4" s="10"/>
      <c r="N4" s="10"/>
      <c r="O4" s="10"/>
      <c r="X4" s="10"/>
      <c r="Y4" s="10"/>
      <c r="AD4" s="10"/>
      <c r="AF4" s="10"/>
      <c r="BH4" s="10"/>
      <c r="BI4" s="10"/>
      <c r="BO4" s="10"/>
      <c r="BP4" s="11"/>
      <c r="BQ4" s="11"/>
      <c r="BR4"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54.13"/>
    <col customWidth="1" min="3" max="3" width="27.88"/>
    <col customWidth="1" min="4" max="5" width="13.88"/>
    <col customWidth="1" min="6" max="6" width="31.13"/>
  </cols>
  <sheetData>
    <row r="1">
      <c r="A1" s="6" t="s">
        <v>131</v>
      </c>
      <c r="B1" s="5" t="s">
        <v>131</v>
      </c>
      <c r="C1" s="6" t="s">
        <v>132</v>
      </c>
      <c r="D1" s="5" t="s">
        <v>133</v>
      </c>
      <c r="E1" s="5" t="s">
        <v>134</v>
      </c>
      <c r="F1" s="5" t="s">
        <v>135</v>
      </c>
      <c r="G1" s="5" t="s">
        <v>136</v>
      </c>
      <c r="H1" s="5" t="s">
        <v>137</v>
      </c>
      <c r="I1" s="6"/>
      <c r="J1" s="6"/>
      <c r="K1" s="6"/>
      <c r="L1" s="6"/>
      <c r="M1" s="6"/>
      <c r="N1" s="6"/>
      <c r="O1" s="6"/>
      <c r="P1" s="6"/>
      <c r="Q1" s="6"/>
      <c r="R1" s="6"/>
      <c r="S1" s="6"/>
      <c r="T1" s="6"/>
      <c r="U1" s="6"/>
      <c r="V1" s="6"/>
      <c r="W1" s="6"/>
      <c r="X1" s="6"/>
      <c r="Y1" s="6"/>
      <c r="Z1" s="6"/>
      <c r="AA1" s="6"/>
    </row>
    <row r="2">
      <c r="A2" s="12" t="s">
        <v>138</v>
      </c>
      <c r="B2" s="6" t="str">
        <f>IFERROR(__xludf.DUMMYFUNCTION("ARRAYFORMULA(IF(A2:A1007="""",,SPLIT(TRIM(A2:A1007), "","")))"),"Event Name")</f>
        <v>Event Name</v>
      </c>
      <c r="C2" s="6" t="str">
        <f>IFERROR(__xludf.DUMMYFUNCTION("""COMPUTED_VALUE""")," name")</f>
        <v> name</v>
      </c>
      <c r="D2" s="5" t="b">
        <v>1</v>
      </c>
      <c r="E2" s="5" t="s">
        <v>139</v>
      </c>
      <c r="F2" s="5" t="s">
        <v>140</v>
      </c>
      <c r="G2" s="6"/>
      <c r="H2" s="6"/>
      <c r="I2" s="6"/>
      <c r="J2" s="6"/>
      <c r="K2" s="6"/>
      <c r="L2" s="6"/>
      <c r="M2" s="6"/>
      <c r="N2" s="6"/>
      <c r="O2" s="6"/>
      <c r="P2" s="6"/>
      <c r="Q2" s="6"/>
      <c r="R2" s="6"/>
      <c r="S2" s="6"/>
      <c r="T2" s="6"/>
      <c r="U2" s="6"/>
      <c r="V2" s="6"/>
      <c r="W2" s="6"/>
      <c r="X2" s="6"/>
      <c r="Y2" s="6"/>
      <c r="Z2" s="6"/>
      <c r="AA2" s="6"/>
    </row>
    <row r="3">
      <c r="A3" s="12" t="s">
        <v>141</v>
      </c>
      <c r="B3" s="6" t="str">
        <f>IFERROR(__xludf.DUMMYFUNCTION("""COMPUTED_VALUE"""),"Event Start Date")</f>
        <v>Event Start Date</v>
      </c>
      <c r="C3" s="6" t="str">
        <f>IFERROR(__xludf.DUMMYFUNCTION("""COMPUTED_VALUE""")," date_mktkb5sf")</f>
        <v> date_mktkb5sf</v>
      </c>
      <c r="D3" s="5" t="b">
        <v>1</v>
      </c>
      <c r="E3" s="5" t="s">
        <v>139</v>
      </c>
      <c r="F3" s="5" t="s">
        <v>140</v>
      </c>
      <c r="G3" s="6"/>
      <c r="H3" s="6"/>
      <c r="I3" s="6"/>
      <c r="J3" s="6"/>
      <c r="K3" s="6"/>
      <c r="L3" s="6"/>
      <c r="M3" s="6"/>
      <c r="N3" s="6"/>
      <c r="O3" s="6"/>
      <c r="P3" s="6"/>
      <c r="Q3" s="6"/>
      <c r="R3" s="6"/>
      <c r="S3" s="6"/>
      <c r="T3" s="6"/>
      <c r="U3" s="6"/>
      <c r="V3" s="6"/>
      <c r="W3" s="6"/>
      <c r="X3" s="6"/>
      <c r="Y3" s="6"/>
      <c r="Z3" s="6"/>
      <c r="AA3" s="6"/>
    </row>
    <row r="4">
      <c r="A4" s="12" t="s">
        <v>142</v>
      </c>
      <c r="B4" s="6" t="str">
        <f>IFERROR(__xludf.DUMMYFUNCTION("""COMPUTED_VALUE"""),"Event URL")</f>
        <v>Event URL</v>
      </c>
      <c r="C4" s="6" t="str">
        <f>IFERROR(__xludf.DUMMYFUNCTION("""COMPUTED_VALUE""")," text_mktj8ce4")</f>
        <v> text_mktj8ce4</v>
      </c>
      <c r="D4" s="5"/>
      <c r="E4" s="5" t="s">
        <v>139</v>
      </c>
      <c r="F4" s="5" t="s">
        <v>140</v>
      </c>
      <c r="G4" s="6"/>
      <c r="H4" s="6"/>
      <c r="I4" s="6"/>
      <c r="J4" s="6"/>
      <c r="K4" s="6"/>
      <c r="L4" s="6"/>
      <c r="M4" s="6"/>
      <c r="N4" s="6"/>
      <c r="O4" s="6"/>
      <c r="P4" s="6"/>
      <c r="Q4" s="6"/>
      <c r="R4" s="6"/>
      <c r="S4" s="6"/>
      <c r="T4" s="6"/>
      <c r="U4" s="6"/>
      <c r="V4" s="6"/>
      <c r="W4" s="6"/>
      <c r="X4" s="6"/>
      <c r="Y4" s="6"/>
      <c r="Z4" s="6"/>
      <c r="AA4" s="6"/>
    </row>
    <row r="5">
      <c r="A5" s="12" t="s">
        <v>143</v>
      </c>
      <c r="B5" s="6" t="str">
        <f>IFERROR(__xludf.DUMMYFUNCTION("""COMPUTED_VALUE"""),"Decision Date By")</f>
        <v>Decision Date By</v>
      </c>
      <c r="C5" s="6" t="str">
        <f>IFERROR(__xludf.DUMMYFUNCTION("""COMPUTED_VALUE""")," date_mky170gm")</f>
        <v> date_mky170gm</v>
      </c>
      <c r="D5" s="5" t="b">
        <v>1</v>
      </c>
      <c r="E5" s="5" t="s">
        <v>139</v>
      </c>
      <c r="F5" s="5" t="s">
        <v>140</v>
      </c>
      <c r="G5" s="6"/>
      <c r="H5" s="6"/>
      <c r="I5" s="6"/>
      <c r="J5" s="6"/>
      <c r="K5" s="6"/>
      <c r="L5" s="6"/>
      <c r="M5" s="6"/>
      <c r="N5" s="6"/>
      <c r="O5" s="6"/>
      <c r="P5" s="6"/>
      <c r="Q5" s="6"/>
      <c r="R5" s="6"/>
      <c r="S5" s="6"/>
      <c r="T5" s="6"/>
      <c r="U5" s="6"/>
      <c r="V5" s="6"/>
      <c r="W5" s="6"/>
      <c r="X5" s="6"/>
      <c r="Y5" s="6"/>
      <c r="Z5" s="6"/>
      <c r="AA5" s="6"/>
    </row>
    <row r="6">
      <c r="A6" s="12" t="s">
        <v>144</v>
      </c>
      <c r="B6" s="6" t="str">
        <f>IFERROR(__xludf.DUMMYFUNCTION("""COMPUTED_VALUE"""),"Event Date Range and Location")</f>
        <v>Event Date Range and Location</v>
      </c>
      <c r="C6" s="6" t="str">
        <f>IFERROR(__xludf.DUMMYFUNCTION("""COMPUTED_VALUE""")," text_mktkdwry")</f>
        <v> text_mktkdwry</v>
      </c>
      <c r="D6" s="5"/>
      <c r="E6" s="5" t="s">
        <v>139</v>
      </c>
      <c r="F6" s="5" t="s">
        <v>140</v>
      </c>
      <c r="G6" s="6"/>
      <c r="H6" s="6"/>
      <c r="I6" s="6"/>
      <c r="J6" s="6"/>
      <c r="K6" s="6"/>
      <c r="L6" s="6"/>
      <c r="M6" s="6"/>
      <c r="N6" s="6"/>
      <c r="O6" s="6"/>
      <c r="P6" s="6"/>
      <c r="Q6" s="6"/>
      <c r="R6" s="6"/>
      <c r="S6" s="6"/>
      <c r="T6" s="6"/>
      <c r="U6" s="6"/>
      <c r="V6" s="6"/>
      <c r="W6" s="6"/>
      <c r="X6" s="6"/>
      <c r="Y6" s="6"/>
      <c r="Z6" s="6"/>
      <c r="AA6" s="6"/>
    </row>
    <row r="7">
      <c r="A7" s="12" t="s">
        <v>145</v>
      </c>
      <c r="B7" s="6" t="str">
        <f>IFERROR(__xludf.DUMMYFUNCTION("""COMPUTED_VALUE"""),"Primary Objectives")</f>
        <v>Primary Objectives</v>
      </c>
      <c r="C7" s="6" t="str">
        <f>IFERROR(__xludf.DUMMYFUNCTION("""COMPUTED_VALUE""")," dropdown_mky16p7m")</f>
        <v> dropdown_mky16p7m</v>
      </c>
      <c r="D7" s="5" t="b">
        <v>1</v>
      </c>
      <c r="E7" s="5" t="s">
        <v>139</v>
      </c>
      <c r="F7" s="5" t="s">
        <v>140</v>
      </c>
      <c r="G7" s="6"/>
      <c r="H7" s="6"/>
      <c r="I7" s="6"/>
      <c r="J7" s="6"/>
      <c r="K7" s="6"/>
      <c r="L7" s="6"/>
      <c r="M7" s="6"/>
      <c r="N7" s="6"/>
      <c r="O7" s="6"/>
      <c r="P7" s="6"/>
      <c r="Q7" s="6"/>
      <c r="R7" s="6"/>
      <c r="S7" s="6"/>
      <c r="T7" s="6"/>
      <c r="U7" s="6"/>
      <c r="V7" s="6"/>
      <c r="W7" s="6"/>
      <c r="X7" s="6"/>
      <c r="Y7" s="6"/>
      <c r="Z7" s="6"/>
      <c r="AA7" s="6"/>
    </row>
    <row r="8">
      <c r="A8" s="12" t="s">
        <v>146</v>
      </c>
      <c r="B8" s="6" t="str">
        <f>IFERROR(__xludf.DUMMYFUNCTION("""COMPUTED_VALUE"""),"Requestor")</f>
        <v>Requestor</v>
      </c>
      <c r="C8" s="6" t="str">
        <f>IFERROR(__xludf.DUMMYFUNCTION("""COMPUTED_VALUE""")," text_mky7xyqh")</f>
        <v> text_mky7xyqh</v>
      </c>
      <c r="D8" s="5"/>
      <c r="E8" s="5" t="s">
        <v>139</v>
      </c>
      <c r="F8" s="5" t="s">
        <v>140</v>
      </c>
      <c r="G8" s="6"/>
      <c r="H8" s="6"/>
      <c r="I8" s="6"/>
      <c r="J8" s="6"/>
      <c r="K8" s="6"/>
      <c r="L8" s="6"/>
      <c r="M8" s="6"/>
      <c r="N8" s="6"/>
      <c r="O8" s="6"/>
      <c r="P8" s="6"/>
      <c r="Q8" s="6"/>
      <c r="R8" s="6"/>
      <c r="S8" s="6"/>
      <c r="T8" s="6"/>
      <c r="U8" s="6"/>
      <c r="V8" s="6"/>
      <c r="W8" s="6"/>
      <c r="X8" s="6"/>
      <c r="Y8" s="6"/>
      <c r="Z8" s="6"/>
      <c r="AA8" s="6"/>
    </row>
    <row r="9">
      <c r="A9" s="12" t="s">
        <v>147</v>
      </c>
      <c r="B9" s="6" t="str">
        <f>IFERROR(__xludf.DUMMYFUNCTION("""COMPUTED_VALUE"""),"Non-participation Risks")</f>
        <v>Non-participation Risks</v>
      </c>
      <c r="C9" s="6" t="str">
        <f>IFERROR(__xludf.DUMMYFUNCTION("""COMPUTED_VALUE""")," text_mky7njax")</f>
        <v> text_mky7njax</v>
      </c>
      <c r="D9" s="5"/>
      <c r="E9" s="5" t="s">
        <v>139</v>
      </c>
      <c r="F9" s="5" t="s">
        <v>140</v>
      </c>
      <c r="G9" s="6"/>
      <c r="H9" s="6"/>
      <c r="I9" s="6"/>
      <c r="J9" s="6"/>
      <c r="K9" s="6"/>
      <c r="L9" s="6"/>
      <c r="M9" s="6"/>
      <c r="N9" s="6"/>
      <c r="O9" s="6"/>
      <c r="P9" s="6"/>
      <c r="Q9" s="6"/>
      <c r="R9" s="6"/>
      <c r="S9" s="6"/>
      <c r="T9" s="6"/>
      <c r="U9" s="6"/>
      <c r="V9" s="6"/>
      <c r="W9" s="6"/>
      <c r="X9" s="6"/>
      <c r="Y9" s="6"/>
      <c r="Z9" s="6"/>
      <c r="AA9" s="6"/>
    </row>
    <row r="10">
      <c r="A10" s="12" t="s">
        <v>148</v>
      </c>
      <c r="B10" s="6" t="str">
        <f>IFERROR(__xludf.DUMMYFUNCTION("""COMPUTED_VALUE"""),"Funding Type")</f>
        <v>Funding Type</v>
      </c>
      <c r="C10" s="6" t="str">
        <f>IFERROR(__xludf.DUMMYFUNCTION("""COMPUTED_VALUE""")," color_mkxxef94")</f>
        <v> color_mkxxef94</v>
      </c>
      <c r="D10" s="5" t="b">
        <v>1</v>
      </c>
      <c r="E10" s="5" t="s">
        <v>139</v>
      </c>
      <c r="F10" s="5" t="s">
        <v>140</v>
      </c>
      <c r="G10" s="6"/>
      <c r="H10" s="6"/>
      <c r="I10" s="6"/>
      <c r="J10" s="6"/>
      <c r="K10" s="6"/>
      <c r="L10" s="6"/>
      <c r="M10" s="6"/>
      <c r="N10" s="6"/>
      <c r="O10" s="6"/>
      <c r="P10" s="6"/>
      <c r="Q10" s="6"/>
      <c r="R10" s="6"/>
      <c r="S10" s="6"/>
      <c r="T10" s="6"/>
      <c r="U10" s="6"/>
      <c r="V10" s="6"/>
      <c r="W10" s="6"/>
      <c r="X10" s="6"/>
      <c r="Y10" s="6"/>
      <c r="Z10" s="6"/>
      <c r="AA10" s="6"/>
    </row>
    <row r="11">
      <c r="A11" s="12" t="s">
        <v>149</v>
      </c>
      <c r="B11" s="6" t="str">
        <f>IFERROR(__xludf.DUMMYFUNCTION("""COMPUTED_VALUE"""),"Overall Status")</f>
        <v>Overall Status</v>
      </c>
      <c r="C11" s="6" t="str">
        <f>IFERROR(__xludf.DUMMYFUNCTION("""COMPUTED_VALUE""")," status")</f>
        <v> status</v>
      </c>
      <c r="D11" s="5"/>
      <c r="E11" s="5" t="s">
        <v>139</v>
      </c>
      <c r="F11" s="5" t="s">
        <v>140</v>
      </c>
      <c r="G11" s="6"/>
      <c r="H11" s="6"/>
      <c r="I11" s="6"/>
      <c r="J11" s="6"/>
      <c r="K11" s="6"/>
      <c r="L11" s="6"/>
      <c r="M11" s="6"/>
      <c r="N11" s="6"/>
      <c r="O11" s="6"/>
      <c r="P11" s="6"/>
      <c r="Q11" s="6"/>
      <c r="R11" s="6"/>
      <c r="S11" s="6"/>
      <c r="T11" s="6"/>
      <c r="U11" s="6"/>
      <c r="V11" s="6"/>
      <c r="W11" s="6"/>
      <c r="X11" s="6"/>
      <c r="Y11" s="6"/>
      <c r="Z11" s="6"/>
      <c r="AA11" s="6"/>
    </row>
    <row r="12">
      <c r="A12" s="12" t="s">
        <v>150</v>
      </c>
      <c r="B12" s="6" t="str">
        <f>IFERROR(__xludf.DUMMYFUNCTION("""COMPUTED_VALUE"""),"MDF Requested")</f>
        <v>MDF Requested</v>
      </c>
      <c r="C12" s="6" t="str">
        <f>IFERROR(__xludf.DUMMYFUNCTION("""COMPUTED_VALUE""")," color_mky7z1eq")</f>
        <v> color_mky7z1eq</v>
      </c>
      <c r="D12" s="5"/>
      <c r="E12" s="5" t="s">
        <v>139</v>
      </c>
      <c r="F12" s="5" t="s">
        <v>140</v>
      </c>
      <c r="G12" s="5" t="s">
        <v>151</v>
      </c>
      <c r="H12" s="5" t="s">
        <v>152</v>
      </c>
      <c r="I12" s="6"/>
      <c r="J12" s="6"/>
      <c r="K12" s="6"/>
      <c r="L12" s="6"/>
      <c r="M12" s="6"/>
      <c r="N12" s="6"/>
      <c r="O12" s="6"/>
      <c r="P12" s="6"/>
      <c r="Q12" s="6"/>
      <c r="R12" s="6"/>
      <c r="S12" s="6"/>
      <c r="T12" s="6"/>
      <c r="U12" s="6"/>
      <c r="V12" s="6"/>
      <c r="W12" s="6"/>
      <c r="X12" s="6"/>
      <c r="Y12" s="6"/>
      <c r="Z12" s="6"/>
      <c r="AA12" s="6"/>
    </row>
    <row r="13">
      <c r="A13" s="12" t="s">
        <v>153</v>
      </c>
      <c r="B13" s="6" t="str">
        <f>IFERROR(__xludf.DUMMYFUNCTION("""COMPUTED_VALUE"""),"AWS MDF Requested")</f>
        <v>AWS MDF Requested</v>
      </c>
      <c r="C13" s="6" t="str">
        <f>IFERROR(__xludf.DUMMYFUNCTION("""COMPUTED_VALUE""")," color_mky7zxp7")</f>
        <v> color_mky7zxp7</v>
      </c>
      <c r="D13" s="5"/>
      <c r="E13" s="5" t="s">
        <v>139</v>
      </c>
      <c r="F13" s="5" t="s">
        <v>140</v>
      </c>
      <c r="G13" s="5" t="s">
        <v>151</v>
      </c>
      <c r="H13" s="5" t="s">
        <v>152</v>
      </c>
      <c r="I13" s="6"/>
      <c r="J13" s="6"/>
      <c r="K13" s="6"/>
      <c r="L13" s="6"/>
      <c r="M13" s="6"/>
      <c r="N13" s="6"/>
      <c r="O13" s="6"/>
      <c r="P13" s="6"/>
      <c r="Q13" s="6"/>
      <c r="R13" s="6"/>
      <c r="S13" s="6"/>
      <c r="T13" s="6"/>
      <c r="U13" s="6"/>
      <c r="V13" s="6"/>
      <c r="W13" s="6"/>
      <c r="X13" s="6"/>
      <c r="Y13" s="6"/>
      <c r="Z13" s="6"/>
      <c r="AA13" s="6"/>
    </row>
    <row r="14">
      <c r="A14" s="12" t="s">
        <v>154</v>
      </c>
      <c r="B14" s="6" t="str">
        <f>IFERROR(__xludf.DUMMYFUNCTION("""COMPUTED_VALUE"""),"Business Rational")</f>
        <v>Business Rational</v>
      </c>
      <c r="C14" s="6" t="str">
        <f>IFERROR(__xludf.DUMMYFUNCTION("""COMPUTED_VALUE""")," long_text_mky25ed4")</f>
        <v> long_text_mky25ed4</v>
      </c>
      <c r="D14" s="5" t="b">
        <v>1</v>
      </c>
      <c r="E14" s="5" t="s">
        <v>155</v>
      </c>
      <c r="F14" s="5" t="s">
        <v>156</v>
      </c>
      <c r="G14" s="6"/>
      <c r="H14" s="6"/>
      <c r="I14" s="6"/>
      <c r="J14" s="6"/>
      <c r="K14" s="6"/>
      <c r="L14" s="6"/>
      <c r="M14" s="6"/>
      <c r="N14" s="6"/>
      <c r="O14" s="6"/>
      <c r="P14" s="6"/>
      <c r="Q14" s="6"/>
      <c r="R14" s="6"/>
      <c r="S14" s="6"/>
      <c r="T14" s="6"/>
      <c r="U14" s="6"/>
      <c r="V14" s="6"/>
      <c r="W14" s="6"/>
      <c r="X14" s="6"/>
      <c r="Y14" s="6"/>
      <c r="Z14" s="6"/>
      <c r="AA14" s="6"/>
    </row>
    <row r="15">
      <c r="A15" s="12" t="s">
        <v>157</v>
      </c>
      <c r="B15" s="6" t="str">
        <f>IFERROR(__xludf.DUMMYFUNCTION("""COMPUTED_VALUE"""),"Strategic Fit")</f>
        <v>Strategic Fit</v>
      </c>
      <c r="C15" s="6" t="str">
        <f>IFERROR(__xludf.DUMMYFUNCTION("""COMPUTED_VALUE""")," dropdown_mky29cfy")</f>
        <v> dropdown_mky29cfy</v>
      </c>
      <c r="D15" s="5" t="b">
        <v>1</v>
      </c>
      <c r="E15" s="5" t="s">
        <v>155</v>
      </c>
      <c r="F15" s="5" t="s">
        <v>156</v>
      </c>
      <c r="G15" s="6"/>
      <c r="H15" s="6"/>
      <c r="I15" s="6"/>
      <c r="J15" s="6"/>
      <c r="K15" s="6"/>
      <c r="L15" s="6"/>
      <c r="M15" s="6"/>
      <c r="N15" s="6"/>
      <c r="O15" s="6"/>
      <c r="P15" s="6"/>
      <c r="Q15" s="6"/>
      <c r="R15" s="6"/>
      <c r="S15" s="6"/>
      <c r="T15" s="6"/>
      <c r="U15" s="6"/>
      <c r="V15" s="6"/>
      <c r="W15" s="6"/>
      <c r="X15" s="6"/>
      <c r="Y15" s="6"/>
      <c r="Z15" s="6"/>
      <c r="AA15" s="6"/>
    </row>
    <row r="16">
      <c r="A16" s="12" t="s">
        <v>158</v>
      </c>
      <c r="B16" s="6" t="str">
        <f>IFERROR(__xludf.DUMMYFUNCTION("""COMPUTED_VALUE"""),"Estimaged Attendees")</f>
        <v>Estimaged Attendees</v>
      </c>
      <c r="C16" s="6" t="str">
        <f>IFERROR(__xludf.DUMMYFUNCTION("""COMPUTED_VALUE""")," text_mky7v3a")</f>
        <v> text_mky7v3a</v>
      </c>
      <c r="D16" s="5"/>
      <c r="E16" s="5" t="s">
        <v>159</v>
      </c>
      <c r="F16" s="5" t="s">
        <v>160</v>
      </c>
      <c r="G16" s="6"/>
      <c r="H16" s="6"/>
      <c r="I16" s="6"/>
      <c r="J16" s="6"/>
      <c r="K16" s="6"/>
      <c r="L16" s="6"/>
      <c r="M16" s="6"/>
      <c r="N16" s="6"/>
      <c r="O16" s="6"/>
      <c r="P16" s="6"/>
      <c r="Q16" s="6"/>
      <c r="R16" s="6"/>
      <c r="S16" s="6"/>
      <c r="T16" s="6"/>
      <c r="U16" s="6"/>
      <c r="V16" s="6"/>
      <c r="W16" s="6"/>
      <c r="X16" s="6"/>
      <c r="Y16" s="6"/>
      <c r="Z16" s="6"/>
      <c r="AA16" s="6"/>
    </row>
    <row r="17">
      <c r="A17" s="12" t="s">
        <v>161</v>
      </c>
      <c r="B17" s="6" t="str">
        <f>IFERROR(__xludf.DUMMYFUNCTION("""COMPUTED_VALUE"""),"Named Customers/Prospects")</f>
        <v>Named Customers/Prospects</v>
      </c>
      <c r="C17" s="6" t="str">
        <f>IFERROR(__xludf.DUMMYFUNCTION("""COMPUTED_VALUE""")," text_mky79235")</f>
        <v> text_mky79235</v>
      </c>
      <c r="D17" s="5"/>
      <c r="E17" s="5" t="s">
        <v>159</v>
      </c>
      <c r="F17" s="5" t="s">
        <v>160</v>
      </c>
      <c r="G17" s="6"/>
      <c r="H17" s="6"/>
      <c r="I17" s="6"/>
      <c r="J17" s="6"/>
      <c r="K17" s="6"/>
      <c r="L17" s="6"/>
      <c r="M17" s="6"/>
      <c r="N17" s="6"/>
      <c r="O17" s="6"/>
      <c r="P17" s="6"/>
      <c r="Q17" s="6"/>
      <c r="R17" s="6"/>
      <c r="S17" s="6"/>
      <c r="T17" s="6"/>
      <c r="U17" s="6"/>
      <c r="V17" s="6"/>
      <c r="W17" s="6"/>
      <c r="X17" s="6"/>
      <c r="Y17" s="6"/>
      <c r="Z17" s="6"/>
      <c r="AA17" s="6"/>
    </row>
    <row r="18">
      <c r="A18" s="12" t="s">
        <v>162</v>
      </c>
      <c r="B18" s="6" t="str">
        <f>IFERROR(__xludf.DUMMYFUNCTION("""COMPUTED_VALUE"""),"Target Personas")</f>
        <v>Target Personas</v>
      </c>
      <c r="C18" s="6" t="str">
        <f>IFERROR(__xludf.DUMMYFUNCTION("""COMPUTED_VALUE""")," dropdown_mky7k6qv")</f>
        <v> dropdown_mky7k6qv</v>
      </c>
      <c r="D18" s="5"/>
      <c r="E18" s="5" t="s">
        <v>159</v>
      </c>
      <c r="F18" s="5" t="s">
        <v>160</v>
      </c>
      <c r="G18" s="6"/>
      <c r="H18" s="6"/>
      <c r="I18" s="6"/>
      <c r="J18" s="6"/>
      <c r="K18" s="6"/>
      <c r="L18" s="6"/>
      <c r="M18" s="6"/>
      <c r="N18" s="6"/>
      <c r="O18" s="6"/>
      <c r="P18" s="6"/>
      <c r="Q18" s="6"/>
      <c r="R18" s="6"/>
      <c r="S18" s="6"/>
      <c r="T18" s="6"/>
      <c r="U18" s="6"/>
      <c r="V18" s="6"/>
      <c r="W18" s="6"/>
      <c r="X18" s="6"/>
      <c r="Y18" s="6"/>
      <c r="Z18" s="6"/>
      <c r="AA18" s="6"/>
    </row>
    <row r="19">
      <c r="A19" s="12" t="s">
        <v>163</v>
      </c>
      <c r="B19" s="6" t="str">
        <f>IFERROR(__xludf.DUMMYFUNCTION("""COMPUTED_VALUE"""),"Partner Recruitment Target")</f>
        <v>Partner Recruitment Target</v>
      </c>
      <c r="C19" s="6" t="str">
        <f>IFERROR(__xludf.DUMMYFUNCTION("""COMPUTED_VALUE""")," text_mky7tsn8")</f>
        <v> text_mky7tsn8</v>
      </c>
      <c r="D19" s="5"/>
      <c r="E19" s="5" t="s">
        <v>159</v>
      </c>
      <c r="F19" s="5" t="s">
        <v>160</v>
      </c>
      <c r="G19" s="6"/>
      <c r="H19" s="6"/>
      <c r="I19" s="6"/>
      <c r="J19" s="6"/>
      <c r="K19" s="6"/>
      <c r="L19" s="6"/>
      <c r="M19" s="6"/>
      <c r="N19" s="6"/>
      <c r="O19" s="6"/>
      <c r="P19" s="6"/>
      <c r="Q19" s="6"/>
      <c r="R19" s="6"/>
      <c r="S19" s="6"/>
      <c r="T19" s="6"/>
      <c r="U19" s="6"/>
      <c r="V19" s="6"/>
      <c r="W19" s="6"/>
      <c r="X19" s="6"/>
      <c r="Y19" s="6"/>
      <c r="Z19" s="6"/>
      <c r="AA19" s="6"/>
    </row>
    <row r="20">
      <c r="A20" s="12" t="s">
        <v>164</v>
      </c>
      <c r="B20" s="6" t="str">
        <f>IFERROR(__xludf.DUMMYFUNCTION("""COMPUTED_VALUE"""),"Delivery Type")</f>
        <v>Delivery Type</v>
      </c>
      <c r="C20" s="6" t="str">
        <f>IFERROR(__xludf.DUMMYFUNCTION("""COMPUTED_VALUE""")," color_mky78mye")</f>
        <v> color_mky78mye</v>
      </c>
      <c r="D20" s="5" t="b">
        <v>1</v>
      </c>
      <c r="E20" s="5" t="s">
        <v>165</v>
      </c>
      <c r="F20" s="5" t="s">
        <v>166</v>
      </c>
      <c r="G20" s="6"/>
      <c r="H20" s="6"/>
      <c r="I20" s="6"/>
      <c r="J20" s="6"/>
      <c r="K20" s="6"/>
      <c r="L20" s="6"/>
      <c r="M20" s="6"/>
      <c r="N20" s="6"/>
      <c r="O20" s="6"/>
      <c r="P20" s="6"/>
      <c r="Q20" s="6"/>
      <c r="R20" s="6"/>
      <c r="S20" s="6"/>
      <c r="T20" s="6"/>
      <c r="U20" s="6"/>
      <c r="V20" s="6"/>
      <c r="W20" s="6"/>
      <c r="X20" s="6"/>
      <c r="Y20" s="6"/>
      <c r="Z20" s="6"/>
      <c r="AA20" s="6"/>
    </row>
    <row r="21">
      <c r="A21" s="12" t="s">
        <v>167</v>
      </c>
      <c r="B21" s="6" t="str">
        <f>IFERROR(__xludf.DUMMYFUNCTION("""COMPUTED_VALUE"""),"Prospectus URL")</f>
        <v>Prospectus URL</v>
      </c>
      <c r="C21" s="6" t="str">
        <f>IFERROR(__xludf.DUMMYFUNCTION("""COMPUTED_VALUE""")," link_mky7wxqq")</f>
        <v> link_mky7wxqq</v>
      </c>
      <c r="D21" s="5"/>
      <c r="E21" s="5" t="s">
        <v>165</v>
      </c>
      <c r="F21" s="5" t="s">
        <v>166</v>
      </c>
      <c r="G21" s="1" t="s">
        <v>168</v>
      </c>
      <c r="H21" s="5" t="s">
        <v>169</v>
      </c>
      <c r="I21" s="6"/>
      <c r="J21" s="6"/>
      <c r="K21" s="6"/>
      <c r="L21" s="6"/>
      <c r="M21" s="6"/>
      <c r="N21" s="6"/>
      <c r="O21" s="6"/>
      <c r="P21" s="6"/>
      <c r="Q21" s="6"/>
      <c r="R21" s="6"/>
      <c r="S21" s="6"/>
      <c r="T21" s="6"/>
      <c r="U21" s="6"/>
      <c r="V21" s="6"/>
      <c r="W21" s="6"/>
      <c r="X21" s="6"/>
      <c r="Y21" s="6"/>
      <c r="Z21" s="6"/>
      <c r="AA21" s="6"/>
    </row>
    <row r="22">
      <c r="A22" s="12" t="s">
        <v>170</v>
      </c>
      <c r="B22" s="6" t="str">
        <f>IFERROR(__xludf.DUMMYFUNCTION("""COMPUTED_VALUE"""),"Prospectus File Upload")</f>
        <v>Prospectus File Upload</v>
      </c>
      <c r="C22" s="6" t="str">
        <f>IFERROR(__xludf.DUMMYFUNCTION("""COMPUTED_VALUE""")," file_mky8p6fk")</f>
        <v> file_mky8p6fk</v>
      </c>
      <c r="D22" s="5"/>
      <c r="E22" s="5" t="s">
        <v>165</v>
      </c>
      <c r="F22" s="5" t="s">
        <v>166</v>
      </c>
      <c r="G22" s="1" t="s">
        <v>168</v>
      </c>
      <c r="H22" s="5" t="s">
        <v>169</v>
      </c>
      <c r="I22" s="6"/>
      <c r="J22" s="6"/>
      <c r="K22" s="6"/>
      <c r="L22" s="6"/>
      <c r="M22" s="6"/>
      <c r="N22" s="6"/>
      <c r="O22" s="6"/>
      <c r="P22" s="6"/>
      <c r="Q22" s="6"/>
      <c r="R22" s="6"/>
      <c r="S22" s="6"/>
      <c r="T22" s="6"/>
      <c r="U22" s="6"/>
      <c r="V22" s="6"/>
      <c r="W22" s="6"/>
      <c r="X22" s="6"/>
      <c r="Y22" s="6"/>
      <c r="Z22" s="6"/>
      <c r="AA22" s="6"/>
    </row>
    <row r="23">
      <c r="A23" s="12" t="s">
        <v>171</v>
      </c>
      <c r="B23" s="6" t="str">
        <f>IFERROR(__xludf.DUMMYFUNCTION("""COMPUTED_VALUE"""),"Recommended Sponsor Tier")</f>
        <v>Recommended Sponsor Tier</v>
      </c>
      <c r="C23" s="6" t="str">
        <f>IFERROR(__xludf.DUMMYFUNCTION("""COMPUTED_VALUE""")," text_mky76e8h")</f>
        <v> text_mky76e8h</v>
      </c>
      <c r="D23" s="5"/>
      <c r="E23" s="5" t="s">
        <v>165</v>
      </c>
      <c r="F23" s="5" t="s">
        <v>166</v>
      </c>
      <c r="G23" s="1" t="s">
        <v>168</v>
      </c>
      <c r="H23" s="5" t="s">
        <v>169</v>
      </c>
      <c r="I23" s="6"/>
      <c r="J23" s="6"/>
      <c r="K23" s="6"/>
      <c r="L23" s="6"/>
      <c r="M23" s="6"/>
      <c r="N23" s="6"/>
      <c r="O23" s="6"/>
      <c r="P23" s="6"/>
      <c r="Q23" s="6"/>
      <c r="R23" s="6"/>
      <c r="S23" s="6"/>
      <c r="T23" s="6"/>
      <c r="U23" s="6"/>
      <c r="V23" s="6"/>
      <c r="W23" s="6"/>
      <c r="X23" s="6"/>
      <c r="Y23" s="6"/>
      <c r="Z23" s="6"/>
      <c r="AA23" s="6"/>
    </row>
    <row r="24">
      <c r="A24" s="12" t="s">
        <v>172</v>
      </c>
      <c r="B24" s="6" t="str">
        <f>IFERROR(__xludf.DUMMYFUNCTION("""COMPUTED_VALUE"""),"Other MPO")</f>
        <v>Other MPO</v>
      </c>
      <c r="C24" s="6" t="str">
        <f>IFERROR(__xludf.DUMMYFUNCTION("""COMPUTED_VALUE""")," text_mky7e8yw")</f>
        <v> text_mky7e8yw</v>
      </c>
      <c r="D24" s="5"/>
      <c r="E24" s="5" t="s">
        <v>165</v>
      </c>
      <c r="F24" s="5" t="s">
        <v>166</v>
      </c>
      <c r="G24" s="1" t="s">
        <v>168</v>
      </c>
      <c r="H24" s="5" t="s">
        <v>169</v>
      </c>
      <c r="I24" s="6"/>
      <c r="J24" s="6"/>
      <c r="K24" s="6"/>
      <c r="L24" s="6"/>
      <c r="M24" s="6"/>
      <c r="N24" s="6"/>
      <c r="O24" s="6"/>
      <c r="P24" s="6"/>
      <c r="Q24" s="6"/>
      <c r="R24" s="6"/>
      <c r="S24" s="6"/>
      <c r="T24" s="6"/>
      <c r="U24" s="6"/>
      <c r="V24" s="6"/>
      <c r="W24" s="6"/>
      <c r="X24" s="6"/>
      <c r="Y24" s="6"/>
      <c r="Z24" s="6"/>
      <c r="AA24" s="6"/>
    </row>
    <row r="25">
      <c r="A25" s="12" t="s">
        <v>173</v>
      </c>
      <c r="B25" s="6" t="str">
        <f>IFERROR(__xludf.DUMMYFUNCTION("""COMPUTED_VALUE"""),"SME Speakers")</f>
        <v>SME Speakers</v>
      </c>
      <c r="C25" s="6" t="str">
        <f>IFERROR(__xludf.DUMMYFUNCTION("""COMPUTED_VALUE""")," text_mky7gcf0")</f>
        <v> text_mky7gcf0</v>
      </c>
      <c r="D25" s="5"/>
      <c r="E25" s="5" t="s">
        <v>165</v>
      </c>
      <c r="F25" s="5" t="s">
        <v>166</v>
      </c>
      <c r="G25" s="1" t="s">
        <v>168</v>
      </c>
      <c r="H25" s="5" t="s">
        <v>169</v>
      </c>
      <c r="I25" s="6"/>
      <c r="J25" s="6"/>
      <c r="K25" s="6"/>
      <c r="L25" s="6"/>
      <c r="M25" s="6"/>
      <c r="N25" s="6"/>
      <c r="O25" s="6"/>
      <c r="P25" s="6"/>
      <c r="Q25" s="6"/>
      <c r="R25" s="6"/>
      <c r="S25" s="6"/>
      <c r="T25" s="6"/>
      <c r="U25" s="6"/>
      <c r="V25" s="6"/>
      <c r="W25" s="6"/>
      <c r="X25" s="6"/>
      <c r="Y25" s="6"/>
      <c r="Z25" s="6"/>
      <c r="AA25" s="6"/>
    </row>
    <row r="26">
      <c r="A26" s="12" t="s">
        <v>174</v>
      </c>
      <c r="B26" s="6" t="str">
        <f>IFERROR(__xludf.DUMMYFUNCTION("""COMPUTED_VALUE"""),"Panel Content")</f>
        <v>Panel Content</v>
      </c>
      <c r="C26" s="6" t="str">
        <f>IFERROR(__xludf.DUMMYFUNCTION("""COMPUTED_VALUE""")," text_mky7c787")</f>
        <v> text_mky7c787</v>
      </c>
      <c r="D26" s="5"/>
      <c r="E26" s="5" t="s">
        <v>165</v>
      </c>
      <c r="F26" s="5" t="s">
        <v>166</v>
      </c>
      <c r="G26" s="1" t="s">
        <v>168</v>
      </c>
      <c r="H26" s="5" t="s">
        <v>169</v>
      </c>
      <c r="I26" s="6"/>
      <c r="J26" s="6"/>
      <c r="K26" s="6"/>
      <c r="L26" s="6"/>
      <c r="M26" s="6"/>
      <c r="N26" s="6"/>
      <c r="O26" s="6"/>
      <c r="P26" s="6"/>
      <c r="Q26" s="6"/>
      <c r="R26" s="6"/>
      <c r="S26" s="6"/>
      <c r="T26" s="6"/>
      <c r="U26" s="6"/>
      <c r="V26" s="6"/>
      <c r="W26" s="6"/>
      <c r="X26" s="6"/>
      <c r="Y26" s="6"/>
      <c r="Z26" s="6"/>
      <c r="AA26" s="6"/>
    </row>
    <row r="27">
      <c r="A27" s="12" t="s">
        <v>175</v>
      </c>
      <c r="B27" s="6" t="str">
        <f>IFERROR(__xludf.DUMMYFUNCTION("""COMPUTED_VALUE"""),"Industry Tradeshow/conference")</f>
        <v>Industry Tradeshow/conference</v>
      </c>
      <c r="C27" s="6" t="str">
        <f>IFERROR(__xludf.DUMMYFUNCTION("""COMPUTED_VALUE""")," dropdown_mky7b5t0")</f>
        <v> dropdown_mky7b5t0</v>
      </c>
      <c r="D27" s="5"/>
      <c r="E27" s="5" t="s">
        <v>165</v>
      </c>
      <c r="F27" s="5" t="s">
        <v>166</v>
      </c>
      <c r="G27" s="1" t="s">
        <v>168</v>
      </c>
      <c r="H27" s="5" t="s">
        <v>176</v>
      </c>
      <c r="I27" s="6"/>
      <c r="J27" s="6"/>
      <c r="K27" s="6"/>
      <c r="L27" s="6"/>
      <c r="M27" s="6"/>
      <c r="N27" s="6"/>
      <c r="O27" s="6"/>
      <c r="P27" s="6"/>
      <c r="Q27" s="6"/>
      <c r="R27" s="6"/>
      <c r="S27" s="6"/>
      <c r="T27" s="6"/>
      <c r="U27" s="6"/>
      <c r="V27" s="6"/>
      <c r="W27" s="6"/>
      <c r="X27" s="6"/>
      <c r="Y27" s="6"/>
      <c r="Z27" s="6"/>
      <c r="AA27" s="6"/>
    </row>
    <row r="28">
      <c r="A28" s="12" t="s">
        <v>177</v>
      </c>
      <c r="B28" s="6" t="str">
        <f>IFERROR(__xludf.DUMMYFUNCTION("""COMPUTED_VALUE"""),"Guidewire Trade Show")</f>
        <v>Guidewire Trade Show</v>
      </c>
      <c r="C28" s="6" t="str">
        <f>IFERROR(__xludf.DUMMYFUNCTION("""COMPUTED_VALUE""")," dropdown_mky7qg9p")</f>
        <v> dropdown_mky7qg9p</v>
      </c>
      <c r="D28" s="5"/>
      <c r="E28" s="5" t="s">
        <v>165</v>
      </c>
      <c r="F28" s="5" t="s">
        <v>166</v>
      </c>
      <c r="G28" s="1" t="s">
        <v>168</v>
      </c>
      <c r="H28" s="5" t="s">
        <v>126</v>
      </c>
      <c r="I28" s="6"/>
      <c r="J28" s="6"/>
      <c r="K28" s="6"/>
      <c r="L28" s="6"/>
      <c r="M28" s="6"/>
      <c r="N28" s="6"/>
      <c r="O28" s="6"/>
      <c r="P28" s="6"/>
      <c r="Q28" s="6"/>
      <c r="R28" s="6"/>
      <c r="S28" s="6"/>
      <c r="T28" s="6"/>
      <c r="U28" s="6"/>
      <c r="V28" s="6"/>
      <c r="W28" s="6"/>
      <c r="X28" s="6"/>
      <c r="Y28" s="6"/>
      <c r="Z28" s="6"/>
      <c r="AA28" s="6"/>
    </row>
    <row r="29">
      <c r="A29" s="12" t="s">
        <v>178</v>
      </c>
      <c r="B29" s="6" t="str">
        <f>IFERROR(__xludf.DUMMYFUNCTION("""COMPUTED_VALUE"""),"1:1 Description")</f>
        <v>1:1 Description</v>
      </c>
      <c r="C29" s="6" t="str">
        <f>IFERROR(__xludf.DUMMYFUNCTION("""COMPUTED_VALUE""")," text_mky7dz7")</f>
        <v> text_mky7dz7</v>
      </c>
      <c r="D29" s="5"/>
      <c r="E29" s="5" t="s">
        <v>165</v>
      </c>
      <c r="F29" s="5" t="s">
        <v>166</v>
      </c>
      <c r="G29" s="5" t="s">
        <v>179</v>
      </c>
      <c r="H29" s="5" t="s">
        <v>180</v>
      </c>
      <c r="I29" s="6"/>
      <c r="J29" s="6"/>
      <c r="K29" s="6"/>
      <c r="L29" s="6"/>
      <c r="M29" s="6"/>
      <c r="N29" s="6"/>
      <c r="O29" s="6"/>
      <c r="P29" s="6"/>
      <c r="Q29" s="6"/>
      <c r="R29" s="6"/>
      <c r="S29" s="6"/>
      <c r="T29" s="6"/>
      <c r="U29" s="6"/>
      <c r="V29" s="6"/>
      <c r="W29" s="6"/>
      <c r="X29" s="6"/>
      <c r="Y29" s="6"/>
      <c r="Z29" s="6"/>
      <c r="AA29" s="6"/>
    </row>
    <row r="30">
      <c r="A30" s="12" t="s">
        <v>181</v>
      </c>
      <c r="B30" s="6" t="str">
        <f>IFERROR(__xludf.DUMMYFUNCTION("""COMPUTED_VALUE"""),"1:1 Region")</f>
        <v>1:1 Region</v>
      </c>
      <c r="C30" s="6" t="str">
        <f>IFERROR(__xludf.DUMMYFUNCTION("""COMPUTED_VALUE""")," color_mky7gz0q")</f>
        <v> color_mky7gz0q</v>
      </c>
      <c r="D30" s="5"/>
      <c r="E30" s="5" t="s">
        <v>165</v>
      </c>
      <c r="F30" s="5" t="s">
        <v>166</v>
      </c>
      <c r="G30" s="5" t="s">
        <v>179</v>
      </c>
      <c r="H30" s="5" t="s">
        <v>180</v>
      </c>
      <c r="I30" s="6"/>
      <c r="J30" s="6"/>
      <c r="K30" s="6"/>
      <c r="L30" s="6"/>
      <c r="M30" s="6"/>
      <c r="N30" s="6"/>
      <c r="O30" s="6"/>
      <c r="P30" s="6"/>
      <c r="Q30" s="6"/>
      <c r="R30" s="6"/>
      <c r="S30" s="6"/>
      <c r="T30" s="6"/>
      <c r="U30" s="6"/>
      <c r="V30" s="6"/>
      <c r="W30" s="6"/>
      <c r="X30" s="6"/>
      <c r="Y30" s="6"/>
      <c r="Z30" s="6"/>
      <c r="AA30" s="6"/>
    </row>
    <row r="31">
      <c r="A31" s="12" t="s">
        <v>182</v>
      </c>
      <c r="B31" s="6" t="str">
        <f>IFERROR(__xludf.DUMMYFUNCTION("""COMPUTED_VALUE"""),"Partner")</f>
        <v>Partner</v>
      </c>
      <c r="C31" s="6" t="str">
        <f>IFERROR(__xludf.DUMMYFUNCTION("""COMPUTED_VALUE""")," text_mkv092nh")</f>
        <v> text_mkv092nh</v>
      </c>
      <c r="D31" s="5"/>
      <c r="E31" s="5" t="s">
        <v>183</v>
      </c>
      <c r="F31" s="5" t="s">
        <v>184</v>
      </c>
      <c r="G31" s="6"/>
      <c r="H31" s="6"/>
      <c r="I31" s="6"/>
      <c r="J31" s="6"/>
      <c r="K31" s="6"/>
      <c r="L31" s="6"/>
      <c r="M31" s="6"/>
      <c r="N31" s="6"/>
      <c r="O31" s="6"/>
      <c r="P31" s="6"/>
      <c r="Q31" s="6"/>
      <c r="R31" s="6"/>
      <c r="S31" s="6"/>
      <c r="T31" s="6"/>
      <c r="U31" s="6"/>
      <c r="V31" s="6"/>
      <c r="W31" s="6"/>
      <c r="X31" s="6"/>
      <c r="Y31" s="6"/>
      <c r="Z31" s="6"/>
      <c r="AA31" s="6"/>
    </row>
    <row r="32">
      <c r="A32" s="12" t="s">
        <v>185</v>
      </c>
      <c r="B32" s="6" t="str">
        <f>IFERROR(__xludf.DUMMYFUNCTION("""COMPUTED_VALUE"""),"AllianceManager")</f>
        <v>AllianceManager</v>
      </c>
      <c r="C32" s="6" t="str">
        <f>IFERROR(__xludf.DUMMYFUNCTION("""COMPUTED_VALUE""")," color_mky7zf8e")</f>
        <v> color_mky7zf8e</v>
      </c>
      <c r="D32" s="5"/>
      <c r="E32" s="5" t="s">
        <v>183</v>
      </c>
      <c r="F32" s="5" t="s">
        <v>184</v>
      </c>
      <c r="G32" s="6"/>
      <c r="H32" s="6"/>
      <c r="I32" s="6"/>
      <c r="J32" s="6"/>
      <c r="K32" s="6"/>
      <c r="L32" s="6"/>
      <c r="M32" s="6"/>
      <c r="N32" s="6"/>
      <c r="O32" s="6"/>
      <c r="P32" s="6"/>
      <c r="Q32" s="6"/>
      <c r="R32" s="6"/>
      <c r="S32" s="6"/>
      <c r="T32" s="6"/>
      <c r="U32" s="6"/>
      <c r="V32" s="6"/>
      <c r="W32" s="6"/>
      <c r="X32" s="6"/>
      <c r="Y32" s="6"/>
      <c r="Z32" s="6"/>
      <c r="AA32" s="6"/>
    </row>
    <row r="33">
      <c r="A33" s="12" t="s">
        <v>186</v>
      </c>
      <c r="B33" s="6" t="str">
        <f>IFERROR(__xludf.DUMMYFUNCTION("""COMPUTED_VALUE"""),"Sponsor Costs")</f>
        <v>Sponsor Costs</v>
      </c>
      <c r="C33" s="6" t="str">
        <f>IFERROR(__xludf.DUMMYFUNCTION("""COMPUTED_VALUE""")," numeric_mky791e")</f>
        <v> numeric_mky791e</v>
      </c>
      <c r="D33" s="5"/>
      <c r="E33" s="5" t="s">
        <v>183</v>
      </c>
      <c r="F33" s="5" t="s">
        <v>184</v>
      </c>
      <c r="G33" s="6"/>
      <c r="H33" s="6"/>
      <c r="I33" s="6"/>
      <c r="J33" s="6"/>
      <c r="K33" s="6"/>
      <c r="L33" s="6"/>
      <c r="M33" s="6"/>
      <c r="N33" s="6"/>
      <c r="O33" s="6"/>
      <c r="P33" s="6"/>
      <c r="Q33" s="6"/>
      <c r="R33" s="6"/>
      <c r="S33" s="6"/>
      <c r="T33" s="6"/>
      <c r="U33" s="6"/>
      <c r="V33" s="6"/>
      <c r="W33" s="6"/>
      <c r="X33" s="6"/>
      <c r="Y33" s="6"/>
      <c r="Z33" s="6"/>
      <c r="AA33" s="6"/>
    </row>
    <row r="34">
      <c r="A34" s="12" t="s">
        <v>187</v>
      </c>
      <c r="B34" s="6" t="str">
        <f>IFERROR(__xludf.DUMMYFUNCTION("""COMPUTED_VALUE"""),"Other Costs")</f>
        <v>Other Costs</v>
      </c>
      <c r="C34" s="6" t="str">
        <f>IFERROR(__xludf.DUMMYFUNCTION("""COMPUTED_VALUE""")," numeric_mky7r8yp")</f>
        <v> numeric_mky7r8yp</v>
      </c>
      <c r="D34" s="5"/>
      <c r="E34" s="5" t="s">
        <v>183</v>
      </c>
      <c r="F34" s="5" t="s">
        <v>184</v>
      </c>
      <c r="G34" s="6"/>
      <c r="H34" s="6"/>
      <c r="I34" s="6"/>
      <c r="J34" s="6"/>
      <c r="K34" s="6"/>
      <c r="L34" s="6"/>
      <c r="M34" s="6"/>
      <c r="N34" s="6"/>
      <c r="O34" s="6"/>
      <c r="P34" s="6"/>
      <c r="Q34" s="6"/>
      <c r="R34" s="6"/>
      <c r="S34" s="6"/>
      <c r="T34" s="6"/>
      <c r="U34" s="6"/>
      <c r="V34" s="6"/>
      <c r="W34" s="6"/>
      <c r="X34" s="6"/>
      <c r="Y34" s="6"/>
      <c r="Z34" s="6"/>
      <c r="AA34" s="6"/>
    </row>
    <row r="35">
      <c r="A35" s="12" t="s">
        <v>188</v>
      </c>
      <c r="B35" s="6" t="str">
        <f>IFERROR(__xludf.DUMMYFUNCTION("""COMPUTED_VALUE"""),"Market Position/Scale")</f>
        <v>Market Position/Scale</v>
      </c>
      <c r="C35" s="6" t="str">
        <f>IFERROR(__xludf.DUMMYFUNCTION("""COMPUTED_VALUE""")," color_mky76dt5")</f>
        <v> color_mky76dt5</v>
      </c>
      <c r="D35" s="5"/>
      <c r="E35" s="5" t="s">
        <v>183</v>
      </c>
      <c r="F35" s="5" t="s">
        <v>184</v>
      </c>
      <c r="G35" s="6"/>
      <c r="H35" s="6"/>
      <c r="I35" s="6"/>
      <c r="J35" s="6"/>
      <c r="K35" s="6"/>
      <c r="L35" s="6"/>
      <c r="M35" s="6"/>
      <c r="N35" s="6"/>
      <c r="O35" s="6"/>
      <c r="P35" s="6"/>
      <c r="Q35" s="6"/>
      <c r="R35" s="6"/>
      <c r="S35" s="6"/>
      <c r="T35" s="6"/>
      <c r="U35" s="6"/>
      <c r="V35" s="6"/>
      <c r="W35" s="6"/>
      <c r="X35" s="6"/>
      <c r="Y35" s="6"/>
      <c r="Z35" s="6"/>
      <c r="AA35" s="6"/>
    </row>
    <row r="36">
      <c r="A36" s="12" t="s">
        <v>189</v>
      </c>
      <c r="B36" s="6" t="str">
        <f>IFERROR(__xludf.DUMMYFUNCTION("""COMPUTED_VALUE"""),"Joint Customers")</f>
        <v>Joint Customers</v>
      </c>
      <c r="C36" s="6" t="str">
        <f>IFERROR(__xludf.DUMMYFUNCTION("""COMPUTED_VALUE""")," text_mky7ywb2")</f>
        <v> text_mky7ywb2</v>
      </c>
      <c r="D36" s="5"/>
      <c r="E36" s="5" t="s">
        <v>183</v>
      </c>
      <c r="F36" s="5" t="s">
        <v>184</v>
      </c>
      <c r="G36" s="6"/>
      <c r="H36" s="6"/>
      <c r="I36" s="6"/>
      <c r="J36" s="6"/>
      <c r="K36" s="6"/>
      <c r="L36" s="6"/>
      <c r="M36" s="6"/>
      <c r="N36" s="6"/>
      <c r="O36" s="6"/>
      <c r="P36" s="6"/>
      <c r="Q36" s="6"/>
      <c r="R36" s="6"/>
      <c r="S36" s="6"/>
      <c r="T36" s="6"/>
      <c r="U36" s="6"/>
      <c r="V36" s="6"/>
      <c r="W36" s="6"/>
      <c r="X36" s="6"/>
      <c r="Y36" s="6"/>
      <c r="Z36" s="6"/>
      <c r="AA36" s="6"/>
    </row>
    <row r="37">
      <c r="A37" s="12" t="s">
        <v>190</v>
      </c>
      <c r="B37" s="6" t="str">
        <f>IFERROR(__xludf.DUMMYFUNCTION("""COMPUTED_VALUE"""),"Integration Status")</f>
        <v>Integration Status</v>
      </c>
      <c r="C37" s="6" t="str">
        <f>IFERROR(__xludf.DUMMYFUNCTION("""COMPUTED_VALUE""")," color_mky7dc8q")</f>
        <v> color_mky7dc8q</v>
      </c>
      <c r="D37" s="5"/>
      <c r="E37" s="5" t="s">
        <v>183</v>
      </c>
      <c r="F37" s="5" t="s">
        <v>184</v>
      </c>
      <c r="G37" s="6"/>
      <c r="H37" s="6"/>
      <c r="I37" s="6"/>
      <c r="J37" s="6"/>
      <c r="K37" s="6"/>
      <c r="L37" s="6"/>
      <c r="M37" s="6"/>
      <c r="N37" s="6"/>
      <c r="O37" s="6"/>
      <c r="P37" s="6"/>
      <c r="Q37" s="6"/>
      <c r="R37" s="6"/>
      <c r="S37" s="6"/>
      <c r="T37" s="6"/>
      <c r="U37" s="6"/>
      <c r="V37" s="6"/>
      <c r="W37" s="6"/>
      <c r="X37" s="6"/>
      <c r="Y37" s="6"/>
      <c r="Z37" s="6"/>
      <c r="AA37" s="6"/>
    </row>
    <row r="38">
      <c r="A38" s="12" t="s">
        <v>191</v>
      </c>
      <c r="B38" s="6" t="str">
        <f>IFERROR(__xludf.DUMMYFUNCTION("""COMPUTED_VALUE"""),"Recent joint Activities")</f>
        <v>Recent joint Activities</v>
      </c>
      <c r="C38" s="6" t="str">
        <f>IFERROR(__xludf.DUMMYFUNCTION("""COMPUTED_VALUE""")," text_mky75gvt")</f>
        <v> text_mky75gvt</v>
      </c>
      <c r="D38" s="5"/>
      <c r="E38" s="5" t="s">
        <v>183</v>
      </c>
      <c r="F38" s="5" t="s">
        <v>184</v>
      </c>
      <c r="G38" s="6"/>
      <c r="H38" s="6"/>
      <c r="I38" s="6"/>
      <c r="J38" s="6"/>
      <c r="K38" s="6"/>
      <c r="L38" s="6"/>
      <c r="M38" s="6"/>
      <c r="N38" s="6"/>
      <c r="O38" s="6"/>
      <c r="P38" s="6"/>
      <c r="Q38" s="6"/>
      <c r="R38" s="6"/>
      <c r="S38" s="6"/>
      <c r="T38" s="6"/>
      <c r="U38" s="6"/>
      <c r="V38" s="6"/>
      <c r="W38" s="6"/>
      <c r="X38" s="6"/>
      <c r="Y38" s="6"/>
      <c r="Z38" s="6"/>
      <c r="AA38" s="6"/>
    </row>
    <row r="39">
      <c r="A39" s="12" t="s">
        <v>192</v>
      </c>
      <c r="B39" s="6" t="str">
        <f>IFERROR(__xludf.DUMMYFUNCTION("""COMPUTED_VALUE"""),"Near Term Strategic Exploration")</f>
        <v>Near Term Strategic Exploration</v>
      </c>
      <c r="C39" s="6" t="str">
        <f>IFERROR(__xludf.DUMMYFUNCTION("""COMPUTED_VALUE""")," dropdown_mky7vh1m")</f>
        <v> dropdown_mky7vh1m</v>
      </c>
      <c r="D39" s="5"/>
      <c r="E39" s="5" t="s">
        <v>183</v>
      </c>
      <c r="F39" s="5" t="s">
        <v>184</v>
      </c>
      <c r="G39" s="6"/>
      <c r="H39" s="6"/>
      <c r="I39" s="6"/>
      <c r="J39" s="6"/>
      <c r="K39" s="6"/>
      <c r="L39" s="6"/>
      <c r="M39" s="6"/>
      <c r="N39" s="6"/>
      <c r="O39" s="6"/>
      <c r="P39" s="6"/>
      <c r="Q39" s="6"/>
      <c r="R39" s="6"/>
      <c r="S39" s="6"/>
      <c r="T39" s="6"/>
      <c r="U39" s="6"/>
      <c r="V39" s="6"/>
      <c r="W39" s="6"/>
      <c r="X39" s="6"/>
      <c r="Y39" s="6"/>
      <c r="Z39" s="6"/>
      <c r="AA39" s="6"/>
    </row>
    <row r="40">
      <c r="A40" s="12" t="s">
        <v>193</v>
      </c>
      <c r="B40" s="6" t="str">
        <f>IFERROR(__xludf.DUMMYFUNCTION("""COMPUTED_VALUE"""),"Event Lead (AM)")</f>
        <v>Event Lead (AM)</v>
      </c>
      <c r="C40" s="6" t="str">
        <f>IFERROR(__xludf.DUMMYFUNCTION("""COMPUTED_VALUE""")," text_mky7mp7p")</f>
        <v> text_mky7mp7p</v>
      </c>
      <c r="D40" s="5"/>
      <c r="E40" s="5" t="s">
        <v>194</v>
      </c>
      <c r="F40" s="5" t="s">
        <v>195</v>
      </c>
      <c r="G40" s="6"/>
      <c r="H40" s="6"/>
      <c r="I40" s="6"/>
      <c r="J40" s="6"/>
      <c r="K40" s="6"/>
      <c r="L40" s="6"/>
      <c r="M40" s="6"/>
      <c r="N40" s="6"/>
      <c r="O40" s="6"/>
      <c r="P40" s="6"/>
      <c r="Q40" s="6"/>
      <c r="R40" s="6"/>
      <c r="S40" s="6"/>
      <c r="T40" s="6"/>
      <c r="U40" s="6"/>
      <c r="V40" s="6"/>
      <c r="W40" s="6"/>
      <c r="X40" s="6"/>
      <c r="Y40" s="6"/>
      <c r="Z40" s="6"/>
      <c r="AA40" s="6"/>
    </row>
    <row r="41">
      <c r="A41" s="12" t="s">
        <v>196</v>
      </c>
      <c r="B41" s="6" t="str">
        <f>IFERROR(__xludf.DUMMYFUNCTION("""COMPUTED_VALUE"""),"Onsite Team")</f>
        <v>Onsite Team</v>
      </c>
      <c r="C41" s="6" t="str">
        <f>IFERROR(__xludf.DUMMYFUNCTION("""COMPUTED_VALUE""")," text_mky74107")</f>
        <v> text_mky74107</v>
      </c>
      <c r="D41" s="5"/>
      <c r="E41" s="5" t="s">
        <v>194</v>
      </c>
      <c r="F41" s="5" t="s">
        <v>195</v>
      </c>
      <c r="G41" s="6"/>
      <c r="H41" s="6"/>
      <c r="I41" s="6"/>
      <c r="J41" s="6"/>
      <c r="K41" s="6"/>
      <c r="L41" s="6"/>
      <c r="M41" s="6"/>
      <c r="N41" s="6"/>
      <c r="O41" s="6"/>
      <c r="P41" s="6"/>
      <c r="Q41" s="6"/>
      <c r="R41" s="6"/>
      <c r="S41" s="6"/>
      <c r="T41" s="6"/>
      <c r="U41" s="6"/>
      <c r="V41" s="6"/>
      <c r="W41" s="6"/>
      <c r="X41" s="6"/>
      <c r="Y41" s="6"/>
      <c r="Z41" s="6"/>
      <c r="AA41" s="6"/>
    </row>
    <row r="42">
      <c r="A42" s="12" t="s">
        <v>197</v>
      </c>
      <c r="B42" s="6" t="str">
        <f>IFERROR(__xludf.DUMMYFUNCTION("""COMPUTED_VALUE"""),"Speaker/Abstract/SessionTitle/link")</f>
        <v>Speaker/Abstract/SessionTitle/link</v>
      </c>
      <c r="C42" s="6" t="str">
        <f>IFERROR(__xludf.DUMMYFUNCTION("""COMPUTED_VALUE""")," text_mky7xdf6")</f>
        <v> text_mky7xdf6</v>
      </c>
      <c r="D42" s="5"/>
      <c r="E42" s="5" t="s">
        <v>194</v>
      </c>
      <c r="F42" s="5" t="s">
        <v>195</v>
      </c>
      <c r="G42" s="6"/>
      <c r="H42" s="6"/>
      <c r="I42" s="6"/>
      <c r="J42" s="6"/>
      <c r="K42" s="6"/>
      <c r="L42" s="6"/>
      <c r="M42" s="6"/>
      <c r="N42" s="6"/>
      <c r="O42" s="6"/>
      <c r="P42" s="6"/>
      <c r="Q42" s="6"/>
      <c r="R42" s="6"/>
      <c r="S42" s="6"/>
      <c r="T42" s="6"/>
      <c r="U42" s="6"/>
      <c r="V42" s="6"/>
      <c r="W42" s="6"/>
      <c r="X42" s="6"/>
      <c r="Y42" s="6"/>
      <c r="Z42" s="6"/>
      <c r="AA42" s="6"/>
    </row>
    <row r="43">
      <c r="A43" s="12" t="s">
        <v>198</v>
      </c>
      <c r="B43" s="6" t="str">
        <f>IFERROR(__xludf.DUMMYFUNCTION("""COMPUTED_VALUE"""),"Assets and Demo")</f>
        <v>Assets and Demo</v>
      </c>
      <c r="C43" s="6" t="str">
        <f>IFERROR(__xludf.DUMMYFUNCTION("""COMPUTED_VALUE""")," dropdown_mky72rrn")</f>
        <v> dropdown_mky72rrn</v>
      </c>
      <c r="D43" s="5"/>
      <c r="E43" s="5" t="s">
        <v>194</v>
      </c>
      <c r="F43" s="5" t="s">
        <v>195</v>
      </c>
      <c r="G43" s="6"/>
      <c r="H43" s="6"/>
      <c r="I43" s="6"/>
      <c r="J43" s="6"/>
      <c r="K43" s="6"/>
      <c r="L43" s="6"/>
      <c r="M43" s="6"/>
      <c r="N43" s="6"/>
      <c r="O43" s="6"/>
      <c r="P43" s="6"/>
      <c r="Q43" s="6"/>
      <c r="R43" s="6"/>
      <c r="S43" s="6"/>
      <c r="T43" s="6"/>
      <c r="U43" s="6"/>
      <c r="V43" s="6"/>
      <c r="W43" s="6"/>
      <c r="X43" s="6"/>
      <c r="Y43" s="6"/>
      <c r="Z43" s="6"/>
      <c r="AA43" s="6"/>
    </row>
    <row r="44">
      <c r="A44" s="12" t="s">
        <v>199</v>
      </c>
      <c r="B44" s="6" t="str">
        <f>IFERROR(__xludf.DUMMYFUNCTION("""COMPUTED_VALUE"""),"SWAG Type/quantity")</f>
        <v>SWAG Type/quantity</v>
      </c>
      <c r="C44" s="6" t="str">
        <f>IFERROR(__xludf.DUMMYFUNCTION("""COMPUTED_VALUE""")," text_mky785z9")</f>
        <v> text_mky785z9</v>
      </c>
      <c r="D44" s="5"/>
      <c r="E44" s="5" t="s">
        <v>194</v>
      </c>
      <c r="F44" s="5" t="s">
        <v>195</v>
      </c>
      <c r="G44" s="6"/>
      <c r="H44" s="6"/>
      <c r="I44" s="6"/>
      <c r="J44" s="6"/>
      <c r="K44" s="6"/>
      <c r="L44" s="6"/>
      <c r="M44" s="6"/>
      <c r="N44" s="6"/>
      <c r="O44" s="6"/>
      <c r="P44" s="6"/>
      <c r="Q44" s="6"/>
      <c r="R44" s="6"/>
      <c r="S44" s="6"/>
      <c r="T44" s="6"/>
      <c r="U44" s="6"/>
      <c r="V44" s="6"/>
      <c r="W44" s="6"/>
      <c r="X44" s="6"/>
      <c r="Y44" s="6"/>
      <c r="Z44" s="6"/>
      <c r="AA44" s="6"/>
    </row>
    <row r="45">
      <c r="A45" s="12" t="s">
        <v>200</v>
      </c>
      <c r="B45" s="6" t="str">
        <f>IFERROR(__xludf.DUMMYFUNCTION("""COMPUTED_VALUE"""),"Other Assets")</f>
        <v>Other Assets</v>
      </c>
      <c r="C45" s="6" t="str">
        <f>IFERROR(__xludf.DUMMYFUNCTION("""COMPUTED_VALUE""")," text_mky7vayd")</f>
        <v> text_mky7vayd</v>
      </c>
      <c r="D45" s="5"/>
      <c r="E45" s="5" t="s">
        <v>194</v>
      </c>
      <c r="F45" s="5" t="s">
        <v>195</v>
      </c>
      <c r="G45" s="6"/>
      <c r="H45" s="6"/>
      <c r="I45" s="6"/>
      <c r="J45" s="6"/>
      <c r="K45" s="6"/>
      <c r="L45" s="6"/>
      <c r="M45" s="6"/>
      <c r="N45" s="6"/>
      <c r="O45" s="6"/>
      <c r="P45" s="6"/>
      <c r="Q45" s="6"/>
      <c r="R45" s="6"/>
      <c r="S45" s="6"/>
      <c r="T45" s="6"/>
      <c r="U45" s="6"/>
      <c r="V45" s="6"/>
      <c r="W45" s="6"/>
      <c r="X45" s="6"/>
      <c r="Y45" s="6"/>
      <c r="Z45" s="6"/>
      <c r="AA45" s="6"/>
    </row>
    <row r="46">
      <c r="A46" s="12" t="s">
        <v>201</v>
      </c>
      <c r="B46" s="6" t="str">
        <f>IFERROR(__xludf.DUMMYFUNCTION("""COMPUTED_VALUE"""),"Dependencies")</f>
        <v>Dependencies</v>
      </c>
      <c r="C46" s="6" t="str">
        <f>IFERROR(__xludf.DUMMYFUNCTION("""COMPUTED_VALUE""")," text_mky7d2z2")</f>
        <v> text_mky7d2z2</v>
      </c>
      <c r="D46" s="5"/>
      <c r="E46" s="5" t="s">
        <v>194</v>
      </c>
      <c r="F46" s="5" t="s">
        <v>195</v>
      </c>
      <c r="G46" s="6"/>
      <c r="H46" s="6"/>
      <c r="I46" s="6"/>
      <c r="J46" s="6"/>
      <c r="K46" s="6"/>
      <c r="L46" s="6"/>
      <c r="M46" s="6"/>
      <c r="N46" s="6"/>
      <c r="O46" s="6"/>
      <c r="P46" s="6"/>
      <c r="Q46" s="6"/>
      <c r="R46" s="6"/>
      <c r="S46" s="6"/>
      <c r="T46" s="6"/>
      <c r="U46" s="6"/>
      <c r="V46" s="6"/>
      <c r="W46" s="6"/>
      <c r="X46" s="6"/>
      <c r="Y46" s="6"/>
      <c r="Z46" s="6"/>
      <c r="AA46" s="6"/>
    </row>
    <row r="47">
      <c r="A47" s="12" t="s">
        <v>202</v>
      </c>
      <c r="B47" s="6" t="str">
        <f>IFERROR(__xludf.DUMMYFUNCTION("""COMPUTED_VALUE"""),"Requesting Department")</f>
        <v>Requesting Department</v>
      </c>
      <c r="C47" s="6" t="str">
        <f>IFERROR(__xludf.DUMMYFUNCTION("""COMPUTED_VALUE""")," status_1")</f>
        <v> status_1</v>
      </c>
      <c r="D47" s="5"/>
      <c r="E47" s="5" t="s">
        <v>194</v>
      </c>
      <c r="F47" s="5" t="s">
        <v>195</v>
      </c>
      <c r="G47" s="6"/>
      <c r="H47" s="6"/>
      <c r="I47" s="6"/>
      <c r="J47" s="6"/>
      <c r="K47" s="6"/>
      <c r="L47" s="6"/>
      <c r="M47" s="6"/>
      <c r="N47" s="6"/>
      <c r="O47" s="6"/>
      <c r="P47" s="6"/>
      <c r="Q47" s="6"/>
      <c r="R47" s="6"/>
      <c r="S47" s="6"/>
      <c r="T47" s="6"/>
      <c r="U47" s="6"/>
      <c r="V47" s="6"/>
      <c r="W47" s="6"/>
      <c r="X47" s="6"/>
      <c r="Y47" s="6"/>
      <c r="Z47" s="6"/>
      <c r="AA47" s="6"/>
    </row>
    <row r="48">
      <c r="A48" s="12" t="s">
        <v>203</v>
      </c>
      <c r="B48" s="6" t="str">
        <f>IFERROR(__xludf.DUMMYFUNCTION("""COMPUTED_VALUE"""),"Partner Marketing Resources")</f>
        <v>Partner Marketing Resources</v>
      </c>
      <c r="C48" s="6" t="str">
        <f>IFERROR(__xludf.DUMMYFUNCTION("""COMPUTED_VALUE""")," text_mky7rr8j")</f>
        <v> text_mky7rr8j</v>
      </c>
      <c r="D48" s="5"/>
      <c r="E48" s="5" t="s">
        <v>194</v>
      </c>
      <c r="F48" s="5" t="s">
        <v>195</v>
      </c>
      <c r="G48" s="6"/>
      <c r="H48" s="6"/>
      <c r="I48" s="6"/>
      <c r="J48" s="6"/>
      <c r="K48" s="6"/>
      <c r="L48" s="6"/>
      <c r="M48" s="6"/>
      <c r="N48" s="6"/>
      <c r="O48" s="6"/>
      <c r="P48" s="6"/>
      <c r="Q48" s="6"/>
      <c r="R48" s="6"/>
      <c r="S48" s="6"/>
      <c r="T48" s="6"/>
      <c r="U48" s="6"/>
      <c r="V48" s="6"/>
      <c r="W48" s="6"/>
      <c r="X48" s="6"/>
      <c r="Y48" s="6"/>
      <c r="Z48" s="6"/>
      <c r="AA48" s="6"/>
    </row>
    <row r="49">
      <c r="A49" s="12" t="s">
        <v>204</v>
      </c>
      <c r="B49" s="6" t="str">
        <f>IFERROR(__xludf.DUMMYFUNCTION("""COMPUTED_VALUE"""),"Product Marketing Resources")</f>
        <v>Product Marketing Resources</v>
      </c>
      <c r="C49" s="6" t="str">
        <f>IFERROR(__xludf.DUMMYFUNCTION("""COMPUTED_VALUE""")," text_mky798s1")</f>
        <v> text_mky798s1</v>
      </c>
      <c r="D49" s="5"/>
      <c r="E49" s="5" t="s">
        <v>194</v>
      </c>
      <c r="F49" s="5" t="s">
        <v>195</v>
      </c>
      <c r="G49" s="6"/>
      <c r="H49" s="6"/>
      <c r="I49" s="6"/>
      <c r="J49" s="6"/>
      <c r="K49" s="6"/>
      <c r="L49" s="6"/>
      <c r="M49" s="6"/>
      <c r="N49" s="6"/>
      <c r="O49" s="6"/>
      <c r="P49" s="6"/>
      <c r="Q49" s="6"/>
      <c r="R49" s="6"/>
      <c r="S49" s="6"/>
      <c r="T49" s="6"/>
      <c r="U49" s="6"/>
      <c r="V49" s="6"/>
      <c r="W49" s="6"/>
      <c r="X49" s="6"/>
      <c r="Y49" s="6"/>
      <c r="Z49" s="6"/>
      <c r="AA49" s="6"/>
    </row>
    <row r="50">
      <c r="A50" s="12" t="s">
        <v>205</v>
      </c>
      <c r="B50" s="6" t="str">
        <f>IFERROR(__xludf.DUMMYFUNCTION("""COMPUTED_VALUE"""),"Pre-event activation plan")</f>
        <v>Pre-event activation plan</v>
      </c>
      <c r="C50" s="6" t="str">
        <f>IFERROR(__xludf.DUMMYFUNCTION("""COMPUTED_VALUE""")," long_text_mky780sa")</f>
        <v> long_text_mky780sa</v>
      </c>
      <c r="D50" s="5"/>
      <c r="E50" s="5" t="s">
        <v>206</v>
      </c>
      <c r="F50" s="5" t="s">
        <v>207</v>
      </c>
      <c r="G50" s="6"/>
      <c r="H50" s="6"/>
      <c r="I50" s="6"/>
      <c r="J50" s="6"/>
      <c r="K50" s="6"/>
      <c r="L50" s="6"/>
      <c r="M50" s="6"/>
      <c r="N50" s="6"/>
      <c r="O50" s="6"/>
      <c r="P50" s="6"/>
      <c r="Q50" s="6"/>
      <c r="R50" s="6"/>
      <c r="S50" s="6"/>
      <c r="T50" s="6"/>
      <c r="U50" s="6"/>
      <c r="V50" s="6"/>
      <c r="W50" s="6"/>
      <c r="X50" s="6"/>
      <c r="Y50" s="6"/>
      <c r="Z50" s="6"/>
      <c r="AA50" s="6"/>
    </row>
    <row r="51">
      <c r="A51" s="12" t="s">
        <v>208</v>
      </c>
      <c r="B51" s="6" t="str">
        <f>IFERROR(__xludf.DUMMYFUNCTION("""COMPUTED_VALUE"""),"Onsite event activation plan")</f>
        <v>Onsite event activation plan</v>
      </c>
      <c r="C51" s="6" t="str">
        <f>IFERROR(__xludf.DUMMYFUNCTION("""COMPUTED_VALUE""")," long_text_mky7mct8")</f>
        <v> long_text_mky7mct8</v>
      </c>
      <c r="D51" s="5"/>
      <c r="E51" s="5" t="s">
        <v>206</v>
      </c>
      <c r="F51" s="5" t="s">
        <v>207</v>
      </c>
      <c r="G51" s="6"/>
      <c r="H51" s="6"/>
      <c r="I51" s="6"/>
      <c r="J51" s="6"/>
      <c r="K51" s="6"/>
      <c r="L51" s="6"/>
      <c r="M51" s="6"/>
      <c r="N51" s="6"/>
      <c r="O51" s="6"/>
      <c r="P51" s="6"/>
      <c r="Q51" s="6"/>
      <c r="R51" s="6"/>
      <c r="S51" s="6"/>
      <c r="T51" s="6"/>
      <c r="U51" s="6"/>
      <c r="V51" s="6"/>
      <c r="W51" s="6"/>
      <c r="X51" s="6"/>
      <c r="Y51" s="6"/>
      <c r="Z51" s="6"/>
      <c r="AA51" s="6"/>
    </row>
    <row r="52">
      <c r="A52" s="12" t="s">
        <v>209</v>
      </c>
      <c r="B52" s="6" t="str">
        <f>IFERROR(__xludf.DUMMYFUNCTION("""COMPUTED_VALUE"""),"Post-event activation plan")</f>
        <v>Post-event activation plan</v>
      </c>
      <c r="C52" s="6" t="str">
        <f>IFERROR(__xludf.DUMMYFUNCTION("""COMPUTED_VALUE""")," long_text_mky72g9a")</f>
        <v> long_text_mky72g9a</v>
      </c>
      <c r="D52" s="5"/>
      <c r="E52" s="5" t="s">
        <v>206</v>
      </c>
      <c r="F52" s="5" t="s">
        <v>207</v>
      </c>
      <c r="G52" s="6"/>
      <c r="H52" s="6"/>
      <c r="I52" s="6"/>
      <c r="J52" s="6"/>
      <c r="K52" s="6"/>
      <c r="L52" s="6"/>
      <c r="M52" s="6"/>
      <c r="N52" s="6"/>
      <c r="O52" s="6"/>
      <c r="P52" s="6"/>
      <c r="Q52" s="6"/>
      <c r="R52" s="6"/>
      <c r="S52" s="6"/>
      <c r="T52" s="6"/>
      <c r="U52" s="6"/>
      <c r="V52" s="6"/>
      <c r="W52" s="6"/>
      <c r="X52" s="6"/>
      <c r="Y52" s="6"/>
      <c r="Z52" s="6"/>
      <c r="AA52" s="6"/>
    </row>
    <row r="53">
      <c r="A53" s="12" t="s">
        <v>210</v>
      </c>
      <c r="B53" s="6" t="str">
        <f>IFERROR(__xludf.DUMMYFUNCTION("""COMPUTED_VALUE"""),"Post Event Report Due")</f>
        <v>Post Event Report Due</v>
      </c>
      <c r="C53" s="6" t="str">
        <f>IFERROR(__xludf.DUMMYFUNCTION("""COMPUTED_VALUE""")," date_mky73kmp")</f>
        <v> date_mky73kmp</v>
      </c>
      <c r="D53" s="5"/>
      <c r="E53" s="5" t="s">
        <v>211</v>
      </c>
      <c r="F53" s="5" t="s">
        <v>212</v>
      </c>
      <c r="G53" s="6"/>
      <c r="H53" s="6"/>
      <c r="I53" s="6"/>
      <c r="J53" s="6"/>
      <c r="K53" s="6"/>
      <c r="L53" s="6"/>
      <c r="M53" s="6"/>
      <c r="N53" s="6"/>
      <c r="O53" s="6"/>
      <c r="P53" s="6"/>
      <c r="Q53" s="6"/>
      <c r="R53" s="6"/>
      <c r="S53" s="6"/>
      <c r="T53" s="6"/>
      <c r="U53" s="6"/>
      <c r="V53" s="6"/>
      <c r="W53" s="6"/>
      <c r="X53" s="6"/>
      <c r="Y53" s="6"/>
      <c r="Z53" s="6"/>
      <c r="AA53" s="6"/>
    </row>
    <row r="54">
      <c r="A54" s="12" t="s">
        <v>213</v>
      </c>
      <c r="B54" s="6" t="str">
        <f>IFERROR(__xludf.DUMMYFUNCTION("""COMPUTED_VALUE"""),"New Leads")</f>
        <v>New Leads</v>
      </c>
      <c r="C54" s="6" t="str">
        <f>IFERROR(__xludf.DUMMYFUNCTION("""COMPUTED_VALUE""")," text_mky715r7")</f>
        <v> text_mky715r7</v>
      </c>
      <c r="D54" s="5"/>
      <c r="E54" s="5" t="s">
        <v>211</v>
      </c>
      <c r="F54" s="5" t="s">
        <v>212</v>
      </c>
      <c r="G54" s="6"/>
      <c r="H54" s="6"/>
      <c r="I54" s="6"/>
      <c r="J54" s="6"/>
      <c r="K54" s="6"/>
      <c r="L54" s="6"/>
      <c r="M54" s="6"/>
      <c r="N54" s="6"/>
      <c r="O54" s="6"/>
      <c r="P54" s="6"/>
      <c r="Q54" s="6"/>
      <c r="R54" s="6"/>
      <c r="S54" s="6"/>
      <c r="T54" s="6"/>
      <c r="U54" s="6"/>
      <c r="V54" s="6"/>
      <c r="W54" s="6"/>
      <c r="X54" s="6"/>
      <c r="Y54" s="6"/>
      <c r="Z54" s="6"/>
      <c r="AA54" s="6"/>
    </row>
    <row r="55">
      <c r="A55" s="12" t="s">
        <v>214</v>
      </c>
      <c r="B55" s="6" t="str">
        <f>IFERROR(__xludf.DUMMYFUNCTION("""COMPUTED_VALUE"""),"Meetings Held")</f>
        <v>Meetings Held</v>
      </c>
      <c r="C55" s="6" t="str">
        <f>IFERROR(__xludf.DUMMYFUNCTION("""COMPUTED_VALUE""")," text_mky7bme0")</f>
        <v> text_mky7bme0</v>
      </c>
      <c r="D55" s="5"/>
      <c r="E55" s="5" t="s">
        <v>211</v>
      </c>
      <c r="F55" s="5" t="s">
        <v>212</v>
      </c>
      <c r="G55" s="6"/>
      <c r="H55" s="6"/>
      <c r="I55" s="6"/>
      <c r="J55" s="6"/>
      <c r="K55" s="6"/>
      <c r="L55" s="6"/>
      <c r="M55" s="6"/>
      <c r="N55" s="6"/>
      <c r="O55" s="6"/>
      <c r="P55" s="6"/>
      <c r="Q55" s="6"/>
      <c r="R55" s="6"/>
      <c r="S55" s="6"/>
      <c r="T55" s="6"/>
      <c r="U55" s="6"/>
      <c r="V55" s="6"/>
      <c r="W55" s="6"/>
      <c r="X55" s="6"/>
      <c r="Y55" s="6"/>
      <c r="Z55" s="6"/>
      <c r="AA55" s="6"/>
    </row>
    <row r="56">
      <c r="A56" s="12" t="s">
        <v>215</v>
      </c>
      <c r="B56" s="6" t="str">
        <f>IFERROR(__xludf.DUMMYFUNCTION("""COMPUTED_VALUE"""),"Opportunities Created")</f>
        <v>Opportunities Created</v>
      </c>
      <c r="C56" s="6" t="str">
        <f>IFERROR(__xludf.DUMMYFUNCTION("""COMPUTED_VALUE""")," text_mky7yx4w")</f>
        <v> text_mky7yx4w</v>
      </c>
      <c r="D56" s="5"/>
      <c r="E56" s="5" t="s">
        <v>211</v>
      </c>
      <c r="F56" s="5" t="s">
        <v>212</v>
      </c>
      <c r="G56" s="6"/>
      <c r="H56" s="6"/>
      <c r="I56" s="6"/>
      <c r="J56" s="6"/>
      <c r="K56" s="6"/>
      <c r="L56" s="6"/>
      <c r="M56" s="6"/>
      <c r="N56" s="6"/>
      <c r="O56" s="6"/>
      <c r="P56" s="6"/>
      <c r="Q56" s="6"/>
      <c r="R56" s="6"/>
      <c r="S56" s="6"/>
      <c r="T56" s="6"/>
      <c r="U56" s="6"/>
      <c r="V56" s="6"/>
      <c r="W56" s="6"/>
      <c r="X56" s="6"/>
      <c r="Y56" s="6"/>
      <c r="Z56" s="6"/>
      <c r="AA56" s="6"/>
    </row>
    <row r="57">
      <c r="A57" s="12" t="s">
        <v>216</v>
      </c>
      <c r="B57" s="6" t="str">
        <f>IFERROR(__xludf.DUMMYFUNCTION("""COMPUTED_VALUE"""),"Pipleline $ Influenced")</f>
        <v>Pipleline $ Influenced</v>
      </c>
      <c r="C57" s="6" t="str">
        <f>IFERROR(__xludf.DUMMYFUNCTION("""COMPUTED_VALUE""")," text_mky7j1z0")</f>
        <v> text_mky7j1z0</v>
      </c>
      <c r="D57" s="5"/>
      <c r="E57" s="5" t="s">
        <v>211</v>
      </c>
      <c r="F57" s="5" t="s">
        <v>212</v>
      </c>
      <c r="G57" s="6"/>
      <c r="H57" s="6"/>
      <c r="I57" s="6"/>
      <c r="J57" s="6"/>
      <c r="K57" s="6"/>
      <c r="L57" s="6"/>
      <c r="M57" s="6"/>
      <c r="N57" s="6"/>
      <c r="O57" s="6"/>
      <c r="P57" s="6"/>
      <c r="Q57" s="6"/>
      <c r="R57" s="6"/>
      <c r="S57" s="6"/>
      <c r="T57" s="6"/>
      <c r="U57" s="6"/>
      <c r="V57" s="6"/>
      <c r="W57" s="6"/>
      <c r="X57" s="6"/>
      <c r="Y57" s="6"/>
      <c r="Z57" s="6"/>
      <c r="AA57" s="6"/>
    </row>
    <row r="58">
      <c r="A58" s="12" t="s">
        <v>217</v>
      </c>
      <c r="B58" s="6" t="str">
        <f>IFERROR(__xludf.DUMMYFUNCTION("""COMPUTED_VALUE"""),"Boothscans")</f>
        <v>Boothscans</v>
      </c>
      <c r="C58" s="6" t="str">
        <f>IFERROR(__xludf.DUMMYFUNCTION("""COMPUTED_VALUE""")," text_mky7kbbz")</f>
        <v> text_mky7kbbz</v>
      </c>
      <c r="D58" s="5"/>
      <c r="E58" s="5" t="s">
        <v>211</v>
      </c>
      <c r="F58" s="5" t="s">
        <v>212</v>
      </c>
      <c r="G58" s="6"/>
      <c r="H58" s="6"/>
      <c r="I58" s="6"/>
      <c r="J58" s="6"/>
      <c r="K58" s="6"/>
      <c r="L58" s="6"/>
      <c r="M58" s="6"/>
      <c r="N58" s="6"/>
      <c r="O58" s="6"/>
      <c r="P58" s="6"/>
      <c r="Q58" s="6"/>
      <c r="R58" s="6"/>
      <c r="S58" s="6"/>
      <c r="T58" s="6"/>
      <c r="U58" s="6"/>
      <c r="V58" s="6"/>
      <c r="W58" s="6"/>
      <c r="X58" s="6"/>
      <c r="Y58" s="6"/>
      <c r="Z58" s="6"/>
      <c r="AA58" s="6"/>
    </row>
    <row r="59">
      <c r="A59" s="12" t="s">
        <v>218</v>
      </c>
      <c r="B59" s="6" t="str">
        <f>IFERROR(__xludf.DUMMYFUNCTION("""COMPUTED_VALUE"""),"Brand/Media impressions")</f>
        <v>Brand/Media impressions</v>
      </c>
      <c r="C59" s="6" t="str">
        <f>IFERROR(__xludf.DUMMYFUNCTION("""COMPUTED_VALUE""")," text_mky717tz")</f>
        <v> text_mky717tz</v>
      </c>
      <c r="D59" s="5"/>
      <c r="E59" s="5" t="s">
        <v>211</v>
      </c>
      <c r="F59" s="5" t="s">
        <v>212</v>
      </c>
      <c r="G59" s="6"/>
      <c r="H59" s="6"/>
      <c r="I59" s="6"/>
      <c r="J59" s="6"/>
      <c r="K59" s="6"/>
      <c r="L59" s="6"/>
      <c r="M59" s="6"/>
      <c r="N59" s="6"/>
      <c r="O59" s="6"/>
      <c r="P59" s="6"/>
      <c r="Q59" s="6"/>
      <c r="R59" s="6"/>
      <c r="S59" s="6"/>
      <c r="T59" s="6"/>
      <c r="U59" s="6"/>
      <c r="V59" s="6"/>
      <c r="W59" s="6"/>
      <c r="X59" s="6"/>
      <c r="Y59" s="6"/>
      <c r="Z59" s="6"/>
      <c r="AA59" s="6"/>
    </row>
    <row r="60">
      <c r="A60" s="12" t="s">
        <v>219</v>
      </c>
      <c r="B60" s="6" t="str">
        <f>IFERROR(__xludf.DUMMYFUNCTION("""COMPUTED_VALUE"""),"Customer Feedback/Testimonials")</f>
        <v>Customer Feedback/Testimonials</v>
      </c>
      <c r="C60" s="6" t="str">
        <f>IFERROR(__xludf.DUMMYFUNCTION("""COMPUTED_VALUE""")," text_mky73vf5")</f>
        <v> text_mky73vf5</v>
      </c>
      <c r="D60" s="5"/>
      <c r="E60" s="5" t="s">
        <v>211</v>
      </c>
      <c r="F60" s="5" t="s">
        <v>212</v>
      </c>
      <c r="G60" s="6"/>
      <c r="H60" s="6"/>
      <c r="I60" s="6"/>
      <c r="J60" s="6"/>
      <c r="K60" s="6"/>
      <c r="L60" s="6"/>
      <c r="M60" s="6"/>
      <c r="N60" s="6"/>
      <c r="O60" s="6"/>
      <c r="P60" s="6"/>
      <c r="Q60" s="6"/>
      <c r="R60" s="6"/>
      <c r="S60" s="6"/>
      <c r="T60" s="6"/>
      <c r="U60" s="6"/>
      <c r="V60" s="6"/>
      <c r="W60" s="6"/>
      <c r="X60" s="6"/>
      <c r="Y60" s="6"/>
      <c r="Z60" s="6"/>
      <c r="AA60" s="6"/>
    </row>
    <row r="61">
      <c r="A61" s="12" t="s">
        <v>220</v>
      </c>
      <c r="B61" s="6" t="str">
        <f>IFERROR(__xludf.DUMMYFUNCTION("""COMPUTED_VALUE"""),"Competitive Insights")</f>
        <v>Competitive Insights</v>
      </c>
      <c r="C61" s="6" t="str">
        <f>IFERROR(__xludf.DUMMYFUNCTION("""COMPUTED_VALUE""")," text_mky7wvep")</f>
        <v> text_mky7wvep</v>
      </c>
      <c r="D61" s="5"/>
      <c r="E61" s="5" t="s">
        <v>211</v>
      </c>
      <c r="F61" s="5" t="s">
        <v>212</v>
      </c>
      <c r="G61" s="6"/>
      <c r="H61" s="6"/>
      <c r="I61" s="6"/>
      <c r="J61" s="6"/>
      <c r="K61" s="6"/>
      <c r="L61" s="6"/>
      <c r="M61" s="6"/>
      <c r="N61" s="6"/>
      <c r="O61" s="6"/>
      <c r="P61" s="6"/>
      <c r="Q61" s="6"/>
      <c r="R61" s="6"/>
      <c r="S61" s="6"/>
      <c r="T61" s="6"/>
      <c r="U61" s="6"/>
      <c r="V61" s="6"/>
      <c r="W61" s="6"/>
      <c r="X61" s="6"/>
      <c r="Y61" s="6"/>
      <c r="Z61" s="6"/>
      <c r="AA61" s="6"/>
    </row>
    <row r="62">
      <c r="A62" s="12" t="s">
        <v>221</v>
      </c>
      <c r="B62" s="6" t="str">
        <f>IFERROR(__xludf.DUMMYFUNCTION("""COMPUTED_VALUE"""),"Learnings for Nextyear")</f>
        <v>Learnings for Nextyear</v>
      </c>
      <c r="C62" s="6" t="str">
        <f>IFERROR(__xludf.DUMMYFUNCTION("""COMPUTED_VALUE""")," text_mky72rb1")</f>
        <v> text_mky72rb1</v>
      </c>
      <c r="D62" s="5"/>
      <c r="E62" s="5" t="s">
        <v>211</v>
      </c>
      <c r="F62" s="5" t="s">
        <v>212</v>
      </c>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88"/>
    <col customWidth="1" min="2" max="2" width="13.38"/>
    <col customWidth="1" min="3" max="3" width="49.13"/>
    <col customWidth="1" min="4" max="4" width="44.5"/>
    <col customWidth="1" min="5" max="5" width="12.38"/>
    <col customWidth="1" min="6" max="6" width="11.0"/>
    <col customWidth="1" min="7" max="7" width="7.88"/>
    <col customWidth="1" min="8" max="8" width="307.38"/>
    <col customWidth="1" min="9" max="9" width="11.63"/>
    <col customWidth="1" min="10" max="10" width="48.13"/>
    <col customWidth="1" min="11" max="11" width="9.38"/>
    <col customWidth="1" min="12" max="12" width="15.5"/>
    <col customWidth="1" min="13" max="13" width="10.38"/>
    <col customWidth="1" min="14" max="14" width="9.13"/>
    <col customWidth="1" min="15" max="15" width="14.5"/>
    <col customWidth="1" min="16" max="16" width="4.38"/>
    <col customWidth="1" min="17" max="17" width="22.38"/>
    <col customWidth="1" min="18" max="18" width="21.75"/>
    <col customWidth="1" min="19" max="20" width="19.13"/>
    <col customWidth="1" min="21" max="21" width="80.0"/>
    <col customWidth="1" min="22" max="22" width="416.63"/>
  </cols>
  <sheetData>
    <row r="1">
      <c r="A1" s="3" t="s">
        <v>9</v>
      </c>
      <c r="B1" s="3" t="s">
        <v>10</v>
      </c>
      <c r="C1" s="3" t="s">
        <v>11</v>
      </c>
      <c r="D1" s="3" t="s">
        <v>12</v>
      </c>
      <c r="E1" s="3" t="s">
        <v>13</v>
      </c>
      <c r="F1" s="3" t="s">
        <v>14</v>
      </c>
      <c r="G1" s="3" t="s">
        <v>25</v>
      </c>
      <c r="H1" s="3" t="s">
        <v>24</v>
      </c>
      <c r="I1" s="3" t="s">
        <v>15</v>
      </c>
      <c r="J1" s="3" t="s">
        <v>16</v>
      </c>
      <c r="K1" s="3" t="s">
        <v>18</v>
      </c>
      <c r="L1" s="3" t="s">
        <v>222</v>
      </c>
      <c r="M1" s="3" t="s">
        <v>20</v>
      </c>
      <c r="N1" s="3" t="s">
        <v>21</v>
      </c>
      <c r="O1" s="3" t="s">
        <v>22</v>
      </c>
      <c r="P1" s="3" t="s">
        <v>23</v>
      </c>
      <c r="Q1" s="3" t="s">
        <v>223</v>
      </c>
      <c r="R1" s="3" t="s">
        <v>118</v>
      </c>
      <c r="S1" s="3" t="s">
        <v>27</v>
      </c>
      <c r="T1" s="1" t="s">
        <v>27</v>
      </c>
    </row>
    <row r="2">
      <c r="A2" s="1" t="s">
        <v>224</v>
      </c>
      <c r="B2" s="1" t="s">
        <v>225</v>
      </c>
      <c r="C2" s="1" t="s">
        <v>226</v>
      </c>
      <c r="D2" s="1" t="s">
        <v>227</v>
      </c>
      <c r="E2" s="1">
        <v>1.8387680182E10</v>
      </c>
      <c r="F2" s="1">
        <v>1.8402564488E10</v>
      </c>
      <c r="H2" s="1" t="s">
        <v>228</v>
      </c>
      <c r="I2" s="1" t="s">
        <v>229</v>
      </c>
      <c r="J2" s="10"/>
      <c r="K2" s="1" t="s">
        <v>230</v>
      </c>
      <c r="L2" s="1" t="s">
        <v>231</v>
      </c>
      <c r="M2" s="9">
        <v>45982.0</v>
      </c>
      <c r="N2" s="11"/>
      <c r="O2" s="9">
        <v>46001.0</v>
      </c>
      <c r="Q2" s="1" t="s">
        <v>227</v>
      </c>
      <c r="R2" s="10"/>
      <c r="S2" s="1" t="s">
        <v>5</v>
      </c>
      <c r="T2" s="10"/>
    </row>
    <row r="3">
      <c r="A3" s="1" t="s">
        <v>232</v>
      </c>
      <c r="B3" s="1" t="s">
        <v>225</v>
      </c>
      <c r="C3" s="1" t="s">
        <v>233</v>
      </c>
      <c r="D3" s="1" t="s">
        <v>234</v>
      </c>
      <c r="E3" s="1">
        <v>9.080309128E9</v>
      </c>
      <c r="F3" s="1">
        <v>1.8402565546E10</v>
      </c>
      <c r="H3" s="1" t="s">
        <v>235</v>
      </c>
      <c r="I3" s="1" t="s">
        <v>229</v>
      </c>
      <c r="J3" s="10"/>
      <c r="K3" s="1" t="s">
        <v>230</v>
      </c>
      <c r="L3" s="1" t="s">
        <v>236</v>
      </c>
      <c r="M3" s="9">
        <v>45783.0</v>
      </c>
      <c r="N3" s="11"/>
      <c r="O3" s="11"/>
      <c r="Q3" s="1" t="s">
        <v>234</v>
      </c>
      <c r="R3" s="10"/>
      <c r="S3" s="1" t="s">
        <v>5</v>
      </c>
      <c r="T3" s="10"/>
    </row>
    <row r="4">
      <c r="A4" s="1" t="s">
        <v>237</v>
      </c>
      <c r="B4" s="1" t="s">
        <v>225</v>
      </c>
      <c r="C4" s="1" t="s">
        <v>238</v>
      </c>
      <c r="D4" s="1" t="s">
        <v>239</v>
      </c>
      <c r="E4" s="1">
        <v>8.714057396E9</v>
      </c>
      <c r="F4" s="1">
        <v>1.8402568111E10</v>
      </c>
      <c r="H4" s="10"/>
      <c r="I4" s="1" t="s">
        <v>229</v>
      </c>
      <c r="J4" s="10"/>
      <c r="K4" s="1" t="s">
        <v>230</v>
      </c>
      <c r="L4" s="1" t="s">
        <v>240</v>
      </c>
      <c r="M4" s="9">
        <v>45733.0</v>
      </c>
      <c r="N4" s="11"/>
      <c r="O4" s="9">
        <v>45985.0</v>
      </c>
      <c r="Q4" s="1" t="s">
        <v>241</v>
      </c>
      <c r="R4" s="10"/>
      <c r="S4" s="1" t="s">
        <v>5</v>
      </c>
      <c r="T4" s="10"/>
    </row>
    <row r="5">
      <c r="A5" s="1" t="s">
        <v>242</v>
      </c>
      <c r="B5" s="1" t="s">
        <v>225</v>
      </c>
      <c r="C5" s="1" t="s">
        <v>238</v>
      </c>
      <c r="D5" s="1" t="s">
        <v>239</v>
      </c>
      <c r="E5" s="1">
        <v>8.821376581E9</v>
      </c>
      <c r="F5" s="1">
        <v>1.8402568111E10</v>
      </c>
      <c r="H5" s="10"/>
      <c r="I5" s="1" t="s">
        <v>229</v>
      </c>
      <c r="J5" s="10"/>
      <c r="K5" s="1" t="s">
        <v>243</v>
      </c>
      <c r="L5" s="1" t="s">
        <v>236</v>
      </c>
      <c r="M5" s="9">
        <v>45747.0</v>
      </c>
      <c r="N5" s="11"/>
      <c r="O5" s="9">
        <v>46010.0</v>
      </c>
      <c r="Q5" s="1" t="s">
        <v>241</v>
      </c>
      <c r="R5" s="10"/>
      <c r="S5" s="1" t="s">
        <v>5</v>
      </c>
      <c r="T5" s="10"/>
    </row>
    <row r="6">
      <c r="A6" s="1" t="s">
        <v>244</v>
      </c>
      <c r="B6" s="1" t="s">
        <v>29</v>
      </c>
      <c r="C6" s="1" t="s">
        <v>245</v>
      </c>
      <c r="D6" s="1" t="s">
        <v>246</v>
      </c>
      <c r="E6" s="1">
        <v>1.1342942612E10</v>
      </c>
      <c r="F6" s="1">
        <v>1.8402564263E10</v>
      </c>
      <c r="H6" s="10"/>
      <c r="I6" s="1" t="s">
        <v>31</v>
      </c>
      <c r="J6" s="10"/>
      <c r="K6" s="1" t="s">
        <v>247</v>
      </c>
      <c r="L6" s="1" t="s">
        <v>248</v>
      </c>
      <c r="M6" s="9">
        <v>46076.0</v>
      </c>
      <c r="N6" s="11"/>
      <c r="O6" s="11"/>
      <c r="Q6" s="1" t="s">
        <v>246</v>
      </c>
      <c r="R6" s="10"/>
      <c r="S6" s="1" t="s">
        <v>5</v>
      </c>
      <c r="T6" s="10"/>
    </row>
    <row r="7">
      <c r="A7" s="1" t="s">
        <v>249</v>
      </c>
      <c r="B7" s="1" t="s">
        <v>29</v>
      </c>
      <c r="C7" s="1" t="s">
        <v>238</v>
      </c>
      <c r="D7" s="1" t="s">
        <v>239</v>
      </c>
      <c r="E7" s="1">
        <v>8.821456844E9</v>
      </c>
      <c r="F7" s="1">
        <v>1.8402568111E10</v>
      </c>
      <c r="G7" s="10"/>
      <c r="H7" s="10"/>
      <c r="I7" s="1" t="s">
        <v>250</v>
      </c>
      <c r="J7" s="1" t="s">
        <v>251</v>
      </c>
      <c r="K7" s="1" t="s">
        <v>33</v>
      </c>
      <c r="L7" s="1" t="s">
        <v>240</v>
      </c>
      <c r="M7" s="9">
        <v>45698.0</v>
      </c>
      <c r="N7" s="11"/>
      <c r="O7" s="11"/>
      <c r="Q7" s="1" t="s">
        <v>241</v>
      </c>
      <c r="R7" s="10"/>
      <c r="S7" s="1" t="s">
        <v>5</v>
      </c>
      <c r="T7" s="10"/>
    </row>
    <row r="8">
      <c r="A8" s="1" t="s">
        <v>252</v>
      </c>
      <c r="B8" s="1" t="s">
        <v>225</v>
      </c>
      <c r="C8" s="1" t="s">
        <v>253</v>
      </c>
      <c r="D8" s="1" t="s">
        <v>254</v>
      </c>
      <c r="E8" s="1">
        <v>8.671192538E9</v>
      </c>
      <c r="F8" s="1">
        <v>1.8402568372E10</v>
      </c>
      <c r="H8" s="1" t="s">
        <v>255</v>
      </c>
      <c r="I8" s="1" t="s">
        <v>229</v>
      </c>
      <c r="J8" s="10"/>
      <c r="K8" s="1" t="s">
        <v>247</v>
      </c>
      <c r="L8" s="1" t="s">
        <v>256</v>
      </c>
      <c r="M8" s="9">
        <v>45727.0</v>
      </c>
      <c r="N8" s="11"/>
      <c r="O8" s="9">
        <v>45896.0</v>
      </c>
      <c r="Q8" s="1" t="s">
        <v>254</v>
      </c>
      <c r="R8" s="10"/>
      <c r="S8" s="1" t="s">
        <v>5</v>
      </c>
      <c r="T8" s="10"/>
    </row>
    <row r="9">
      <c r="A9" s="1" t="s">
        <v>257</v>
      </c>
      <c r="B9" s="1" t="s">
        <v>29</v>
      </c>
      <c r="C9" s="1" t="s">
        <v>258</v>
      </c>
      <c r="D9" s="1" t="s">
        <v>259</v>
      </c>
      <c r="E9" s="1">
        <v>1.8357680785E10</v>
      </c>
      <c r="F9" s="1">
        <v>1.8402564676E10</v>
      </c>
      <c r="G9" s="10"/>
      <c r="H9" s="1" t="s">
        <v>260</v>
      </c>
      <c r="I9" s="1" t="s">
        <v>229</v>
      </c>
      <c r="J9" s="1" t="s">
        <v>261</v>
      </c>
      <c r="K9" s="1" t="s">
        <v>33</v>
      </c>
      <c r="L9" s="1" t="s">
        <v>236</v>
      </c>
      <c r="M9" s="9">
        <v>45966.0</v>
      </c>
      <c r="N9" s="11"/>
      <c r="O9" s="11"/>
      <c r="Q9" s="1" t="s">
        <v>259</v>
      </c>
      <c r="R9" s="10"/>
      <c r="S9" s="1" t="s">
        <v>5</v>
      </c>
      <c r="T9" s="10"/>
    </row>
    <row r="10">
      <c r="A10" s="1" t="s">
        <v>262</v>
      </c>
      <c r="B10" s="1" t="s">
        <v>29</v>
      </c>
      <c r="C10" s="1" t="s">
        <v>245</v>
      </c>
      <c r="D10" s="1" t="s">
        <v>246</v>
      </c>
      <c r="E10" s="1">
        <v>1.1342940453E10</v>
      </c>
      <c r="F10" s="1">
        <v>1.8402564263E10</v>
      </c>
      <c r="H10" s="10"/>
      <c r="I10" s="1" t="s">
        <v>31</v>
      </c>
      <c r="J10" s="10"/>
      <c r="K10" s="1" t="s">
        <v>247</v>
      </c>
      <c r="L10" s="1" t="s">
        <v>248</v>
      </c>
      <c r="M10" s="9">
        <v>46076.0</v>
      </c>
      <c r="N10" s="11"/>
      <c r="O10" s="11"/>
      <c r="Q10" s="1" t="s">
        <v>246</v>
      </c>
      <c r="R10" s="10"/>
      <c r="S10" s="1" t="s">
        <v>5</v>
      </c>
      <c r="T10" s="10"/>
    </row>
    <row r="11">
      <c r="A11" s="1" t="s">
        <v>263</v>
      </c>
      <c r="B11" s="1" t="s">
        <v>29</v>
      </c>
      <c r="C11" s="1" t="s">
        <v>253</v>
      </c>
      <c r="D11" s="1" t="s">
        <v>254</v>
      </c>
      <c r="E11" s="1">
        <v>8.741290643E9</v>
      </c>
      <c r="F11" s="1">
        <v>1.8402568372E10</v>
      </c>
      <c r="H11" s="1" t="s">
        <v>264</v>
      </c>
      <c r="I11" s="1" t="s">
        <v>45</v>
      </c>
      <c r="J11" s="1" t="s">
        <v>261</v>
      </c>
      <c r="K11" s="1" t="s">
        <v>247</v>
      </c>
      <c r="L11" s="1" t="s">
        <v>236</v>
      </c>
      <c r="M11" s="9">
        <v>45736.0</v>
      </c>
      <c r="N11" s="11"/>
      <c r="O11" s="11"/>
      <c r="Q11" s="1" t="s">
        <v>254</v>
      </c>
      <c r="R11" s="10"/>
      <c r="S11" s="1" t="s">
        <v>5</v>
      </c>
      <c r="T11" s="10"/>
    </row>
    <row r="12">
      <c r="A12" s="1" t="s">
        <v>265</v>
      </c>
      <c r="B12" s="1" t="s">
        <v>225</v>
      </c>
      <c r="C12" s="1" t="s">
        <v>233</v>
      </c>
      <c r="D12" s="1" t="s">
        <v>234</v>
      </c>
      <c r="E12" s="1">
        <v>8.464228904E9</v>
      </c>
      <c r="F12" s="1">
        <v>1.8402565546E10</v>
      </c>
      <c r="G12" s="10"/>
      <c r="H12" s="1" t="s">
        <v>266</v>
      </c>
      <c r="I12" s="1" t="s">
        <v>229</v>
      </c>
      <c r="J12" s="1" t="s">
        <v>267</v>
      </c>
      <c r="K12" s="1" t="s">
        <v>247</v>
      </c>
      <c r="L12" s="1" t="s">
        <v>268</v>
      </c>
      <c r="M12" s="9">
        <v>45700.0</v>
      </c>
      <c r="N12" s="11"/>
      <c r="O12" s="11"/>
      <c r="Q12" s="1" t="s">
        <v>234</v>
      </c>
      <c r="R12" s="10"/>
      <c r="S12" s="1" t="s">
        <v>5</v>
      </c>
      <c r="T12" s="10"/>
    </row>
    <row r="13" ht="24.75" customHeight="1">
      <c r="A13" s="1" t="s">
        <v>269</v>
      </c>
      <c r="B13" s="1" t="s">
        <v>225</v>
      </c>
      <c r="C13" s="1" t="s">
        <v>270</v>
      </c>
      <c r="D13" s="1" t="s">
        <v>271</v>
      </c>
      <c r="E13" s="1">
        <v>9.41325885E9</v>
      </c>
      <c r="F13" s="1">
        <v>1.8402568518E10</v>
      </c>
      <c r="G13" s="10"/>
      <c r="H13" s="10"/>
      <c r="I13" s="1" t="s">
        <v>229</v>
      </c>
      <c r="J13" s="1" t="s">
        <v>261</v>
      </c>
      <c r="K13" s="1" t="s">
        <v>247</v>
      </c>
      <c r="L13" s="1" t="s">
        <v>231</v>
      </c>
      <c r="M13" s="9">
        <v>45698.0</v>
      </c>
      <c r="N13" s="9">
        <v>46032.0</v>
      </c>
      <c r="O13" s="11"/>
      <c r="Q13" s="1" t="s">
        <v>271</v>
      </c>
      <c r="R13" s="10"/>
      <c r="S13" s="1" t="s">
        <v>5</v>
      </c>
      <c r="T13" s="10"/>
    </row>
    <row r="14">
      <c r="A14" s="1" t="s">
        <v>272</v>
      </c>
      <c r="B14" s="1" t="s">
        <v>29</v>
      </c>
      <c r="C14" s="1" t="s">
        <v>253</v>
      </c>
      <c r="D14" s="1" t="s">
        <v>254</v>
      </c>
      <c r="E14" s="1">
        <v>9.849857923E9</v>
      </c>
      <c r="F14" s="1">
        <v>1.8402568372E10</v>
      </c>
      <c r="G14" s="10"/>
      <c r="H14" s="1" t="s">
        <v>273</v>
      </c>
      <c r="I14" s="1" t="s">
        <v>31</v>
      </c>
      <c r="J14" s="1" t="s">
        <v>274</v>
      </c>
      <c r="K14" s="1" t="s">
        <v>230</v>
      </c>
      <c r="L14" s="1" t="s">
        <v>231</v>
      </c>
      <c r="M14" s="9">
        <v>45698.0</v>
      </c>
      <c r="N14" s="11"/>
      <c r="O14" s="11"/>
      <c r="Q14" s="1" t="s">
        <v>254</v>
      </c>
      <c r="R14" s="10"/>
      <c r="S14" s="1" t="s">
        <v>5</v>
      </c>
      <c r="T14" s="10"/>
    </row>
    <row r="15">
      <c r="A15" s="1" t="s">
        <v>275</v>
      </c>
      <c r="B15" s="1" t="s">
        <v>225</v>
      </c>
      <c r="C15" s="1" t="s">
        <v>276</v>
      </c>
      <c r="D15" s="1" t="s">
        <v>277</v>
      </c>
      <c r="E15" s="1">
        <v>9.035222909E9</v>
      </c>
      <c r="F15" s="1">
        <v>1.8402563983E10</v>
      </c>
      <c r="G15" s="10"/>
      <c r="H15" s="10"/>
      <c r="I15" s="1" t="s">
        <v>229</v>
      </c>
      <c r="J15" s="10"/>
      <c r="K15" s="1" t="s">
        <v>247</v>
      </c>
      <c r="L15" s="1" t="s">
        <v>236</v>
      </c>
      <c r="M15" s="9">
        <v>45776.0</v>
      </c>
      <c r="N15" s="11"/>
      <c r="O15" s="9">
        <v>46010.0</v>
      </c>
      <c r="Q15" s="1" t="s">
        <v>278</v>
      </c>
      <c r="R15" s="10"/>
      <c r="S15" s="1" t="s">
        <v>5</v>
      </c>
      <c r="T15" s="10"/>
    </row>
    <row r="16">
      <c r="A16" s="1" t="s">
        <v>279</v>
      </c>
      <c r="B16" s="1" t="s">
        <v>225</v>
      </c>
      <c r="C16" s="1" t="s">
        <v>280</v>
      </c>
      <c r="D16" s="1" t="s">
        <v>281</v>
      </c>
      <c r="E16" s="1">
        <v>1.8047259948E10</v>
      </c>
      <c r="F16" s="1">
        <v>1.8402563866E10</v>
      </c>
      <c r="G16" s="10"/>
      <c r="H16" s="1" t="s">
        <v>282</v>
      </c>
      <c r="I16" s="1" t="s">
        <v>229</v>
      </c>
      <c r="J16" s="10"/>
      <c r="K16" s="1" t="s">
        <v>230</v>
      </c>
      <c r="L16" s="1" t="s">
        <v>236</v>
      </c>
      <c r="M16" s="9">
        <v>45925.0</v>
      </c>
      <c r="N16" s="11"/>
      <c r="O16" s="9">
        <v>45985.0</v>
      </c>
      <c r="Q16" s="1" t="s">
        <v>281</v>
      </c>
      <c r="R16" s="10"/>
      <c r="S16" s="1" t="s">
        <v>5</v>
      </c>
      <c r="T16" s="10"/>
    </row>
    <row r="17">
      <c r="A17" s="1" t="s">
        <v>283</v>
      </c>
      <c r="B17" s="1" t="s">
        <v>29</v>
      </c>
      <c r="C17" s="1" t="s">
        <v>280</v>
      </c>
      <c r="D17" s="1" t="s">
        <v>281</v>
      </c>
      <c r="E17" s="1">
        <v>1.1379534221E10</v>
      </c>
      <c r="F17" s="1">
        <v>1.8402563866E10</v>
      </c>
      <c r="G17" s="10"/>
      <c r="H17" s="1" t="s">
        <v>284</v>
      </c>
      <c r="I17" s="1" t="s">
        <v>31</v>
      </c>
      <c r="J17" s="1" t="s">
        <v>251</v>
      </c>
      <c r="K17" s="1" t="s">
        <v>230</v>
      </c>
      <c r="L17" s="1" t="s">
        <v>268</v>
      </c>
      <c r="M17" s="9">
        <v>45698.0</v>
      </c>
      <c r="N17" s="9">
        <v>46093.0</v>
      </c>
      <c r="O17" s="11"/>
      <c r="Q17" s="1" t="s">
        <v>281</v>
      </c>
      <c r="R17" s="10"/>
      <c r="S17" s="1" t="s">
        <v>5</v>
      </c>
      <c r="T17" s="10"/>
    </row>
    <row r="18">
      <c r="A18" s="1" t="s">
        <v>285</v>
      </c>
      <c r="B18" s="1" t="s">
        <v>29</v>
      </c>
      <c r="C18" s="1" t="s">
        <v>286</v>
      </c>
      <c r="D18" s="1" t="s">
        <v>287</v>
      </c>
      <c r="E18" s="1">
        <v>1.1428960695E10</v>
      </c>
      <c r="F18" s="1">
        <v>1.8402617065E10</v>
      </c>
      <c r="H18" s="1" t="s">
        <v>288</v>
      </c>
      <c r="I18" s="1" t="s">
        <v>31</v>
      </c>
      <c r="J18" s="1" t="s">
        <v>261</v>
      </c>
      <c r="K18" s="1" t="s">
        <v>230</v>
      </c>
      <c r="L18" s="1" t="s">
        <v>236</v>
      </c>
      <c r="M18" s="9">
        <v>45698.0</v>
      </c>
      <c r="N18" s="11"/>
      <c r="O18" s="11"/>
      <c r="Q18" s="10"/>
      <c r="R18" s="10"/>
      <c r="S18" s="1" t="s">
        <v>5</v>
      </c>
      <c r="T18" s="10"/>
    </row>
    <row r="19">
      <c r="A19" s="1" t="s">
        <v>289</v>
      </c>
      <c r="B19" s="1" t="s">
        <v>225</v>
      </c>
      <c r="C19" s="1" t="s">
        <v>253</v>
      </c>
      <c r="D19" s="1" t="s">
        <v>254</v>
      </c>
      <c r="E19" s="1">
        <v>1.0749567978E10</v>
      </c>
      <c r="F19" s="1">
        <v>1.8402568372E10</v>
      </c>
      <c r="G19" s="10"/>
      <c r="H19" s="1" t="s">
        <v>290</v>
      </c>
      <c r="I19" s="1" t="s">
        <v>229</v>
      </c>
      <c r="J19" s="10"/>
      <c r="K19" s="1" t="s">
        <v>247</v>
      </c>
      <c r="L19" s="1" t="s">
        <v>231</v>
      </c>
      <c r="M19" s="9">
        <v>45698.0</v>
      </c>
      <c r="N19" s="11"/>
      <c r="O19" s="9">
        <v>46010.0</v>
      </c>
      <c r="Q19" s="1" t="s">
        <v>254</v>
      </c>
      <c r="R19" s="10"/>
      <c r="S19" s="1" t="s">
        <v>5</v>
      </c>
      <c r="T19" s="10"/>
    </row>
    <row r="20">
      <c r="A20" s="1" t="s">
        <v>291</v>
      </c>
      <c r="B20" s="1" t="s">
        <v>29</v>
      </c>
      <c r="C20" s="1" t="s">
        <v>292</v>
      </c>
      <c r="D20" s="1" t="s">
        <v>293</v>
      </c>
      <c r="E20" s="1">
        <v>1.1377067523E10</v>
      </c>
      <c r="F20" s="1">
        <v>1.8402565219E10</v>
      </c>
      <c r="G20" s="10"/>
      <c r="H20" s="10"/>
      <c r="I20" s="1" t="s">
        <v>294</v>
      </c>
      <c r="J20" s="10"/>
      <c r="K20" s="1" t="s">
        <v>39</v>
      </c>
      <c r="L20" s="1" t="s">
        <v>236</v>
      </c>
      <c r="M20" s="9">
        <v>46079.0</v>
      </c>
      <c r="N20" s="9">
        <v>46093.0</v>
      </c>
      <c r="O20" s="11"/>
      <c r="Q20" s="1" t="s">
        <v>293</v>
      </c>
      <c r="R20" s="10"/>
      <c r="S20" s="1" t="s">
        <v>5</v>
      </c>
      <c r="T20" s="10"/>
    </row>
    <row r="21" ht="20.25" customHeight="1">
      <c r="A21" s="1" t="s">
        <v>295</v>
      </c>
      <c r="B21" s="1" t="s">
        <v>225</v>
      </c>
      <c r="C21" s="1" t="s">
        <v>280</v>
      </c>
      <c r="D21" s="1" t="s">
        <v>281</v>
      </c>
      <c r="E21" s="1">
        <v>1.804719175E10</v>
      </c>
      <c r="F21" s="1">
        <v>1.8402563866E10</v>
      </c>
      <c r="G21" s="10"/>
      <c r="H21" s="1" t="s">
        <v>296</v>
      </c>
      <c r="I21" s="1" t="s">
        <v>229</v>
      </c>
      <c r="J21" s="10"/>
      <c r="K21" s="1" t="s">
        <v>247</v>
      </c>
      <c r="L21" s="1" t="s">
        <v>236</v>
      </c>
      <c r="M21" s="9">
        <v>45925.0</v>
      </c>
      <c r="N21" s="11"/>
      <c r="O21" s="9">
        <v>45985.0</v>
      </c>
      <c r="Q21" s="1" t="s">
        <v>281</v>
      </c>
      <c r="R21" s="10"/>
      <c r="S21" s="1" t="s">
        <v>5</v>
      </c>
      <c r="T21" s="10"/>
    </row>
    <row r="22" ht="21.0" customHeight="1">
      <c r="A22" s="1" t="s">
        <v>297</v>
      </c>
      <c r="B22" s="1" t="s">
        <v>225</v>
      </c>
      <c r="C22" s="1" t="s">
        <v>258</v>
      </c>
      <c r="D22" s="1" t="s">
        <v>259</v>
      </c>
      <c r="E22" s="1">
        <v>8.577093443E9</v>
      </c>
      <c r="F22" s="1">
        <v>1.8402564676E10</v>
      </c>
      <c r="G22" s="10"/>
      <c r="H22" s="1" t="s">
        <v>298</v>
      </c>
      <c r="I22" s="1" t="s">
        <v>229</v>
      </c>
      <c r="J22" s="10"/>
      <c r="K22" s="1" t="s">
        <v>33</v>
      </c>
      <c r="L22" s="1" t="s">
        <v>268</v>
      </c>
      <c r="M22" s="9">
        <v>45714.0</v>
      </c>
      <c r="N22" s="11"/>
      <c r="O22" s="9">
        <v>45805.0</v>
      </c>
      <c r="Q22" s="1" t="s">
        <v>259</v>
      </c>
      <c r="R22" s="10"/>
      <c r="S22" s="1" t="s">
        <v>5</v>
      </c>
      <c r="T22" s="10"/>
    </row>
    <row r="23">
      <c r="A23" s="1" t="s">
        <v>299</v>
      </c>
      <c r="B23" s="1" t="s">
        <v>225</v>
      </c>
      <c r="C23" s="1" t="s">
        <v>233</v>
      </c>
      <c r="D23" s="1" t="s">
        <v>234</v>
      </c>
      <c r="E23" s="1">
        <v>8.987592914E9</v>
      </c>
      <c r="F23" s="1">
        <v>1.8402565546E10</v>
      </c>
      <c r="H23" s="1" t="s">
        <v>300</v>
      </c>
      <c r="I23" s="1" t="s">
        <v>229</v>
      </c>
      <c r="J23" s="1" t="s">
        <v>261</v>
      </c>
      <c r="K23" s="1" t="s">
        <v>247</v>
      </c>
      <c r="L23" s="1" t="s">
        <v>236</v>
      </c>
      <c r="M23" s="9">
        <v>45770.0</v>
      </c>
      <c r="N23" s="11"/>
      <c r="O23" s="11"/>
      <c r="Q23" s="1" t="s">
        <v>234</v>
      </c>
      <c r="R23" s="10"/>
      <c r="S23" s="1" t="s">
        <v>5</v>
      </c>
      <c r="T23" s="10"/>
    </row>
    <row r="24" ht="26.25" customHeight="1">
      <c r="A24" s="1" t="s">
        <v>301</v>
      </c>
      <c r="B24" s="1" t="s">
        <v>225</v>
      </c>
      <c r="C24" s="1" t="s">
        <v>302</v>
      </c>
      <c r="D24" s="1" t="s">
        <v>303</v>
      </c>
      <c r="E24" s="1">
        <v>9.412594506E9</v>
      </c>
      <c r="F24" s="1">
        <v>1.8402561158E10</v>
      </c>
      <c r="H24" s="10"/>
      <c r="I24" s="1" t="s">
        <v>229</v>
      </c>
      <c r="J24" s="10"/>
      <c r="K24" s="1" t="s">
        <v>230</v>
      </c>
      <c r="L24" s="1" t="s">
        <v>256</v>
      </c>
      <c r="M24" s="9">
        <v>45827.0</v>
      </c>
      <c r="N24" s="11"/>
      <c r="O24" s="9">
        <v>45985.0</v>
      </c>
      <c r="Q24" s="1" t="s">
        <v>304</v>
      </c>
      <c r="R24" s="10"/>
      <c r="S24" s="1" t="s">
        <v>5</v>
      </c>
      <c r="T24" s="10"/>
    </row>
    <row r="25">
      <c r="A25" s="1" t="s">
        <v>305</v>
      </c>
      <c r="B25" s="1" t="s">
        <v>225</v>
      </c>
      <c r="C25" s="1" t="s">
        <v>270</v>
      </c>
      <c r="D25" s="1" t="s">
        <v>271</v>
      </c>
      <c r="E25" s="1">
        <v>9.212952335E9</v>
      </c>
      <c r="F25" s="1">
        <v>1.8402568518E10</v>
      </c>
      <c r="H25" s="1" t="s">
        <v>306</v>
      </c>
      <c r="I25" s="1" t="s">
        <v>229</v>
      </c>
      <c r="J25" s="10"/>
      <c r="K25" s="1" t="s">
        <v>247</v>
      </c>
      <c r="L25" s="1" t="s">
        <v>236</v>
      </c>
      <c r="M25" s="9">
        <v>45799.0</v>
      </c>
      <c r="N25" s="11"/>
      <c r="O25" s="11"/>
      <c r="Q25" s="1" t="s">
        <v>271</v>
      </c>
      <c r="R25" s="10"/>
      <c r="S25" s="1" t="s">
        <v>5</v>
      </c>
      <c r="T25" s="10"/>
    </row>
    <row r="26">
      <c r="A26" s="1" t="s">
        <v>307</v>
      </c>
      <c r="B26" s="1" t="s">
        <v>225</v>
      </c>
      <c r="C26" s="1" t="s">
        <v>233</v>
      </c>
      <c r="D26" s="1" t="s">
        <v>234</v>
      </c>
      <c r="E26" s="1">
        <v>9.910630591E9</v>
      </c>
      <c r="F26" s="1">
        <v>1.8402565546E10</v>
      </c>
      <c r="G26" s="10"/>
      <c r="H26" s="1" t="s">
        <v>308</v>
      </c>
      <c r="I26" s="1" t="s">
        <v>229</v>
      </c>
      <c r="J26" s="1" t="s">
        <v>251</v>
      </c>
      <c r="K26" s="1" t="s">
        <v>33</v>
      </c>
      <c r="L26" s="1" t="s">
        <v>248</v>
      </c>
      <c r="M26" s="9">
        <v>45896.0</v>
      </c>
      <c r="N26" s="11"/>
      <c r="O26" s="11"/>
      <c r="Q26" s="1" t="s">
        <v>234</v>
      </c>
      <c r="R26" s="10"/>
      <c r="S26" s="1" t="s">
        <v>5</v>
      </c>
      <c r="T26" s="10"/>
    </row>
    <row r="27">
      <c r="A27" s="1" t="s">
        <v>309</v>
      </c>
      <c r="B27" s="1" t="s">
        <v>29</v>
      </c>
      <c r="C27" s="1" t="s">
        <v>286</v>
      </c>
      <c r="D27" s="1" t="s">
        <v>287</v>
      </c>
      <c r="E27" s="1">
        <v>1.1428967324E10</v>
      </c>
      <c r="F27" s="1">
        <v>1.8402617065E10</v>
      </c>
      <c r="G27" s="10"/>
      <c r="H27" s="1" t="s">
        <v>310</v>
      </c>
      <c r="I27" s="1" t="s">
        <v>31</v>
      </c>
      <c r="J27" s="1" t="s">
        <v>251</v>
      </c>
      <c r="K27" s="1" t="s">
        <v>230</v>
      </c>
      <c r="L27" s="1" t="s">
        <v>236</v>
      </c>
      <c r="M27" s="9">
        <v>46071.0</v>
      </c>
      <c r="N27" s="11"/>
      <c r="O27" s="11"/>
      <c r="Q27" s="10"/>
      <c r="R27" s="10"/>
      <c r="S27" s="1" t="s">
        <v>5</v>
      </c>
      <c r="T27" s="10"/>
    </row>
    <row r="28">
      <c r="A28" s="1" t="s">
        <v>311</v>
      </c>
      <c r="B28" s="1" t="s">
        <v>225</v>
      </c>
      <c r="C28" s="1" t="s">
        <v>280</v>
      </c>
      <c r="D28" s="1" t="s">
        <v>281</v>
      </c>
      <c r="E28" s="1">
        <v>1.8047300561E10</v>
      </c>
      <c r="F28" s="1">
        <v>1.8402563866E10</v>
      </c>
      <c r="H28" s="10"/>
      <c r="I28" s="1" t="s">
        <v>229</v>
      </c>
      <c r="J28" s="10"/>
      <c r="K28" s="1" t="s">
        <v>247</v>
      </c>
      <c r="L28" s="1" t="s">
        <v>236</v>
      </c>
      <c r="M28" s="9">
        <v>45925.0</v>
      </c>
      <c r="N28" s="11"/>
      <c r="O28" s="9">
        <v>45985.0</v>
      </c>
      <c r="Q28" s="1" t="s">
        <v>281</v>
      </c>
      <c r="R28" s="10"/>
      <c r="S28" s="1" t="s">
        <v>5</v>
      </c>
      <c r="T28" s="10"/>
    </row>
    <row r="29">
      <c r="A29" s="1" t="s">
        <v>312</v>
      </c>
      <c r="B29" s="1" t="s">
        <v>225</v>
      </c>
      <c r="C29" s="1" t="s">
        <v>258</v>
      </c>
      <c r="D29" s="1" t="s">
        <v>259</v>
      </c>
      <c r="E29" s="1">
        <v>8.844790265E9</v>
      </c>
      <c r="F29" s="1">
        <v>1.8402564676E10</v>
      </c>
      <c r="H29" s="1" t="s">
        <v>313</v>
      </c>
      <c r="I29" s="1" t="s">
        <v>229</v>
      </c>
      <c r="J29" s="10"/>
      <c r="K29" s="1" t="s">
        <v>39</v>
      </c>
      <c r="L29" s="1" t="s">
        <v>236</v>
      </c>
      <c r="M29" s="9">
        <v>45749.0</v>
      </c>
      <c r="N29" s="11"/>
      <c r="O29" s="9">
        <v>45805.0</v>
      </c>
      <c r="Q29" s="1" t="s">
        <v>259</v>
      </c>
      <c r="R29" s="10"/>
      <c r="S29" s="1" t="s">
        <v>5</v>
      </c>
      <c r="T29" s="10"/>
    </row>
    <row r="30">
      <c r="A30" s="1" t="s">
        <v>314</v>
      </c>
      <c r="B30" s="1" t="s">
        <v>225</v>
      </c>
      <c r="C30" s="1" t="s">
        <v>233</v>
      </c>
      <c r="D30" s="1" t="s">
        <v>234</v>
      </c>
      <c r="E30" s="1">
        <v>9.352347948E9</v>
      </c>
      <c r="F30" s="1">
        <v>1.8402565546E10</v>
      </c>
      <c r="G30" s="10"/>
      <c r="H30" s="1" t="s">
        <v>315</v>
      </c>
      <c r="I30" s="1" t="s">
        <v>229</v>
      </c>
      <c r="J30" s="10"/>
      <c r="K30" s="1" t="s">
        <v>247</v>
      </c>
      <c r="L30" s="1" t="s">
        <v>236</v>
      </c>
      <c r="M30" s="9">
        <v>45819.0</v>
      </c>
      <c r="N30" s="11"/>
      <c r="O30" s="11"/>
      <c r="Q30" s="1" t="s">
        <v>234</v>
      </c>
      <c r="R30" s="10"/>
      <c r="S30" s="1" t="s">
        <v>5</v>
      </c>
      <c r="T30" s="10"/>
    </row>
    <row r="31">
      <c r="A31" s="1" t="s">
        <v>316</v>
      </c>
      <c r="B31" s="1" t="s">
        <v>29</v>
      </c>
      <c r="C31" s="1" t="s">
        <v>253</v>
      </c>
      <c r="D31" s="1" t="s">
        <v>254</v>
      </c>
      <c r="E31" s="1">
        <v>8.564192033E9</v>
      </c>
      <c r="F31" s="1">
        <v>1.8402568372E10</v>
      </c>
      <c r="G31" s="10"/>
      <c r="H31" s="10"/>
      <c r="I31" s="1" t="s">
        <v>317</v>
      </c>
      <c r="J31" s="1" t="s">
        <v>261</v>
      </c>
      <c r="K31" s="1" t="s">
        <v>247</v>
      </c>
      <c r="L31" s="1" t="s">
        <v>231</v>
      </c>
      <c r="M31" s="9">
        <v>45713.0</v>
      </c>
      <c r="N31" s="11"/>
      <c r="O31" s="11"/>
      <c r="Q31" s="1" t="s">
        <v>254</v>
      </c>
      <c r="R31" s="10"/>
      <c r="S31" s="1" t="s">
        <v>5</v>
      </c>
      <c r="T31" s="10"/>
    </row>
    <row r="32">
      <c r="A32" s="1" t="s">
        <v>318</v>
      </c>
      <c r="B32" s="1" t="s">
        <v>29</v>
      </c>
      <c r="C32" s="1" t="s">
        <v>286</v>
      </c>
      <c r="D32" s="1" t="s">
        <v>287</v>
      </c>
      <c r="E32" s="1">
        <v>1.1428971401E10</v>
      </c>
      <c r="F32" s="1">
        <v>1.8402617065E10</v>
      </c>
      <c r="G32" s="10"/>
      <c r="H32" s="10"/>
      <c r="I32" s="1" t="s">
        <v>317</v>
      </c>
      <c r="J32" s="1" t="s">
        <v>261</v>
      </c>
      <c r="K32" s="1" t="s">
        <v>247</v>
      </c>
      <c r="L32" s="1" t="s">
        <v>256</v>
      </c>
      <c r="M32" s="9">
        <v>45735.0</v>
      </c>
      <c r="N32" s="11"/>
      <c r="O32" s="11"/>
      <c r="Q32" s="10"/>
      <c r="R32" s="10"/>
      <c r="S32" s="1" t="s">
        <v>5</v>
      </c>
      <c r="T32" s="10"/>
    </row>
    <row r="33">
      <c r="A33" s="1" t="s">
        <v>319</v>
      </c>
      <c r="B33" s="1" t="s">
        <v>225</v>
      </c>
      <c r="C33" s="1" t="s">
        <v>280</v>
      </c>
      <c r="D33" s="1" t="s">
        <v>281</v>
      </c>
      <c r="E33" s="1">
        <v>9.750298591E9</v>
      </c>
      <c r="F33" s="1">
        <v>1.8402563866E10</v>
      </c>
      <c r="G33" s="10"/>
      <c r="H33" s="1" t="s">
        <v>320</v>
      </c>
      <c r="I33" s="1" t="s">
        <v>229</v>
      </c>
      <c r="J33" s="10"/>
      <c r="K33" s="1" t="s">
        <v>247</v>
      </c>
      <c r="L33" s="1" t="s">
        <v>236</v>
      </c>
      <c r="M33" s="9">
        <v>45874.0</v>
      </c>
      <c r="N33" s="11"/>
      <c r="O33" s="9">
        <v>45985.0</v>
      </c>
      <c r="Q33" s="1" t="s">
        <v>281</v>
      </c>
      <c r="R33" s="10"/>
      <c r="S33" s="1" t="s">
        <v>5</v>
      </c>
      <c r="T33" s="10"/>
    </row>
    <row r="34">
      <c r="A34" s="1" t="s">
        <v>321</v>
      </c>
      <c r="B34" s="1" t="s">
        <v>29</v>
      </c>
      <c r="C34" s="1" t="s">
        <v>322</v>
      </c>
      <c r="D34" s="1" t="s">
        <v>323</v>
      </c>
      <c r="E34" s="1">
        <v>9.408382833E9</v>
      </c>
      <c r="F34" s="1">
        <v>1.8402567457E10</v>
      </c>
      <c r="G34" s="10"/>
      <c r="H34" s="10"/>
      <c r="I34" s="1" t="s">
        <v>317</v>
      </c>
      <c r="J34" s="1" t="s">
        <v>261</v>
      </c>
      <c r="K34" s="1" t="s">
        <v>230</v>
      </c>
      <c r="L34" s="1" t="s">
        <v>256</v>
      </c>
      <c r="M34" s="9">
        <v>45826.0</v>
      </c>
      <c r="N34" s="11"/>
      <c r="O34" s="11"/>
      <c r="Q34" s="1" t="s">
        <v>323</v>
      </c>
      <c r="R34" s="10"/>
      <c r="S34" s="1" t="s">
        <v>5</v>
      </c>
      <c r="T34" s="10"/>
    </row>
    <row r="35">
      <c r="A35" s="1" t="s">
        <v>324</v>
      </c>
      <c r="B35" s="1" t="s">
        <v>225</v>
      </c>
      <c r="C35" s="1" t="s">
        <v>238</v>
      </c>
      <c r="D35" s="1" t="s">
        <v>239</v>
      </c>
      <c r="E35" s="1">
        <v>8.608512676E9</v>
      </c>
      <c r="F35" s="1">
        <v>1.8402568111E10</v>
      </c>
      <c r="H35" s="10"/>
      <c r="I35" s="1" t="s">
        <v>229</v>
      </c>
      <c r="J35" s="10"/>
      <c r="K35" s="1" t="s">
        <v>247</v>
      </c>
      <c r="L35" s="1" t="s">
        <v>240</v>
      </c>
      <c r="M35" s="9">
        <v>45719.0</v>
      </c>
      <c r="N35" s="11"/>
      <c r="O35" s="9">
        <v>46010.0</v>
      </c>
      <c r="Q35" s="1" t="s">
        <v>241</v>
      </c>
      <c r="R35" s="10"/>
      <c r="S35" s="1" t="s">
        <v>5</v>
      </c>
      <c r="T35" s="10"/>
    </row>
    <row r="36" ht="22.5" customHeight="1">
      <c r="A36" s="1" t="s">
        <v>325</v>
      </c>
      <c r="B36" s="1" t="s">
        <v>29</v>
      </c>
      <c r="C36" s="1" t="s">
        <v>292</v>
      </c>
      <c r="D36" s="1" t="s">
        <v>293</v>
      </c>
      <c r="E36" s="1">
        <v>1.1309490784E10</v>
      </c>
      <c r="F36" s="1">
        <v>1.8402565219E10</v>
      </c>
      <c r="H36" s="10"/>
      <c r="I36" s="1" t="s">
        <v>31</v>
      </c>
      <c r="J36" s="10"/>
      <c r="K36" s="1" t="s">
        <v>247</v>
      </c>
      <c r="L36" s="1" t="s">
        <v>236</v>
      </c>
      <c r="M36" s="9">
        <v>46071.0</v>
      </c>
      <c r="N36" s="9">
        <v>46085.0</v>
      </c>
      <c r="O36" s="11"/>
      <c r="Q36" s="1" t="s">
        <v>293</v>
      </c>
      <c r="R36" s="10"/>
      <c r="S36" s="1" t="s">
        <v>5</v>
      </c>
      <c r="T36" s="10"/>
    </row>
    <row r="37" ht="18.0" customHeight="1">
      <c r="A37" s="1" t="s">
        <v>326</v>
      </c>
      <c r="B37" s="1" t="s">
        <v>29</v>
      </c>
      <c r="C37" s="1" t="s">
        <v>292</v>
      </c>
      <c r="D37" s="1" t="s">
        <v>293</v>
      </c>
      <c r="E37" s="1">
        <v>1.1309417699E10</v>
      </c>
      <c r="F37" s="1">
        <v>1.8402565219E10</v>
      </c>
      <c r="H37" s="10"/>
      <c r="I37" s="1" t="s">
        <v>31</v>
      </c>
      <c r="J37" s="1" t="s">
        <v>261</v>
      </c>
      <c r="K37" s="1" t="s">
        <v>247</v>
      </c>
      <c r="L37" s="1" t="s">
        <v>268</v>
      </c>
      <c r="M37" s="9">
        <v>46071.0</v>
      </c>
      <c r="N37" s="9">
        <v>46085.0</v>
      </c>
      <c r="O37" s="11"/>
      <c r="Q37" s="1" t="s">
        <v>293</v>
      </c>
      <c r="R37" s="10"/>
      <c r="S37" s="1" t="s">
        <v>5</v>
      </c>
      <c r="T37" s="10"/>
    </row>
    <row r="38">
      <c r="A38" s="1" t="s">
        <v>327</v>
      </c>
      <c r="B38" s="1" t="s">
        <v>225</v>
      </c>
      <c r="C38" s="1" t="s">
        <v>253</v>
      </c>
      <c r="D38" s="1" t="s">
        <v>254</v>
      </c>
      <c r="E38" s="1">
        <v>8.474092336E9</v>
      </c>
      <c r="F38" s="1">
        <v>1.8402568372E10</v>
      </c>
      <c r="H38" s="1" t="s">
        <v>328</v>
      </c>
      <c r="I38" s="1" t="s">
        <v>229</v>
      </c>
      <c r="J38" s="10"/>
      <c r="K38" s="1" t="s">
        <v>33</v>
      </c>
      <c r="L38" s="1" t="s">
        <v>329</v>
      </c>
      <c r="M38" s="9">
        <v>45701.0</v>
      </c>
      <c r="N38" s="11"/>
      <c r="O38" s="9">
        <v>45722.0</v>
      </c>
      <c r="Q38" s="1" t="s">
        <v>254</v>
      </c>
      <c r="R38" s="10"/>
      <c r="S38" s="1" t="s">
        <v>5</v>
      </c>
      <c r="T38" s="10"/>
    </row>
    <row r="39">
      <c r="A39" s="1" t="s">
        <v>330</v>
      </c>
      <c r="B39" s="1" t="s">
        <v>225</v>
      </c>
      <c r="C39" s="1" t="s">
        <v>238</v>
      </c>
      <c r="D39" s="1" t="s">
        <v>239</v>
      </c>
      <c r="E39" s="1">
        <v>9.433757764E9</v>
      </c>
      <c r="F39" s="1">
        <v>1.8402568111E10</v>
      </c>
      <c r="H39" s="10"/>
      <c r="I39" s="1" t="s">
        <v>229</v>
      </c>
      <c r="J39" s="10"/>
      <c r="K39" s="1" t="s">
        <v>39</v>
      </c>
      <c r="L39" s="1" t="s">
        <v>236</v>
      </c>
      <c r="M39" s="9">
        <v>45831.0</v>
      </c>
      <c r="N39" s="11"/>
      <c r="O39" s="9">
        <v>46010.0</v>
      </c>
      <c r="Q39" s="1" t="s">
        <v>241</v>
      </c>
      <c r="R39" s="10"/>
      <c r="S39" s="1" t="s">
        <v>5</v>
      </c>
      <c r="T39" s="10"/>
    </row>
    <row r="40">
      <c r="A40" s="1" t="s">
        <v>331</v>
      </c>
      <c r="B40" s="1" t="s">
        <v>29</v>
      </c>
      <c r="C40" s="1" t="s">
        <v>233</v>
      </c>
      <c r="D40" s="1" t="s">
        <v>234</v>
      </c>
      <c r="E40" s="1">
        <v>9.765924707E9</v>
      </c>
      <c r="F40" s="1">
        <v>1.8402565546E10</v>
      </c>
      <c r="G40" s="10"/>
      <c r="H40" s="10"/>
      <c r="I40" s="1" t="s">
        <v>294</v>
      </c>
      <c r="J40" s="1" t="s">
        <v>267</v>
      </c>
      <c r="K40" s="1" t="s">
        <v>230</v>
      </c>
      <c r="L40" s="1" t="s">
        <v>236</v>
      </c>
      <c r="M40" s="9">
        <v>45876.0</v>
      </c>
      <c r="N40" s="11"/>
      <c r="O40" s="11"/>
      <c r="Q40" s="1" t="s">
        <v>234</v>
      </c>
      <c r="R40" s="10"/>
      <c r="S40" s="1" t="s">
        <v>5</v>
      </c>
      <c r="T40" s="10"/>
    </row>
    <row r="41">
      <c r="A41" s="1" t="s">
        <v>332</v>
      </c>
      <c r="B41" s="1" t="s">
        <v>225</v>
      </c>
      <c r="C41" s="1" t="s">
        <v>280</v>
      </c>
      <c r="D41" s="1" t="s">
        <v>281</v>
      </c>
      <c r="E41" s="1">
        <v>1.0750482927E10</v>
      </c>
      <c r="F41" s="1">
        <v>1.8402563866E10</v>
      </c>
      <c r="G41" s="10"/>
      <c r="H41" s="1" t="s">
        <v>333</v>
      </c>
      <c r="I41" s="1" t="s">
        <v>229</v>
      </c>
      <c r="J41" s="10"/>
      <c r="K41" s="1" t="s">
        <v>247</v>
      </c>
      <c r="L41" s="1" t="s">
        <v>236</v>
      </c>
      <c r="M41" s="9">
        <v>46001.0</v>
      </c>
      <c r="N41" s="11"/>
      <c r="O41" s="9">
        <v>46010.0</v>
      </c>
      <c r="Q41" s="1" t="s">
        <v>281</v>
      </c>
      <c r="R41" s="10"/>
      <c r="S41" s="1" t="s">
        <v>5</v>
      </c>
      <c r="T41" s="10"/>
    </row>
    <row r="42">
      <c r="A42" s="1" t="s">
        <v>334</v>
      </c>
      <c r="B42" s="1" t="s">
        <v>29</v>
      </c>
      <c r="C42" s="1" t="s">
        <v>258</v>
      </c>
      <c r="D42" s="1" t="s">
        <v>259</v>
      </c>
      <c r="E42" s="1">
        <v>1.8357829667E10</v>
      </c>
      <c r="F42" s="1">
        <v>1.8402564676E10</v>
      </c>
      <c r="G42" s="10"/>
      <c r="H42" s="1" t="s">
        <v>335</v>
      </c>
      <c r="I42" s="1" t="s">
        <v>31</v>
      </c>
      <c r="J42" s="1" t="s">
        <v>251</v>
      </c>
      <c r="K42" s="1" t="s">
        <v>247</v>
      </c>
      <c r="L42" s="1" t="s">
        <v>236</v>
      </c>
      <c r="M42" s="9">
        <v>45966.0</v>
      </c>
      <c r="N42" s="11"/>
      <c r="O42" s="11"/>
      <c r="Q42" s="1" t="s">
        <v>259</v>
      </c>
      <c r="R42" s="10"/>
      <c r="S42" s="1" t="s">
        <v>5</v>
      </c>
      <c r="T42" s="10"/>
    </row>
    <row r="43">
      <c r="A43" s="1" t="s">
        <v>336</v>
      </c>
      <c r="B43" s="1" t="s">
        <v>225</v>
      </c>
      <c r="C43" s="1" t="s">
        <v>270</v>
      </c>
      <c r="D43" s="1" t="s">
        <v>271</v>
      </c>
      <c r="E43" s="1">
        <v>8.979345875E9</v>
      </c>
      <c r="F43" s="1">
        <v>1.8402568518E10</v>
      </c>
      <c r="G43" s="10"/>
      <c r="H43" s="10"/>
      <c r="I43" s="1" t="s">
        <v>229</v>
      </c>
      <c r="J43" s="10"/>
      <c r="K43" s="1" t="s">
        <v>230</v>
      </c>
      <c r="L43" s="1" t="s">
        <v>236</v>
      </c>
      <c r="M43" s="9">
        <v>45769.0</v>
      </c>
      <c r="N43" s="11"/>
      <c r="O43" s="9">
        <v>45867.0</v>
      </c>
      <c r="Q43" s="1" t="s">
        <v>271</v>
      </c>
      <c r="R43" s="10"/>
      <c r="S43" s="1" t="s">
        <v>5</v>
      </c>
      <c r="T43" s="10"/>
    </row>
    <row r="44">
      <c r="A44" s="1" t="s">
        <v>337</v>
      </c>
      <c r="B44" s="1" t="s">
        <v>225</v>
      </c>
      <c r="C44" s="1" t="s">
        <v>253</v>
      </c>
      <c r="D44" s="1" t="s">
        <v>254</v>
      </c>
      <c r="E44" s="1">
        <v>8.67112414E9</v>
      </c>
      <c r="F44" s="1">
        <v>1.8402568372E10</v>
      </c>
      <c r="G44" s="10"/>
      <c r="H44" s="1" t="s">
        <v>338</v>
      </c>
      <c r="I44" s="1" t="s">
        <v>229</v>
      </c>
      <c r="J44" s="10"/>
      <c r="K44" s="1" t="s">
        <v>247</v>
      </c>
      <c r="L44" s="1" t="s">
        <v>256</v>
      </c>
      <c r="M44" s="9">
        <v>45727.0</v>
      </c>
      <c r="N44" s="11"/>
      <c r="O44" s="9">
        <v>45896.0</v>
      </c>
      <c r="Q44" s="1" t="s">
        <v>254</v>
      </c>
      <c r="R44" s="10"/>
      <c r="S44" s="1" t="s">
        <v>5</v>
      </c>
      <c r="T44" s="10"/>
    </row>
    <row r="45" ht="20.25" customHeight="1">
      <c r="A45" s="1" t="s">
        <v>337</v>
      </c>
      <c r="B45" s="1" t="s">
        <v>225</v>
      </c>
      <c r="C45" s="1" t="s">
        <v>280</v>
      </c>
      <c r="D45" s="1" t="s">
        <v>281</v>
      </c>
      <c r="E45" s="1">
        <v>1.8047300869E10</v>
      </c>
      <c r="F45" s="1">
        <v>1.8402563866E10</v>
      </c>
      <c r="G45" s="10"/>
      <c r="H45" s="10"/>
      <c r="I45" s="1" t="s">
        <v>229</v>
      </c>
      <c r="J45" s="10"/>
      <c r="K45" s="1" t="s">
        <v>247</v>
      </c>
      <c r="L45" s="1" t="s">
        <v>236</v>
      </c>
      <c r="M45" s="9">
        <v>45925.0</v>
      </c>
      <c r="N45" s="11"/>
      <c r="O45" s="9">
        <v>45985.0</v>
      </c>
      <c r="Q45" s="1" t="s">
        <v>281</v>
      </c>
      <c r="R45" s="10"/>
      <c r="S45" s="1" t="s">
        <v>5</v>
      </c>
      <c r="T45" s="10"/>
    </row>
    <row r="46" ht="28.5" customHeight="1">
      <c r="A46" s="1" t="s">
        <v>339</v>
      </c>
      <c r="B46" s="1" t="s">
        <v>225</v>
      </c>
      <c r="C46" s="1" t="s">
        <v>270</v>
      </c>
      <c r="D46" s="1" t="s">
        <v>271</v>
      </c>
      <c r="E46" s="1">
        <v>8.466008325E9</v>
      </c>
      <c r="F46" s="1">
        <v>1.8402568518E10</v>
      </c>
      <c r="G46" s="10"/>
      <c r="H46" s="1" t="s">
        <v>340</v>
      </c>
      <c r="I46" s="1" t="s">
        <v>229</v>
      </c>
      <c r="J46" s="10"/>
      <c r="K46" s="1" t="s">
        <v>230</v>
      </c>
      <c r="L46" s="1" t="s">
        <v>231</v>
      </c>
      <c r="M46" s="9">
        <v>45700.0</v>
      </c>
      <c r="N46" s="9">
        <v>45738.0</v>
      </c>
      <c r="O46" s="9">
        <v>45827.0</v>
      </c>
      <c r="Q46" s="1" t="s">
        <v>271</v>
      </c>
      <c r="R46" s="10"/>
      <c r="S46" s="1" t="s">
        <v>5</v>
      </c>
      <c r="T46" s="10"/>
    </row>
    <row r="47">
      <c r="A47" s="1" t="s">
        <v>341</v>
      </c>
      <c r="B47" s="1" t="s">
        <v>225</v>
      </c>
      <c r="C47" s="1" t="s">
        <v>276</v>
      </c>
      <c r="D47" s="1" t="s">
        <v>277</v>
      </c>
      <c r="E47" s="1">
        <v>9.035221895E9</v>
      </c>
      <c r="F47" s="1">
        <v>1.8402563983E10</v>
      </c>
      <c r="G47" s="10"/>
      <c r="H47" s="1" t="s">
        <v>342</v>
      </c>
      <c r="I47" s="1" t="s">
        <v>229</v>
      </c>
      <c r="J47" s="10"/>
      <c r="K47" s="1" t="s">
        <v>247</v>
      </c>
      <c r="L47" s="1" t="s">
        <v>236</v>
      </c>
      <c r="M47" s="9">
        <v>45776.0</v>
      </c>
      <c r="N47" s="11"/>
      <c r="O47" s="9">
        <v>46010.0</v>
      </c>
      <c r="Q47" s="1" t="s">
        <v>278</v>
      </c>
      <c r="R47" s="10"/>
      <c r="S47" s="1" t="s">
        <v>5</v>
      </c>
      <c r="T47" s="10"/>
    </row>
    <row r="48">
      <c r="A48" s="1" t="s">
        <v>343</v>
      </c>
      <c r="B48" s="1" t="s">
        <v>29</v>
      </c>
      <c r="C48" s="1" t="s">
        <v>280</v>
      </c>
      <c r="D48" s="1" t="s">
        <v>281</v>
      </c>
      <c r="E48" s="1">
        <v>1.070749652E10</v>
      </c>
      <c r="F48" s="1">
        <v>1.8402563866E10</v>
      </c>
      <c r="H48" s="10"/>
      <c r="I48" s="1" t="s">
        <v>31</v>
      </c>
      <c r="J48" s="1" t="s">
        <v>251</v>
      </c>
      <c r="K48" s="1" t="s">
        <v>230</v>
      </c>
      <c r="L48" s="1" t="s">
        <v>268</v>
      </c>
      <c r="M48" s="9">
        <v>45995.0</v>
      </c>
      <c r="N48" s="9">
        <v>46009.0</v>
      </c>
      <c r="O48" s="11"/>
      <c r="Q48" s="1" t="s">
        <v>281</v>
      </c>
      <c r="R48" s="10"/>
      <c r="S48" s="1" t="s">
        <v>5</v>
      </c>
      <c r="T48" s="10"/>
    </row>
    <row r="49">
      <c r="A49" s="1" t="s">
        <v>344</v>
      </c>
      <c r="B49" s="1" t="s">
        <v>29</v>
      </c>
      <c r="C49" s="1" t="s">
        <v>258</v>
      </c>
      <c r="D49" s="1" t="s">
        <v>259</v>
      </c>
      <c r="E49" s="1">
        <v>8.854269838E9</v>
      </c>
      <c r="F49" s="1">
        <v>1.8402564676E10</v>
      </c>
      <c r="H49" s="1" t="s">
        <v>345</v>
      </c>
      <c r="I49" s="1" t="s">
        <v>31</v>
      </c>
      <c r="J49" s="1" t="s">
        <v>261</v>
      </c>
      <c r="K49" s="1" t="s">
        <v>247</v>
      </c>
      <c r="L49" s="1" t="s">
        <v>240</v>
      </c>
      <c r="M49" s="9">
        <v>45750.0</v>
      </c>
      <c r="N49" s="9">
        <v>45773.0</v>
      </c>
      <c r="O49" s="11"/>
      <c r="Q49" s="1" t="s">
        <v>259</v>
      </c>
      <c r="R49" s="10"/>
      <c r="S49" s="1" t="s">
        <v>5</v>
      </c>
      <c r="T49" s="10"/>
    </row>
    <row r="50">
      <c r="A50" s="1" t="s">
        <v>346</v>
      </c>
      <c r="B50" s="1" t="s">
        <v>29</v>
      </c>
      <c r="C50" s="1" t="s">
        <v>280</v>
      </c>
      <c r="D50" s="1" t="s">
        <v>281</v>
      </c>
      <c r="E50" s="1">
        <v>1.0707498827E10</v>
      </c>
      <c r="F50" s="1">
        <v>1.8402563866E10</v>
      </c>
      <c r="G50" s="10"/>
      <c r="H50" s="10"/>
      <c r="I50" s="1" t="s">
        <v>31</v>
      </c>
      <c r="J50" s="1" t="s">
        <v>251</v>
      </c>
      <c r="K50" s="1" t="s">
        <v>230</v>
      </c>
      <c r="L50" s="1" t="s">
        <v>268</v>
      </c>
      <c r="M50" s="9">
        <v>45995.0</v>
      </c>
      <c r="N50" s="9">
        <v>46009.0</v>
      </c>
      <c r="O50" s="11"/>
      <c r="Q50" s="1" t="s">
        <v>281</v>
      </c>
      <c r="R50" s="10"/>
      <c r="S50" s="1" t="s">
        <v>5</v>
      </c>
      <c r="T50" s="10"/>
    </row>
    <row r="51">
      <c r="A51" s="1" t="s">
        <v>347</v>
      </c>
      <c r="B51" s="1" t="s">
        <v>29</v>
      </c>
      <c r="C51" s="1" t="s">
        <v>245</v>
      </c>
      <c r="D51" s="1" t="s">
        <v>246</v>
      </c>
      <c r="E51" s="1">
        <v>1.1342957634E10</v>
      </c>
      <c r="F51" s="1">
        <v>1.8402564263E10</v>
      </c>
      <c r="G51" s="10"/>
      <c r="H51" s="10"/>
      <c r="I51" s="1" t="s">
        <v>31</v>
      </c>
      <c r="J51" s="10"/>
      <c r="K51" s="1" t="s">
        <v>247</v>
      </c>
      <c r="L51" s="1" t="s">
        <v>240</v>
      </c>
      <c r="M51" s="9">
        <v>45880.0</v>
      </c>
      <c r="N51" s="9">
        <v>45894.0</v>
      </c>
      <c r="O51" s="11"/>
      <c r="Q51" s="1" t="s">
        <v>246</v>
      </c>
      <c r="R51" s="10"/>
      <c r="S51" s="1" t="s">
        <v>5</v>
      </c>
      <c r="T51" s="10"/>
    </row>
    <row r="52">
      <c r="A52" s="1" t="s">
        <v>348</v>
      </c>
      <c r="B52" s="1" t="s">
        <v>29</v>
      </c>
      <c r="C52" s="1" t="s">
        <v>245</v>
      </c>
      <c r="D52" s="1" t="s">
        <v>246</v>
      </c>
      <c r="E52" s="1">
        <v>1.134294468E10</v>
      </c>
      <c r="F52" s="1">
        <v>1.8402564263E10</v>
      </c>
      <c r="G52" s="10"/>
      <c r="H52" s="10"/>
      <c r="I52" s="1" t="s">
        <v>31</v>
      </c>
      <c r="J52" s="10"/>
      <c r="K52" s="1" t="s">
        <v>247</v>
      </c>
      <c r="L52" s="1" t="s">
        <v>268</v>
      </c>
      <c r="M52" s="9">
        <v>45698.0</v>
      </c>
      <c r="N52" s="11"/>
      <c r="O52" s="11"/>
      <c r="Q52" s="1" t="s">
        <v>246</v>
      </c>
      <c r="R52" s="10"/>
      <c r="S52" s="1" t="s">
        <v>5</v>
      </c>
      <c r="T52" s="10"/>
    </row>
    <row r="53">
      <c r="A53" s="1" t="s">
        <v>349</v>
      </c>
      <c r="B53" s="1" t="s">
        <v>225</v>
      </c>
      <c r="C53" s="1" t="s">
        <v>253</v>
      </c>
      <c r="D53" s="1" t="s">
        <v>254</v>
      </c>
      <c r="E53" s="1">
        <v>9.252092685E9</v>
      </c>
      <c r="F53" s="1">
        <v>1.8402568372E10</v>
      </c>
      <c r="G53" s="10"/>
      <c r="H53" s="10"/>
      <c r="I53" s="1" t="s">
        <v>229</v>
      </c>
      <c r="J53" s="10"/>
      <c r="K53" s="1" t="s">
        <v>230</v>
      </c>
      <c r="L53" s="1" t="s">
        <v>236</v>
      </c>
      <c r="M53" s="9">
        <v>45805.0</v>
      </c>
      <c r="N53" s="11"/>
      <c r="O53" s="9">
        <v>45852.0</v>
      </c>
      <c r="Q53" s="1" t="s">
        <v>254</v>
      </c>
      <c r="R53" s="10"/>
      <c r="S53" s="1" t="s">
        <v>5</v>
      </c>
      <c r="T53" s="10"/>
    </row>
    <row r="54">
      <c r="A54" s="1" t="s">
        <v>350</v>
      </c>
      <c r="B54" s="1" t="s">
        <v>225</v>
      </c>
      <c r="C54" s="1" t="s">
        <v>280</v>
      </c>
      <c r="D54" s="1" t="s">
        <v>281</v>
      </c>
      <c r="E54" s="1">
        <v>1.0759894554E10</v>
      </c>
      <c r="F54" s="1">
        <v>1.8402563866E10</v>
      </c>
      <c r="G54" s="10"/>
      <c r="H54" s="10"/>
      <c r="I54" s="1" t="s">
        <v>229</v>
      </c>
      <c r="J54" s="10"/>
      <c r="K54" s="1" t="s">
        <v>247</v>
      </c>
      <c r="L54" s="1" t="s">
        <v>236</v>
      </c>
      <c r="M54" s="9">
        <v>46002.0</v>
      </c>
      <c r="N54" s="11"/>
      <c r="O54" s="9">
        <v>46010.0</v>
      </c>
      <c r="Q54" s="1" t="s">
        <v>281</v>
      </c>
      <c r="R54" s="10"/>
      <c r="S54" s="1" t="s">
        <v>5</v>
      </c>
      <c r="T54" s="10"/>
    </row>
    <row r="55">
      <c r="A55" s="1" t="s">
        <v>351</v>
      </c>
      <c r="B55" s="1" t="s">
        <v>225</v>
      </c>
      <c r="C55" s="1" t="s">
        <v>258</v>
      </c>
      <c r="D55" s="1" t="s">
        <v>259</v>
      </c>
      <c r="E55" s="1">
        <v>8.576513615E9</v>
      </c>
      <c r="F55" s="1">
        <v>1.8402564676E10</v>
      </c>
      <c r="H55" s="1" t="s">
        <v>352</v>
      </c>
      <c r="I55" s="1" t="s">
        <v>229</v>
      </c>
      <c r="J55" s="10"/>
      <c r="K55" s="1" t="s">
        <v>247</v>
      </c>
      <c r="L55" s="1" t="s">
        <v>240</v>
      </c>
      <c r="M55" s="9">
        <v>45714.0</v>
      </c>
      <c r="N55" s="9">
        <v>45721.0</v>
      </c>
      <c r="O55" s="11"/>
      <c r="Q55" s="1" t="s">
        <v>259</v>
      </c>
      <c r="R55" s="10"/>
      <c r="S55" s="1" t="s">
        <v>5</v>
      </c>
      <c r="T55" s="10"/>
    </row>
    <row r="56">
      <c r="A56" s="1" t="s">
        <v>353</v>
      </c>
      <c r="B56" s="1" t="s">
        <v>225</v>
      </c>
      <c r="C56" s="1" t="s">
        <v>322</v>
      </c>
      <c r="D56" s="1" t="s">
        <v>323</v>
      </c>
      <c r="E56" s="1">
        <v>8.906923019E9</v>
      </c>
      <c r="F56" s="1">
        <v>1.8402567457E10</v>
      </c>
      <c r="G56" s="10"/>
      <c r="H56" s="1" t="s">
        <v>354</v>
      </c>
      <c r="I56" s="1" t="s">
        <v>229</v>
      </c>
      <c r="J56" s="10"/>
      <c r="K56" s="1" t="s">
        <v>39</v>
      </c>
      <c r="L56" s="1" t="s">
        <v>268</v>
      </c>
      <c r="M56" s="9">
        <v>45757.0</v>
      </c>
      <c r="N56" s="11"/>
      <c r="O56" s="9">
        <v>46010.0</v>
      </c>
      <c r="Q56" s="1" t="s">
        <v>323</v>
      </c>
      <c r="R56" s="10"/>
      <c r="S56" s="1" t="s">
        <v>5</v>
      </c>
      <c r="T56" s="10"/>
    </row>
    <row r="57">
      <c r="A57" s="1" t="s">
        <v>355</v>
      </c>
      <c r="B57" s="1" t="s">
        <v>225</v>
      </c>
      <c r="C57" s="1" t="s">
        <v>253</v>
      </c>
      <c r="D57" s="1" t="s">
        <v>254</v>
      </c>
      <c r="E57" s="1">
        <v>9.819767522E9</v>
      </c>
      <c r="F57" s="1">
        <v>1.8402568372E10</v>
      </c>
      <c r="G57" s="10"/>
      <c r="H57" s="1" t="s">
        <v>356</v>
      </c>
      <c r="I57" s="1" t="s">
        <v>229</v>
      </c>
      <c r="J57" s="10"/>
      <c r="K57" s="1" t="s">
        <v>230</v>
      </c>
      <c r="L57" s="1" t="s">
        <v>231</v>
      </c>
      <c r="M57" s="9">
        <v>45698.0</v>
      </c>
      <c r="N57" s="11"/>
      <c r="O57" s="9">
        <v>45938.0</v>
      </c>
      <c r="Q57" s="1" t="s">
        <v>254</v>
      </c>
      <c r="R57" s="10"/>
      <c r="S57" s="1" t="s">
        <v>5</v>
      </c>
      <c r="T57" s="10"/>
    </row>
    <row r="58">
      <c r="A58" s="1" t="s">
        <v>357</v>
      </c>
      <c r="B58" s="1" t="s">
        <v>225</v>
      </c>
      <c r="C58" s="1" t="s">
        <v>233</v>
      </c>
      <c r="D58" s="1" t="s">
        <v>234</v>
      </c>
      <c r="E58" s="1">
        <v>8.987299473E9</v>
      </c>
      <c r="F58" s="1">
        <v>1.8402565546E10</v>
      </c>
      <c r="G58" s="10"/>
      <c r="H58" s="1" t="s">
        <v>358</v>
      </c>
      <c r="I58" s="1" t="s">
        <v>229</v>
      </c>
      <c r="J58" s="10"/>
      <c r="K58" s="1" t="s">
        <v>39</v>
      </c>
      <c r="L58" s="1" t="s">
        <v>236</v>
      </c>
      <c r="M58" s="9">
        <v>45770.0</v>
      </c>
      <c r="N58" s="11"/>
      <c r="O58" s="11"/>
      <c r="Q58" s="1" t="s">
        <v>234</v>
      </c>
      <c r="R58" s="10"/>
      <c r="S58" s="1" t="s">
        <v>5</v>
      </c>
      <c r="T58" s="10"/>
    </row>
    <row r="59">
      <c r="A59" s="1" t="s">
        <v>359</v>
      </c>
      <c r="B59" s="1" t="s">
        <v>225</v>
      </c>
      <c r="C59" s="1" t="s">
        <v>233</v>
      </c>
      <c r="D59" s="1" t="s">
        <v>234</v>
      </c>
      <c r="E59" s="1">
        <v>8.720152187E9</v>
      </c>
      <c r="F59" s="1">
        <v>1.8402565546E10</v>
      </c>
      <c r="G59" s="10"/>
      <c r="H59" s="1" t="s">
        <v>360</v>
      </c>
      <c r="I59" s="1" t="s">
        <v>229</v>
      </c>
      <c r="J59" s="10"/>
      <c r="K59" s="1" t="s">
        <v>230</v>
      </c>
      <c r="L59" s="1" t="s">
        <v>236</v>
      </c>
      <c r="M59" s="9">
        <v>45734.0</v>
      </c>
      <c r="N59" s="11"/>
      <c r="O59" s="11"/>
      <c r="Q59" s="1" t="s">
        <v>234</v>
      </c>
      <c r="R59" s="10"/>
      <c r="S59" s="1" t="s">
        <v>5</v>
      </c>
      <c r="T59" s="10"/>
    </row>
    <row r="60">
      <c r="A60" s="1" t="s">
        <v>361</v>
      </c>
      <c r="B60" s="1" t="s">
        <v>225</v>
      </c>
      <c r="C60" s="1" t="s">
        <v>233</v>
      </c>
      <c r="D60" s="1" t="s">
        <v>234</v>
      </c>
      <c r="E60" s="1">
        <v>8.720140139E9</v>
      </c>
      <c r="F60" s="1">
        <v>1.8402565546E10</v>
      </c>
      <c r="G60" s="10"/>
      <c r="H60" s="1" t="s">
        <v>362</v>
      </c>
      <c r="I60" s="1" t="s">
        <v>229</v>
      </c>
      <c r="J60" s="1" t="s">
        <v>363</v>
      </c>
      <c r="K60" s="1" t="s">
        <v>230</v>
      </c>
      <c r="L60" s="1" t="s">
        <v>236</v>
      </c>
      <c r="M60" s="9">
        <v>45698.0</v>
      </c>
      <c r="N60" s="11"/>
      <c r="O60" s="11"/>
      <c r="Q60" s="1" t="s">
        <v>234</v>
      </c>
      <c r="R60" s="10"/>
      <c r="S60" s="1" t="s">
        <v>5</v>
      </c>
      <c r="T60" s="10"/>
    </row>
    <row r="61">
      <c r="A61" s="1" t="s">
        <v>364</v>
      </c>
      <c r="B61" s="1" t="s">
        <v>225</v>
      </c>
      <c r="C61" s="1" t="s">
        <v>253</v>
      </c>
      <c r="D61" s="1" t="s">
        <v>254</v>
      </c>
      <c r="E61" s="1">
        <v>9.849953482E9</v>
      </c>
      <c r="F61" s="1">
        <v>1.8402568372E10</v>
      </c>
      <c r="H61" s="1" t="s">
        <v>365</v>
      </c>
      <c r="I61" s="1" t="s">
        <v>229</v>
      </c>
      <c r="J61" s="10"/>
      <c r="K61" s="1" t="s">
        <v>247</v>
      </c>
      <c r="L61" s="1" t="s">
        <v>231</v>
      </c>
      <c r="M61" s="9">
        <v>45698.0</v>
      </c>
      <c r="N61" s="11"/>
      <c r="O61" s="9">
        <v>45982.0</v>
      </c>
      <c r="Q61" s="1" t="s">
        <v>254</v>
      </c>
      <c r="R61" s="10"/>
      <c r="S61" s="1" t="s">
        <v>5</v>
      </c>
      <c r="T61" s="10"/>
    </row>
    <row r="62">
      <c r="A62" s="1" t="s">
        <v>366</v>
      </c>
      <c r="B62" s="1" t="s">
        <v>29</v>
      </c>
      <c r="C62" s="1" t="s">
        <v>286</v>
      </c>
      <c r="D62" s="1" t="s">
        <v>287</v>
      </c>
      <c r="E62" s="1">
        <v>1.1428999639E10</v>
      </c>
      <c r="F62" s="1">
        <v>1.8402617065E10</v>
      </c>
      <c r="H62" s="1" t="s">
        <v>367</v>
      </c>
      <c r="I62" s="1" t="s">
        <v>294</v>
      </c>
      <c r="J62" s="1" t="s">
        <v>267</v>
      </c>
      <c r="K62" s="1" t="s">
        <v>247</v>
      </c>
      <c r="L62" s="1" t="s">
        <v>231</v>
      </c>
      <c r="M62" s="9">
        <v>45707.0</v>
      </c>
      <c r="N62" s="9">
        <v>46022.0</v>
      </c>
      <c r="O62" s="11"/>
      <c r="Q62" s="10"/>
      <c r="R62" s="10"/>
      <c r="S62" s="1" t="s">
        <v>5</v>
      </c>
      <c r="T62" s="10"/>
    </row>
    <row r="63">
      <c r="A63" s="1" t="s">
        <v>368</v>
      </c>
      <c r="B63" s="1" t="s">
        <v>29</v>
      </c>
      <c r="C63" s="1" t="s">
        <v>292</v>
      </c>
      <c r="D63" s="1" t="s">
        <v>293</v>
      </c>
      <c r="E63" s="1">
        <v>1.1309574346E10</v>
      </c>
      <c r="F63" s="1">
        <v>1.8402565219E10</v>
      </c>
      <c r="H63" s="10"/>
      <c r="I63" s="1" t="s">
        <v>294</v>
      </c>
      <c r="J63" s="1" t="s">
        <v>267</v>
      </c>
      <c r="K63" s="1" t="s">
        <v>230</v>
      </c>
      <c r="L63" s="1" t="s">
        <v>231</v>
      </c>
      <c r="M63" s="9">
        <v>46071.0</v>
      </c>
      <c r="N63" s="9">
        <v>46085.0</v>
      </c>
      <c r="O63" s="11"/>
      <c r="Q63" s="1" t="s">
        <v>293</v>
      </c>
      <c r="R63" s="10"/>
      <c r="S63" s="1" t="s">
        <v>5</v>
      </c>
      <c r="T63" s="10"/>
    </row>
    <row r="64">
      <c r="A64" s="1" t="s">
        <v>369</v>
      </c>
      <c r="B64" s="1" t="s">
        <v>225</v>
      </c>
      <c r="C64" s="1" t="s">
        <v>226</v>
      </c>
      <c r="D64" s="1" t="s">
        <v>227</v>
      </c>
      <c r="E64" s="1">
        <v>8.992809723E9</v>
      </c>
      <c r="F64" s="1">
        <v>1.8402564488E10</v>
      </c>
      <c r="H64" s="10"/>
      <c r="I64" s="1" t="s">
        <v>229</v>
      </c>
      <c r="J64" s="10"/>
      <c r="K64" s="1" t="s">
        <v>39</v>
      </c>
      <c r="L64" s="1" t="s">
        <v>231</v>
      </c>
      <c r="M64" s="9">
        <v>45770.0</v>
      </c>
      <c r="N64" s="11"/>
      <c r="O64" s="9">
        <v>46001.0</v>
      </c>
      <c r="Q64" s="1" t="s">
        <v>227</v>
      </c>
      <c r="R64" s="10"/>
      <c r="S64" s="1" t="s">
        <v>5</v>
      </c>
      <c r="T64" s="10"/>
    </row>
    <row r="65">
      <c r="A65" s="1" t="s">
        <v>370</v>
      </c>
      <c r="B65" s="1" t="s">
        <v>29</v>
      </c>
      <c r="C65" s="1" t="s">
        <v>276</v>
      </c>
      <c r="D65" s="1" t="s">
        <v>277</v>
      </c>
      <c r="E65" s="1">
        <v>9.269288306E9</v>
      </c>
      <c r="F65" s="1">
        <v>1.8402563983E10</v>
      </c>
      <c r="H65" s="1" t="s">
        <v>371</v>
      </c>
      <c r="I65" s="1" t="s">
        <v>294</v>
      </c>
      <c r="J65" s="10"/>
      <c r="K65" s="1" t="s">
        <v>247</v>
      </c>
      <c r="L65" s="1" t="s">
        <v>236</v>
      </c>
      <c r="M65" s="9">
        <v>45807.0</v>
      </c>
      <c r="N65" s="11"/>
      <c r="O65" s="11"/>
      <c r="Q65" s="1" t="s">
        <v>278</v>
      </c>
      <c r="R65" s="10"/>
      <c r="S65" s="1" t="s">
        <v>5</v>
      </c>
      <c r="T65" s="10"/>
    </row>
    <row r="66">
      <c r="A66" s="1" t="s">
        <v>372</v>
      </c>
      <c r="B66" s="1" t="s">
        <v>29</v>
      </c>
      <c r="C66" s="1" t="s">
        <v>276</v>
      </c>
      <c r="D66" s="1" t="s">
        <v>277</v>
      </c>
      <c r="E66" s="1">
        <v>9.800197993E9</v>
      </c>
      <c r="F66" s="1">
        <v>1.8402563983E10</v>
      </c>
      <c r="H66" s="1" t="s">
        <v>373</v>
      </c>
      <c r="I66" s="1" t="s">
        <v>317</v>
      </c>
      <c r="J66" s="10"/>
      <c r="K66" s="1" t="s">
        <v>247</v>
      </c>
      <c r="L66" s="1" t="s">
        <v>236</v>
      </c>
      <c r="M66" s="9">
        <v>45881.0</v>
      </c>
      <c r="N66" s="9">
        <v>45895.0</v>
      </c>
      <c r="O66" s="11"/>
      <c r="Q66" s="1" t="s">
        <v>278</v>
      </c>
      <c r="R66" s="10"/>
      <c r="S66" s="1" t="s">
        <v>5</v>
      </c>
      <c r="T66" s="10"/>
    </row>
    <row r="67">
      <c r="A67" s="1" t="s">
        <v>374</v>
      </c>
      <c r="B67" s="1" t="s">
        <v>29</v>
      </c>
      <c r="C67" s="1" t="s">
        <v>286</v>
      </c>
      <c r="D67" s="1" t="s">
        <v>287</v>
      </c>
      <c r="E67" s="1">
        <v>1.142896816E10</v>
      </c>
      <c r="F67" s="1">
        <v>1.8402617065E10</v>
      </c>
      <c r="H67" s="1" t="s">
        <v>375</v>
      </c>
      <c r="I67" s="1" t="s">
        <v>31</v>
      </c>
      <c r="J67" s="1" t="s">
        <v>267</v>
      </c>
      <c r="K67" s="1" t="s">
        <v>230</v>
      </c>
      <c r="L67" s="1" t="s">
        <v>268</v>
      </c>
      <c r="M67" s="9">
        <v>46071.0</v>
      </c>
      <c r="N67" s="11"/>
      <c r="O67" s="11"/>
      <c r="Q67" s="10"/>
      <c r="R67" s="10"/>
      <c r="S67" s="1" t="s">
        <v>5</v>
      </c>
      <c r="T67" s="10"/>
    </row>
    <row r="68">
      <c r="A68" s="1" t="s">
        <v>376</v>
      </c>
      <c r="B68" s="1" t="s">
        <v>225</v>
      </c>
      <c r="C68" s="1" t="s">
        <v>233</v>
      </c>
      <c r="D68" s="1" t="s">
        <v>234</v>
      </c>
      <c r="E68" s="1">
        <v>8.987471009E9</v>
      </c>
      <c r="F68" s="1">
        <v>1.8402565546E10</v>
      </c>
      <c r="H68" s="1" t="s">
        <v>377</v>
      </c>
      <c r="I68" s="1" t="s">
        <v>229</v>
      </c>
      <c r="J68" s="10"/>
      <c r="K68" s="1" t="s">
        <v>230</v>
      </c>
      <c r="L68" s="1" t="s">
        <v>236</v>
      </c>
      <c r="M68" s="9">
        <v>45698.0</v>
      </c>
      <c r="N68" s="9">
        <v>45843.0</v>
      </c>
      <c r="O68" s="11"/>
      <c r="Q68" s="1" t="s">
        <v>234</v>
      </c>
      <c r="R68" s="10"/>
      <c r="S68" s="1" t="s">
        <v>5</v>
      </c>
      <c r="T68" s="10"/>
    </row>
    <row r="69">
      <c r="A69" s="1" t="s">
        <v>378</v>
      </c>
      <c r="B69" s="1" t="s">
        <v>225</v>
      </c>
      <c r="C69" s="1" t="s">
        <v>270</v>
      </c>
      <c r="D69" s="1" t="s">
        <v>271</v>
      </c>
      <c r="E69" s="1">
        <v>8.979293464E9</v>
      </c>
      <c r="F69" s="1">
        <v>1.8402568518E10</v>
      </c>
      <c r="G69" s="10"/>
      <c r="H69" s="1" t="s">
        <v>379</v>
      </c>
      <c r="I69" s="1" t="s">
        <v>229</v>
      </c>
      <c r="J69" s="1" t="s">
        <v>251</v>
      </c>
      <c r="K69" s="1" t="s">
        <v>247</v>
      </c>
      <c r="L69" s="1" t="s">
        <v>268</v>
      </c>
      <c r="M69" s="9">
        <v>45769.0</v>
      </c>
      <c r="N69" s="11"/>
      <c r="O69" s="11"/>
      <c r="Q69" s="1" t="s">
        <v>271</v>
      </c>
      <c r="R69" s="10"/>
      <c r="S69" s="1" t="s">
        <v>5</v>
      </c>
      <c r="T69" s="10"/>
    </row>
    <row r="70">
      <c r="A70" s="1" t="s">
        <v>380</v>
      </c>
      <c r="B70" s="1" t="s">
        <v>225</v>
      </c>
      <c r="C70" s="1" t="s">
        <v>280</v>
      </c>
      <c r="D70" s="1" t="s">
        <v>281</v>
      </c>
      <c r="E70" s="1">
        <v>1.073134039E10</v>
      </c>
      <c r="F70" s="1">
        <v>1.8402563866E10</v>
      </c>
      <c r="G70" s="10"/>
      <c r="H70" s="10"/>
      <c r="I70" s="1" t="s">
        <v>229</v>
      </c>
      <c r="J70" s="10"/>
      <c r="K70" s="1" t="s">
        <v>247</v>
      </c>
      <c r="L70" s="1" t="s">
        <v>236</v>
      </c>
      <c r="M70" s="9">
        <v>45698.0</v>
      </c>
      <c r="N70" s="11"/>
      <c r="O70" s="9">
        <v>46010.0</v>
      </c>
      <c r="Q70" s="1" t="s">
        <v>281</v>
      </c>
      <c r="R70" s="10"/>
      <c r="S70" s="1" t="s">
        <v>5</v>
      </c>
      <c r="T70" s="10"/>
    </row>
    <row r="71">
      <c r="A71" s="1" t="s">
        <v>381</v>
      </c>
      <c r="B71" s="1" t="s">
        <v>29</v>
      </c>
      <c r="C71" s="1" t="s">
        <v>276</v>
      </c>
      <c r="D71" s="1" t="s">
        <v>277</v>
      </c>
      <c r="E71" s="1">
        <v>9.985314102E9</v>
      </c>
      <c r="F71" s="1">
        <v>1.8402563983E10</v>
      </c>
      <c r="G71" s="10"/>
      <c r="H71" s="1" t="s">
        <v>382</v>
      </c>
      <c r="I71" s="1" t="s">
        <v>45</v>
      </c>
      <c r="J71" s="10"/>
      <c r="K71" s="1" t="s">
        <v>39</v>
      </c>
      <c r="L71" s="1" t="s">
        <v>236</v>
      </c>
      <c r="M71" s="9">
        <v>45905.0</v>
      </c>
      <c r="N71" s="9">
        <v>46060.0</v>
      </c>
      <c r="O71" s="11"/>
      <c r="Q71" s="1" t="s">
        <v>278</v>
      </c>
      <c r="R71" s="10"/>
      <c r="S71" s="1" t="s">
        <v>5</v>
      </c>
      <c r="T71" s="10"/>
    </row>
    <row r="72">
      <c r="A72" s="1" t="s">
        <v>383</v>
      </c>
      <c r="B72" s="1" t="s">
        <v>225</v>
      </c>
      <c r="C72" s="1" t="s">
        <v>258</v>
      </c>
      <c r="D72" s="1" t="s">
        <v>259</v>
      </c>
      <c r="E72" s="1">
        <v>8.576736658E9</v>
      </c>
      <c r="F72" s="1">
        <v>1.8402564676E10</v>
      </c>
      <c r="G72" s="10"/>
      <c r="H72" s="1" t="s">
        <v>384</v>
      </c>
      <c r="I72" s="1" t="s">
        <v>229</v>
      </c>
      <c r="J72" s="10"/>
      <c r="K72" s="1" t="s">
        <v>243</v>
      </c>
      <c r="L72" s="1" t="s">
        <v>236</v>
      </c>
      <c r="M72" s="9">
        <v>45714.0</v>
      </c>
      <c r="N72" s="9">
        <v>45722.0</v>
      </c>
      <c r="O72" s="11"/>
      <c r="Q72" s="1" t="s">
        <v>259</v>
      </c>
      <c r="R72" s="10"/>
      <c r="S72" s="1" t="s">
        <v>5</v>
      </c>
      <c r="T72" s="10"/>
    </row>
    <row r="73">
      <c r="A73" s="1" t="s">
        <v>385</v>
      </c>
      <c r="B73" s="1" t="s">
        <v>225</v>
      </c>
      <c r="C73" s="1" t="s">
        <v>253</v>
      </c>
      <c r="D73" s="1" t="s">
        <v>254</v>
      </c>
      <c r="E73" s="1">
        <v>8.630454925E9</v>
      </c>
      <c r="F73" s="1">
        <v>1.8402568372E10</v>
      </c>
      <c r="G73" s="10"/>
      <c r="H73" s="10"/>
      <c r="I73" s="1" t="s">
        <v>229</v>
      </c>
      <c r="J73" s="10"/>
      <c r="K73" s="1" t="s">
        <v>247</v>
      </c>
      <c r="L73" s="1" t="s">
        <v>231</v>
      </c>
      <c r="M73" s="9">
        <v>45698.0</v>
      </c>
      <c r="N73" s="11"/>
      <c r="O73" s="9">
        <v>45722.0</v>
      </c>
      <c r="Q73" s="1" t="s">
        <v>254</v>
      </c>
      <c r="R73" s="10"/>
      <c r="S73" s="1" t="s">
        <v>5</v>
      </c>
      <c r="T73" s="10"/>
    </row>
    <row r="74">
      <c r="A74" s="1" t="s">
        <v>386</v>
      </c>
      <c r="B74" s="1" t="s">
        <v>225</v>
      </c>
      <c r="C74" s="1" t="s">
        <v>253</v>
      </c>
      <c r="D74" s="1" t="s">
        <v>254</v>
      </c>
      <c r="E74" s="1">
        <v>8.741290653E9</v>
      </c>
      <c r="F74" s="1">
        <v>1.8402568372E10</v>
      </c>
      <c r="G74" s="10"/>
      <c r="H74" s="1" t="s">
        <v>387</v>
      </c>
      <c r="I74" s="1" t="s">
        <v>229</v>
      </c>
      <c r="J74" s="10"/>
      <c r="K74" s="1" t="s">
        <v>247</v>
      </c>
      <c r="L74" s="1" t="s">
        <v>231</v>
      </c>
      <c r="M74" s="9">
        <v>45736.0</v>
      </c>
      <c r="N74" s="11"/>
      <c r="O74" s="9">
        <v>45930.0</v>
      </c>
      <c r="Q74" s="1" t="s">
        <v>254</v>
      </c>
      <c r="R74" s="10"/>
      <c r="S74" s="1" t="s">
        <v>5</v>
      </c>
      <c r="T74" s="10"/>
    </row>
    <row r="75">
      <c r="A75" s="1" t="s">
        <v>388</v>
      </c>
      <c r="B75" s="1" t="s">
        <v>225</v>
      </c>
      <c r="C75" s="1" t="s">
        <v>238</v>
      </c>
      <c r="D75" s="1" t="s">
        <v>239</v>
      </c>
      <c r="E75" s="1">
        <v>9.021275363E9</v>
      </c>
      <c r="F75" s="1">
        <v>1.8402568111E10</v>
      </c>
      <c r="G75" s="10"/>
      <c r="H75" s="1" t="s">
        <v>389</v>
      </c>
      <c r="I75" s="1" t="s">
        <v>229</v>
      </c>
      <c r="J75" s="10"/>
      <c r="K75" s="1" t="s">
        <v>39</v>
      </c>
      <c r="L75" s="1" t="s">
        <v>236</v>
      </c>
      <c r="M75" s="9">
        <v>45775.0</v>
      </c>
      <c r="N75" s="11"/>
      <c r="O75" s="9">
        <v>46010.0</v>
      </c>
      <c r="Q75" s="1" t="s">
        <v>241</v>
      </c>
      <c r="R75" s="10"/>
      <c r="S75" s="1" t="s">
        <v>5</v>
      </c>
      <c r="T75" s="10"/>
    </row>
    <row r="76">
      <c r="A76" s="1" t="s">
        <v>390</v>
      </c>
      <c r="B76" s="1" t="s">
        <v>29</v>
      </c>
      <c r="C76" s="1" t="s">
        <v>238</v>
      </c>
      <c r="D76" s="1" t="s">
        <v>239</v>
      </c>
      <c r="E76" s="1">
        <v>8.82133544E9</v>
      </c>
      <c r="F76" s="1">
        <v>1.8402568111E10</v>
      </c>
      <c r="H76" s="10"/>
      <c r="I76" s="1" t="s">
        <v>294</v>
      </c>
      <c r="J76" s="10"/>
      <c r="K76" s="1" t="s">
        <v>247</v>
      </c>
      <c r="L76" s="1" t="s">
        <v>231</v>
      </c>
      <c r="M76" s="9">
        <v>45747.0</v>
      </c>
      <c r="N76" s="11"/>
      <c r="O76" s="11"/>
      <c r="Q76" s="1" t="s">
        <v>241</v>
      </c>
      <c r="R76" s="10"/>
      <c r="S76" s="1" t="s">
        <v>5</v>
      </c>
      <c r="T76" s="10"/>
    </row>
    <row r="77">
      <c r="A77" s="1" t="s">
        <v>391</v>
      </c>
      <c r="B77" s="1" t="s">
        <v>29</v>
      </c>
      <c r="C77" s="1" t="s">
        <v>238</v>
      </c>
      <c r="D77" s="1" t="s">
        <v>239</v>
      </c>
      <c r="E77" s="1">
        <v>8.821490085E9</v>
      </c>
      <c r="F77" s="1">
        <v>1.8402568111E10</v>
      </c>
      <c r="H77" s="10"/>
      <c r="I77" s="1" t="s">
        <v>294</v>
      </c>
      <c r="J77" s="10"/>
      <c r="K77" s="1" t="s">
        <v>247</v>
      </c>
      <c r="L77" s="1" t="s">
        <v>231</v>
      </c>
      <c r="M77" s="9">
        <v>45747.0</v>
      </c>
      <c r="N77" s="11"/>
      <c r="O77" s="11"/>
      <c r="Q77" s="1" t="s">
        <v>241</v>
      </c>
      <c r="R77" s="10"/>
      <c r="S77" s="1" t="s">
        <v>5</v>
      </c>
      <c r="T77" s="10"/>
    </row>
    <row r="78">
      <c r="A78" s="1" t="s">
        <v>392</v>
      </c>
      <c r="B78" s="1" t="s">
        <v>225</v>
      </c>
      <c r="C78" s="1" t="s">
        <v>253</v>
      </c>
      <c r="D78" s="1" t="s">
        <v>254</v>
      </c>
      <c r="E78" s="1">
        <v>8.741290634E9</v>
      </c>
      <c r="F78" s="1">
        <v>1.8402568372E10</v>
      </c>
      <c r="H78" s="10"/>
      <c r="I78" s="1" t="s">
        <v>229</v>
      </c>
      <c r="J78" s="10"/>
      <c r="K78" s="1" t="s">
        <v>247</v>
      </c>
      <c r="L78" s="1" t="s">
        <v>248</v>
      </c>
      <c r="M78" s="9">
        <v>45736.0</v>
      </c>
      <c r="N78" s="11"/>
      <c r="O78" s="11"/>
      <c r="Q78" s="1" t="s">
        <v>254</v>
      </c>
      <c r="R78" s="10"/>
      <c r="S78" s="1" t="s">
        <v>5</v>
      </c>
      <c r="T78" s="10"/>
    </row>
    <row r="79">
      <c r="A79" s="1" t="s">
        <v>393</v>
      </c>
      <c r="B79" s="1" t="s">
        <v>29</v>
      </c>
      <c r="C79" s="1" t="s">
        <v>286</v>
      </c>
      <c r="D79" s="1" t="s">
        <v>287</v>
      </c>
      <c r="E79" s="1">
        <v>1.1428974127E10</v>
      </c>
      <c r="F79" s="1">
        <v>1.8402617065E10</v>
      </c>
      <c r="H79" s="1" t="s">
        <v>394</v>
      </c>
      <c r="I79" s="1" t="s">
        <v>294</v>
      </c>
      <c r="J79" s="1" t="s">
        <v>261</v>
      </c>
      <c r="K79" s="1" t="s">
        <v>247</v>
      </c>
      <c r="L79" s="1" t="s">
        <v>231</v>
      </c>
      <c r="M79" s="9">
        <v>46071.0</v>
      </c>
      <c r="N79" s="11"/>
      <c r="O79" s="11"/>
      <c r="Q79" s="10"/>
      <c r="R79" s="10"/>
      <c r="S79" s="1" t="s">
        <v>5</v>
      </c>
      <c r="T79" s="10"/>
    </row>
    <row r="80">
      <c r="A80" s="1" t="s">
        <v>395</v>
      </c>
      <c r="B80" s="1" t="s">
        <v>225</v>
      </c>
      <c r="C80" s="1" t="s">
        <v>226</v>
      </c>
      <c r="D80" s="1" t="s">
        <v>227</v>
      </c>
      <c r="E80" s="1">
        <v>8.741572943E9</v>
      </c>
      <c r="F80" s="1">
        <v>1.8402564488E10</v>
      </c>
      <c r="H80" s="10"/>
      <c r="I80" s="1" t="s">
        <v>229</v>
      </c>
      <c r="J80" s="10"/>
      <c r="K80" s="1" t="s">
        <v>39</v>
      </c>
      <c r="L80" s="1" t="s">
        <v>236</v>
      </c>
      <c r="M80" s="9">
        <v>45722.0</v>
      </c>
      <c r="N80" s="11"/>
      <c r="O80" s="9">
        <v>46010.0</v>
      </c>
      <c r="Q80" s="1" t="s">
        <v>227</v>
      </c>
      <c r="R80" s="10"/>
      <c r="S80" s="1" t="s">
        <v>5</v>
      </c>
      <c r="T80" s="10"/>
    </row>
    <row r="81">
      <c r="A81" s="1" t="s">
        <v>396</v>
      </c>
      <c r="B81" s="1" t="s">
        <v>225</v>
      </c>
      <c r="C81" s="1" t="s">
        <v>253</v>
      </c>
      <c r="D81" s="1" t="s">
        <v>254</v>
      </c>
      <c r="E81" s="1">
        <v>9.031521513E9</v>
      </c>
      <c r="F81" s="1">
        <v>1.8402568372E10</v>
      </c>
      <c r="G81" s="10"/>
      <c r="H81" s="1" t="s">
        <v>397</v>
      </c>
      <c r="I81" s="1" t="s">
        <v>229</v>
      </c>
      <c r="J81" s="10"/>
      <c r="K81" s="1" t="s">
        <v>39</v>
      </c>
      <c r="L81" s="1" t="s">
        <v>236</v>
      </c>
      <c r="M81" s="9">
        <v>45776.0</v>
      </c>
      <c r="N81" s="11"/>
      <c r="O81" s="9">
        <v>45896.0</v>
      </c>
      <c r="Q81" s="1" t="s">
        <v>254</v>
      </c>
      <c r="R81" s="10"/>
      <c r="S81" s="1" t="s">
        <v>5</v>
      </c>
      <c r="T81" s="10"/>
    </row>
    <row r="82">
      <c r="A82" s="1" t="s">
        <v>398</v>
      </c>
      <c r="B82" s="1" t="s">
        <v>225</v>
      </c>
      <c r="C82" s="1" t="s">
        <v>253</v>
      </c>
      <c r="D82" s="1" t="s">
        <v>254</v>
      </c>
      <c r="E82" s="1">
        <v>8.63057403E9</v>
      </c>
      <c r="F82" s="1">
        <v>1.8402568372E10</v>
      </c>
      <c r="G82" s="10"/>
      <c r="H82" s="10"/>
      <c r="I82" s="1" t="s">
        <v>229</v>
      </c>
      <c r="J82" s="10"/>
      <c r="K82" s="1" t="s">
        <v>247</v>
      </c>
      <c r="L82" s="1" t="s">
        <v>256</v>
      </c>
      <c r="M82" s="9">
        <v>45721.0</v>
      </c>
      <c r="N82" s="11"/>
      <c r="O82" s="9">
        <v>45896.0</v>
      </c>
      <c r="Q82" s="1" t="s">
        <v>254</v>
      </c>
      <c r="R82" s="10"/>
      <c r="S82" s="1" t="s">
        <v>5</v>
      </c>
      <c r="T82" s="10"/>
    </row>
    <row r="83">
      <c r="A83" s="1" t="s">
        <v>399</v>
      </c>
      <c r="B83" s="1" t="s">
        <v>225</v>
      </c>
      <c r="C83" s="1" t="s">
        <v>280</v>
      </c>
      <c r="D83" s="1" t="s">
        <v>281</v>
      </c>
      <c r="E83" s="1">
        <v>1.8047290615E10</v>
      </c>
      <c r="F83" s="1">
        <v>1.8402563866E10</v>
      </c>
      <c r="G83" s="10"/>
      <c r="H83" s="1" t="s">
        <v>400</v>
      </c>
      <c r="I83" s="1" t="s">
        <v>229</v>
      </c>
      <c r="J83" s="10"/>
      <c r="K83" s="1" t="s">
        <v>247</v>
      </c>
      <c r="L83" s="1" t="s">
        <v>236</v>
      </c>
      <c r="M83" s="9">
        <v>45925.0</v>
      </c>
      <c r="N83" s="11"/>
      <c r="O83" s="9">
        <v>46010.0</v>
      </c>
      <c r="Q83" s="1" t="s">
        <v>281</v>
      </c>
      <c r="R83" s="10"/>
      <c r="S83" s="1" t="s">
        <v>5</v>
      </c>
      <c r="T83" s="10"/>
    </row>
    <row r="84">
      <c r="A84" s="1" t="s">
        <v>401</v>
      </c>
      <c r="B84" s="1" t="s">
        <v>225</v>
      </c>
      <c r="C84" s="1" t="s">
        <v>270</v>
      </c>
      <c r="D84" s="1" t="s">
        <v>271</v>
      </c>
      <c r="E84" s="1">
        <v>8.90644846E9</v>
      </c>
      <c r="F84" s="1">
        <v>1.8402568518E10</v>
      </c>
      <c r="G84" s="10"/>
      <c r="H84" s="1" t="s">
        <v>402</v>
      </c>
      <c r="I84" s="1" t="s">
        <v>229</v>
      </c>
      <c r="J84" s="10"/>
      <c r="K84" s="1" t="s">
        <v>230</v>
      </c>
      <c r="L84" s="1" t="s">
        <v>236</v>
      </c>
      <c r="M84" s="9">
        <v>45757.0</v>
      </c>
      <c r="N84" s="11"/>
      <c r="O84" s="9">
        <v>45769.0</v>
      </c>
      <c r="Q84" s="1" t="s">
        <v>271</v>
      </c>
      <c r="R84" s="10"/>
      <c r="S84" s="1" t="s">
        <v>5</v>
      </c>
      <c r="T84" s="10"/>
    </row>
    <row r="85">
      <c r="A85" s="1" t="s">
        <v>403</v>
      </c>
      <c r="B85" s="1" t="s">
        <v>29</v>
      </c>
      <c r="C85" s="1" t="s">
        <v>270</v>
      </c>
      <c r="D85" s="1" t="s">
        <v>271</v>
      </c>
      <c r="E85" s="1">
        <v>1.0672681065E10</v>
      </c>
      <c r="F85" s="1">
        <v>1.8402568518E10</v>
      </c>
      <c r="G85" s="10"/>
      <c r="H85" s="10"/>
      <c r="I85" s="1" t="s">
        <v>31</v>
      </c>
      <c r="J85" s="1" t="s">
        <v>251</v>
      </c>
      <c r="K85" s="1" t="s">
        <v>230</v>
      </c>
      <c r="L85" s="1" t="s">
        <v>240</v>
      </c>
      <c r="M85" s="9">
        <v>45992.0</v>
      </c>
      <c r="N85" s="9">
        <v>46053.0</v>
      </c>
      <c r="O85" s="11"/>
      <c r="Q85" s="1" t="s">
        <v>271</v>
      </c>
      <c r="R85" s="10"/>
      <c r="S85" s="1" t="s">
        <v>5</v>
      </c>
      <c r="T85" s="10"/>
    </row>
    <row r="86">
      <c r="A86" s="1" t="s">
        <v>404</v>
      </c>
      <c r="B86" s="1" t="s">
        <v>29</v>
      </c>
      <c r="C86" s="1" t="s">
        <v>258</v>
      </c>
      <c r="D86" s="1" t="s">
        <v>259</v>
      </c>
      <c r="E86" s="1">
        <v>9.249912437E9</v>
      </c>
      <c r="F86" s="1">
        <v>1.8402564676E10</v>
      </c>
      <c r="G86" s="10"/>
      <c r="H86" s="1" t="s">
        <v>405</v>
      </c>
      <c r="I86" s="1" t="s">
        <v>229</v>
      </c>
      <c r="J86" s="1" t="s">
        <v>261</v>
      </c>
      <c r="K86" s="1" t="s">
        <v>33</v>
      </c>
      <c r="L86" s="1" t="s">
        <v>268</v>
      </c>
      <c r="M86" s="9">
        <v>45748.0</v>
      </c>
      <c r="N86" s="11"/>
      <c r="O86" s="11"/>
      <c r="Q86" s="1" t="s">
        <v>259</v>
      </c>
      <c r="R86" s="10"/>
      <c r="S86" s="1" t="s">
        <v>5</v>
      </c>
      <c r="T86" s="10"/>
    </row>
    <row r="87">
      <c r="A87" s="1" t="s">
        <v>406</v>
      </c>
      <c r="B87" s="1" t="s">
        <v>225</v>
      </c>
      <c r="C87" s="1" t="s">
        <v>238</v>
      </c>
      <c r="D87" s="1" t="s">
        <v>239</v>
      </c>
      <c r="E87" s="1">
        <v>8.821325027E9</v>
      </c>
      <c r="F87" s="1">
        <v>1.8402568111E10</v>
      </c>
      <c r="G87" s="10"/>
      <c r="H87" s="10"/>
      <c r="I87" s="1" t="s">
        <v>229</v>
      </c>
      <c r="J87" s="10"/>
      <c r="K87" s="1" t="s">
        <v>39</v>
      </c>
      <c r="L87" s="1" t="s">
        <v>236</v>
      </c>
      <c r="M87" s="9">
        <v>45698.0</v>
      </c>
      <c r="N87" s="11"/>
      <c r="O87" s="9">
        <v>46010.0</v>
      </c>
      <c r="Q87" s="1" t="s">
        <v>241</v>
      </c>
      <c r="R87" s="10"/>
      <c r="S87" s="1" t="s">
        <v>5</v>
      </c>
      <c r="T87" s="10"/>
    </row>
    <row r="88">
      <c r="A88" s="1" t="s">
        <v>407</v>
      </c>
      <c r="B88" s="1" t="s">
        <v>225</v>
      </c>
      <c r="C88" s="1" t="s">
        <v>302</v>
      </c>
      <c r="D88" s="1" t="s">
        <v>303</v>
      </c>
      <c r="E88" s="1">
        <v>9.920080769E9</v>
      </c>
      <c r="F88" s="1">
        <v>1.8402561158E10</v>
      </c>
      <c r="G88" s="10"/>
      <c r="H88" s="1" t="s">
        <v>408</v>
      </c>
      <c r="I88" s="1" t="s">
        <v>229</v>
      </c>
      <c r="J88" s="10"/>
      <c r="K88" s="1" t="s">
        <v>247</v>
      </c>
      <c r="L88" s="1" t="s">
        <v>236</v>
      </c>
      <c r="M88" s="9">
        <v>45897.0</v>
      </c>
      <c r="N88" s="11"/>
      <c r="O88" s="9">
        <v>46010.0</v>
      </c>
      <c r="Q88" s="1" t="s">
        <v>304</v>
      </c>
      <c r="R88" s="10"/>
      <c r="S88" s="1" t="s">
        <v>5</v>
      </c>
      <c r="T88" s="10"/>
    </row>
    <row r="89">
      <c r="A89" s="1" t="s">
        <v>407</v>
      </c>
      <c r="B89" s="1" t="s">
        <v>225</v>
      </c>
      <c r="C89" s="1" t="s">
        <v>302</v>
      </c>
      <c r="D89" s="1" t="s">
        <v>303</v>
      </c>
      <c r="E89" s="1">
        <v>9.412600861E9</v>
      </c>
      <c r="F89" s="1">
        <v>1.8402561158E10</v>
      </c>
      <c r="G89" s="10"/>
      <c r="H89" s="10"/>
      <c r="I89" s="1" t="s">
        <v>229</v>
      </c>
      <c r="J89" s="10"/>
      <c r="K89" s="1" t="s">
        <v>230</v>
      </c>
      <c r="L89" s="1" t="s">
        <v>256</v>
      </c>
      <c r="M89" s="9">
        <v>45827.0</v>
      </c>
      <c r="N89" s="11"/>
      <c r="O89" s="9">
        <v>46010.0</v>
      </c>
      <c r="Q89" s="1" t="s">
        <v>304</v>
      </c>
      <c r="R89" s="10"/>
      <c r="S89" s="1" t="s">
        <v>5</v>
      </c>
      <c r="T89" s="10"/>
    </row>
    <row r="90">
      <c r="A90" s="1" t="s">
        <v>409</v>
      </c>
      <c r="B90" s="1" t="s">
        <v>225</v>
      </c>
      <c r="C90" s="1" t="s">
        <v>302</v>
      </c>
      <c r="D90" s="1" t="s">
        <v>303</v>
      </c>
      <c r="E90" s="1">
        <v>8.741568938E9</v>
      </c>
      <c r="F90" s="1">
        <v>1.8402561158E10</v>
      </c>
      <c r="G90" s="10"/>
      <c r="H90" s="10"/>
      <c r="I90" s="1" t="s">
        <v>229</v>
      </c>
      <c r="J90" s="10"/>
      <c r="K90" s="1" t="s">
        <v>247</v>
      </c>
      <c r="L90" s="1" t="s">
        <v>236</v>
      </c>
      <c r="M90" s="9">
        <v>45722.0</v>
      </c>
      <c r="N90" s="11"/>
      <c r="O90" s="9">
        <v>45827.0</v>
      </c>
      <c r="Q90" s="1" t="s">
        <v>304</v>
      </c>
      <c r="R90" s="10"/>
      <c r="S90" s="1" t="s">
        <v>5</v>
      </c>
      <c r="T90" s="10"/>
    </row>
    <row r="91">
      <c r="A91" s="1" t="s">
        <v>410</v>
      </c>
      <c r="B91" s="1" t="s">
        <v>225</v>
      </c>
      <c r="C91" s="1" t="s">
        <v>270</v>
      </c>
      <c r="D91" s="1" t="s">
        <v>271</v>
      </c>
      <c r="E91" s="1">
        <v>9.81943833E9</v>
      </c>
      <c r="F91" s="1">
        <v>1.8402568518E10</v>
      </c>
      <c r="G91" s="10"/>
      <c r="H91" s="1" t="s">
        <v>411</v>
      </c>
      <c r="I91" s="1" t="s">
        <v>229</v>
      </c>
      <c r="J91" s="10"/>
      <c r="K91" s="1" t="s">
        <v>247</v>
      </c>
      <c r="L91" s="1" t="s">
        <v>231</v>
      </c>
      <c r="M91" s="9">
        <v>45698.0</v>
      </c>
      <c r="N91" s="11"/>
      <c r="O91" s="11"/>
      <c r="Q91" s="1" t="s">
        <v>271</v>
      </c>
      <c r="R91" s="10"/>
      <c r="S91" s="1" t="s">
        <v>5</v>
      </c>
      <c r="T91" s="10"/>
    </row>
    <row r="92">
      <c r="A92" s="1" t="s">
        <v>412</v>
      </c>
      <c r="B92" s="1" t="s">
        <v>29</v>
      </c>
      <c r="C92" s="1" t="s">
        <v>270</v>
      </c>
      <c r="D92" s="1" t="s">
        <v>271</v>
      </c>
      <c r="E92" s="1">
        <v>9.819423422E9</v>
      </c>
      <c r="F92" s="1">
        <v>1.8402568518E10</v>
      </c>
      <c r="G92" s="10"/>
      <c r="H92" s="1" t="s">
        <v>413</v>
      </c>
      <c r="I92" s="1" t="s">
        <v>31</v>
      </c>
      <c r="J92" s="10"/>
      <c r="K92" s="1" t="s">
        <v>247</v>
      </c>
      <c r="L92" s="1" t="s">
        <v>236</v>
      </c>
      <c r="M92" s="9">
        <v>45883.0</v>
      </c>
      <c r="N92" s="9">
        <v>46060.0</v>
      </c>
      <c r="O92" s="11"/>
      <c r="Q92" s="1" t="s">
        <v>271</v>
      </c>
      <c r="R92" s="10"/>
      <c r="S92" s="1" t="s">
        <v>5</v>
      </c>
      <c r="T92" s="10"/>
    </row>
    <row r="93">
      <c r="A93" s="1" t="s">
        <v>414</v>
      </c>
      <c r="B93" s="1" t="s">
        <v>29</v>
      </c>
      <c r="C93" s="1" t="s">
        <v>238</v>
      </c>
      <c r="D93" s="1" t="s">
        <v>239</v>
      </c>
      <c r="E93" s="1">
        <v>8.822033746E9</v>
      </c>
      <c r="F93" s="1">
        <v>1.8402568111E10</v>
      </c>
      <c r="G93" s="10"/>
      <c r="H93" s="10"/>
      <c r="I93" s="1" t="s">
        <v>294</v>
      </c>
      <c r="J93" s="1" t="s">
        <v>251</v>
      </c>
      <c r="K93" s="1" t="s">
        <v>230</v>
      </c>
      <c r="L93" s="1" t="s">
        <v>240</v>
      </c>
      <c r="M93" s="9">
        <v>45747.0</v>
      </c>
      <c r="N93" s="11"/>
      <c r="O93" s="11"/>
      <c r="Q93" s="1" t="s">
        <v>241</v>
      </c>
      <c r="R93" s="10"/>
      <c r="S93" s="1" t="s">
        <v>5</v>
      </c>
      <c r="T93" s="10"/>
    </row>
    <row r="94">
      <c r="A94" s="1" t="s">
        <v>415</v>
      </c>
      <c r="B94" s="1" t="s">
        <v>29</v>
      </c>
      <c r="C94" s="1" t="s">
        <v>302</v>
      </c>
      <c r="D94" s="1" t="s">
        <v>303</v>
      </c>
      <c r="E94" s="1">
        <v>1.0808906008E10</v>
      </c>
      <c r="F94" s="1">
        <v>1.8402561158E10</v>
      </c>
      <c r="H94" s="10"/>
      <c r="I94" s="1" t="s">
        <v>31</v>
      </c>
      <c r="J94" s="1" t="s">
        <v>261</v>
      </c>
      <c r="K94" s="1" t="s">
        <v>33</v>
      </c>
      <c r="L94" s="1" t="s">
        <v>236</v>
      </c>
      <c r="M94" s="9">
        <v>46009.0</v>
      </c>
      <c r="N94" s="9">
        <v>46025.0</v>
      </c>
      <c r="O94" s="11"/>
      <c r="Q94" s="1" t="s">
        <v>304</v>
      </c>
      <c r="R94" s="10"/>
      <c r="S94" s="1" t="s">
        <v>5</v>
      </c>
      <c r="T94" s="10"/>
    </row>
    <row r="95">
      <c r="A95" s="1" t="s">
        <v>416</v>
      </c>
      <c r="B95" s="1" t="s">
        <v>29</v>
      </c>
      <c r="C95" s="1" t="s">
        <v>276</v>
      </c>
      <c r="D95" s="1" t="s">
        <v>277</v>
      </c>
      <c r="E95" s="1">
        <v>1.1357008078E10</v>
      </c>
      <c r="F95" s="1">
        <v>1.8402563983E10</v>
      </c>
      <c r="H95" s="1" t="s">
        <v>417</v>
      </c>
      <c r="I95" s="1" t="s">
        <v>294</v>
      </c>
      <c r="J95" s="10"/>
      <c r="K95" s="1" t="s">
        <v>39</v>
      </c>
      <c r="L95" s="1" t="s">
        <v>236</v>
      </c>
      <c r="M95" s="9">
        <v>46077.0</v>
      </c>
      <c r="N95" s="9">
        <v>46091.0</v>
      </c>
      <c r="O95" s="11"/>
      <c r="Q95" s="1" t="s">
        <v>278</v>
      </c>
      <c r="R95" s="10"/>
      <c r="S95" s="1" t="s">
        <v>5</v>
      </c>
      <c r="T95" s="10"/>
    </row>
    <row r="96">
      <c r="A96" s="1" t="s">
        <v>418</v>
      </c>
      <c r="B96" s="1" t="s">
        <v>29</v>
      </c>
      <c r="C96" s="1" t="s">
        <v>302</v>
      </c>
      <c r="D96" s="1" t="s">
        <v>303</v>
      </c>
      <c r="E96" s="1">
        <v>1.080899814E10</v>
      </c>
      <c r="F96" s="1">
        <v>1.8402561158E10</v>
      </c>
      <c r="H96" s="1" t="s">
        <v>419</v>
      </c>
      <c r="I96" s="1" t="s">
        <v>294</v>
      </c>
      <c r="J96" s="10"/>
      <c r="K96" s="1" t="s">
        <v>39</v>
      </c>
      <c r="L96" s="1" t="s">
        <v>236</v>
      </c>
      <c r="M96" s="9">
        <v>45698.0</v>
      </c>
      <c r="N96" s="9">
        <v>46137.0</v>
      </c>
      <c r="O96" s="11"/>
      <c r="Q96" s="1" t="s">
        <v>304</v>
      </c>
      <c r="R96" s="10"/>
      <c r="S96" s="1" t="s">
        <v>5</v>
      </c>
      <c r="T96" s="10"/>
    </row>
    <row r="97">
      <c r="A97" s="1" t="s">
        <v>420</v>
      </c>
      <c r="B97" s="1" t="s">
        <v>29</v>
      </c>
      <c r="C97" s="1" t="s">
        <v>286</v>
      </c>
      <c r="D97" s="1" t="s">
        <v>287</v>
      </c>
      <c r="E97" s="1">
        <v>1.1428910202E10</v>
      </c>
      <c r="F97" s="1">
        <v>1.8402617065E10</v>
      </c>
      <c r="G97" s="10"/>
      <c r="H97" s="10"/>
      <c r="I97" s="1" t="s">
        <v>294</v>
      </c>
      <c r="J97" s="10"/>
      <c r="K97" s="1" t="s">
        <v>39</v>
      </c>
      <c r="L97" s="1" t="s">
        <v>236</v>
      </c>
      <c r="M97" s="9">
        <v>46083.0</v>
      </c>
      <c r="N97" s="9">
        <v>46097.0</v>
      </c>
      <c r="O97" s="11"/>
      <c r="Q97" s="1" t="s">
        <v>421</v>
      </c>
      <c r="R97" s="10"/>
      <c r="S97" s="1" t="s">
        <v>5</v>
      </c>
      <c r="T97" s="10"/>
    </row>
    <row r="98">
      <c r="A98" s="1" t="s">
        <v>420</v>
      </c>
      <c r="B98" s="1" t="s">
        <v>29</v>
      </c>
      <c r="C98" s="1" t="s">
        <v>422</v>
      </c>
      <c r="D98" s="1" t="s">
        <v>423</v>
      </c>
      <c r="E98" s="1">
        <v>1.1428910895E10</v>
      </c>
      <c r="F98" s="1">
        <v>1.8402616813E10</v>
      </c>
      <c r="H98" s="10"/>
      <c r="I98" s="1" t="s">
        <v>294</v>
      </c>
      <c r="J98" s="10"/>
      <c r="K98" s="1" t="s">
        <v>39</v>
      </c>
      <c r="L98" s="1" t="s">
        <v>236</v>
      </c>
      <c r="M98" s="9">
        <v>46083.0</v>
      </c>
      <c r="N98" s="9">
        <v>46097.0</v>
      </c>
      <c r="O98" s="11"/>
      <c r="Q98" s="1" t="s">
        <v>421</v>
      </c>
      <c r="R98" s="10"/>
      <c r="S98" s="1" t="s">
        <v>5</v>
      </c>
      <c r="T98" s="10"/>
    </row>
    <row r="99">
      <c r="A99" s="1" t="s">
        <v>420</v>
      </c>
      <c r="B99" s="1" t="s">
        <v>29</v>
      </c>
      <c r="C99" s="1" t="s">
        <v>424</v>
      </c>
      <c r="D99" s="1" t="s">
        <v>425</v>
      </c>
      <c r="E99" s="1">
        <v>1.1427223504E10</v>
      </c>
      <c r="F99" s="1">
        <v>1.8402585657E10</v>
      </c>
      <c r="H99" s="10"/>
      <c r="I99" s="1" t="s">
        <v>294</v>
      </c>
      <c r="J99" s="10"/>
      <c r="K99" s="1" t="s">
        <v>39</v>
      </c>
      <c r="L99" s="1" t="s">
        <v>236</v>
      </c>
      <c r="M99" s="9">
        <v>46083.0</v>
      </c>
      <c r="N99" s="9">
        <v>46097.0</v>
      </c>
      <c r="O99" s="11"/>
      <c r="Q99" s="1" t="s">
        <v>421</v>
      </c>
      <c r="R99" s="10"/>
      <c r="S99" s="1" t="s">
        <v>426</v>
      </c>
      <c r="T99" s="10"/>
    </row>
    <row r="100">
      <c r="A100" s="1" t="s">
        <v>420</v>
      </c>
      <c r="B100" s="1" t="s">
        <v>29</v>
      </c>
      <c r="C100" s="1" t="s">
        <v>427</v>
      </c>
      <c r="D100" s="1" t="s">
        <v>428</v>
      </c>
      <c r="E100" s="1">
        <v>1.1427215449E10</v>
      </c>
      <c r="F100" s="1">
        <v>1.8402585523E10</v>
      </c>
      <c r="G100" s="10"/>
      <c r="H100" s="10"/>
      <c r="I100" s="1" t="s">
        <v>294</v>
      </c>
      <c r="J100" s="10"/>
      <c r="K100" s="1" t="s">
        <v>39</v>
      </c>
      <c r="L100" s="1" t="s">
        <v>236</v>
      </c>
      <c r="M100" s="9">
        <v>46083.0</v>
      </c>
      <c r="N100" s="9">
        <v>46097.0</v>
      </c>
      <c r="O100" s="11"/>
      <c r="Q100" s="1" t="s">
        <v>421</v>
      </c>
      <c r="R100" s="10"/>
      <c r="S100" s="1" t="s">
        <v>32</v>
      </c>
      <c r="T100" s="10"/>
    </row>
    <row r="101">
      <c r="A101" s="1" t="s">
        <v>420</v>
      </c>
      <c r="B101" s="1" t="s">
        <v>29</v>
      </c>
      <c r="C101" s="1" t="s">
        <v>429</v>
      </c>
      <c r="D101" s="1" t="s">
        <v>430</v>
      </c>
      <c r="E101" s="1">
        <v>1.1427184088E10</v>
      </c>
      <c r="F101" s="1">
        <v>1.8402585265E10</v>
      </c>
      <c r="G101" s="10"/>
      <c r="H101" s="10"/>
      <c r="I101" s="1" t="s">
        <v>294</v>
      </c>
      <c r="J101" s="10"/>
      <c r="K101" s="1" t="s">
        <v>39</v>
      </c>
      <c r="L101" s="1" t="s">
        <v>236</v>
      </c>
      <c r="M101" s="9">
        <v>46083.0</v>
      </c>
      <c r="N101" s="9">
        <v>46097.0</v>
      </c>
      <c r="O101" s="11"/>
      <c r="Q101" s="1" t="s">
        <v>421</v>
      </c>
      <c r="R101" s="10"/>
      <c r="S101" s="1" t="s">
        <v>431</v>
      </c>
      <c r="T101" s="10"/>
    </row>
    <row r="102">
      <c r="A102" s="1" t="s">
        <v>420</v>
      </c>
      <c r="B102" s="1" t="s">
        <v>29</v>
      </c>
      <c r="C102" s="1" t="s">
        <v>432</v>
      </c>
      <c r="D102" s="1" t="s">
        <v>433</v>
      </c>
      <c r="E102" s="1">
        <v>1.1427174863E10</v>
      </c>
      <c r="F102" s="1">
        <v>1.8402585089E10</v>
      </c>
      <c r="G102" s="10"/>
      <c r="H102" s="10"/>
      <c r="I102" s="1" t="s">
        <v>294</v>
      </c>
      <c r="J102" s="10"/>
      <c r="K102" s="1" t="s">
        <v>39</v>
      </c>
      <c r="L102" s="1" t="s">
        <v>236</v>
      </c>
      <c r="M102" s="9">
        <v>46083.0</v>
      </c>
      <c r="N102" s="9">
        <v>46097.0</v>
      </c>
      <c r="O102" s="11"/>
      <c r="Q102" s="1" t="s">
        <v>421</v>
      </c>
      <c r="R102" s="10"/>
      <c r="S102" s="1" t="s">
        <v>426</v>
      </c>
      <c r="T102" s="10"/>
    </row>
    <row r="103">
      <c r="A103" s="1" t="s">
        <v>420</v>
      </c>
      <c r="B103" s="1" t="s">
        <v>29</v>
      </c>
      <c r="C103" s="1" t="s">
        <v>434</v>
      </c>
      <c r="D103" s="1" t="s">
        <v>435</v>
      </c>
      <c r="E103" s="1">
        <v>1.1427086635E10</v>
      </c>
      <c r="F103" s="1">
        <v>1.8402582976E10</v>
      </c>
      <c r="G103" s="10"/>
      <c r="H103" s="10"/>
      <c r="I103" s="1" t="s">
        <v>294</v>
      </c>
      <c r="J103" s="10"/>
      <c r="K103" s="1" t="s">
        <v>39</v>
      </c>
      <c r="L103" s="1" t="s">
        <v>236</v>
      </c>
      <c r="M103" s="9">
        <v>46083.0</v>
      </c>
      <c r="N103" s="9">
        <v>46097.0</v>
      </c>
      <c r="O103" s="11"/>
      <c r="Q103" s="1" t="s">
        <v>421</v>
      </c>
      <c r="R103" s="10"/>
      <c r="S103" s="1" t="s">
        <v>436</v>
      </c>
      <c r="T103" s="10"/>
    </row>
    <row r="104" ht="18.75" customHeight="1">
      <c r="A104" s="1" t="s">
        <v>420</v>
      </c>
      <c r="B104" s="1" t="s">
        <v>29</v>
      </c>
      <c r="C104" s="1" t="s">
        <v>437</v>
      </c>
      <c r="D104" s="1" t="s">
        <v>438</v>
      </c>
      <c r="E104" s="1">
        <v>1.1426971982E10</v>
      </c>
      <c r="F104" s="1">
        <v>1.8402581254E10</v>
      </c>
      <c r="G104" s="10"/>
      <c r="H104" s="10"/>
      <c r="I104" s="1" t="s">
        <v>294</v>
      </c>
      <c r="J104" s="10"/>
      <c r="K104" s="1" t="s">
        <v>39</v>
      </c>
      <c r="L104" s="1" t="s">
        <v>236</v>
      </c>
      <c r="M104" s="9">
        <v>46083.0</v>
      </c>
      <c r="N104" s="9">
        <v>46097.0</v>
      </c>
      <c r="O104" s="11"/>
      <c r="Q104" s="1" t="s">
        <v>421</v>
      </c>
      <c r="R104" s="10"/>
      <c r="S104" s="1" t="s">
        <v>439</v>
      </c>
      <c r="T104" s="10"/>
    </row>
    <row r="105">
      <c r="A105" s="1" t="s">
        <v>420</v>
      </c>
      <c r="B105" s="1" t="s">
        <v>29</v>
      </c>
      <c r="C105" s="1" t="s">
        <v>440</v>
      </c>
      <c r="D105" s="1" t="s">
        <v>441</v>
      </c>
      <c r="E105" s="1">
        <v>1.1426967558E10</v>
      </c>
      <c r="F105" s="1">
        <v>1.8402581135E10</v>
      </c>
      <c r="G105" s="10"/>
      <c r="H105" s="10"/>
      <c r="I105" s="1" t="s">
        <v>294</v>
      </c>
      <c r="J105" s="10"/>
      <c r="K105" s="1" t="s">
        <v>39</v>
      </c>
      <c r="L105" s="1" t="s">
        <v>236</v>
      </c>
      <c r="M105" s="9">
        <v>46083.0</v>
      </c>
      <c r="N105" s="9">
        <v>46097.0</v>
      </c>
      <c r="O105" s="11"/>
      <c r="Q105" s="1" t="s">
        <v>421</v>
      </c>
      <c r="R105" s="10"/>
      <c r="S105" s="1" t="s">
        <v>442</v>
      </c>
      <c r="T105" s="10"/>
    </row>
    <row r="106" ht="23.25" customHeight="1">
      <c r="A106" s="1" t="s">
        <v>420</v>
      </c>
      <c r="B106" s="1" t="s">
        <v>29</v>
      </c>
      <c r="C106" s="1" t="s">
        <v>443</v>
      </c>
      <c r="D106" s="1" t="s">
        <v>444</v>
      </c>
      <c r="E106" s="1">
        <v>1.1426959373E10</v>
      </c>
      <c r="F106" s="1">
        <v>1.8402581058E10</v>
      </c>
      <c r="G106" s="10"/>
      <c r="H106" s="10"/>
      <c r="I106" s="1" t="s">
        <v>294</v>
      </c>
      <c r="J106" s="10"/>
      <c r="K106" s="1" t="s">
        <v>39</v>
      </c>
      <c r="L106" s="1" t="s">
        <v>236</v>
      </c>
      <c r="M106" s="9">
        <v>46083.0</v>
      </c>
      <c r="N106" s="9">
        <v>46097.0</v>
      </c>
      <c r="O106" s="11"/>
      <c r="Q106" s="1" t="s">
        <v>421</v>
      </c>
      <c r="R106" s="10"/>
      <c r="S106" s="1" t="s">
        <v>32</v>
      </c>
      <c r="T106" s="10"/>
    </row>
    <row r="107">
      <c r="A107" s="1" t="s">
        <v>420</v>
      </c>
      <c r="B107" s="1" t="s">
        <v>29</v>
      </c>
      <c r="C107" s="1" t="s">
        <v>445</v>
      </c>
      <c r="D107" s="1" t="s">
        <v>446</v>
      </c>
      <c r="E107" s="1">
        <v>1.1426970685E10</v>
      </c>
      <c r="F107" s="1">
        <v>1.8402580968E10</v>
      </c>
      <c r="G107" s="10"/>
      <c r="H107" s="10"/>
      <c r="I107" s="1" t="s">
        <v>294</v>
      </c>
      <c r="J107" s="10"/>
      <c r="K107" s="1" t="s">
        <v>39</v>
      </c>
      <c r="L107" s="1" t="s">
        <v>236</v>
      </c>
      <c r="M107" s="9">
        <v>46083.0</v>
      </c>
      <c r="N107" s="9">
        <v>46097.0</v>
      </c>
      <c r="O107" s="11"/>
      <c r="Q107" s="1" t="s">
        <v>421</v>
      </c>
      <c r="R107" s="10"/>
      <c r="S107" s="1" t="s">
        <v>426</v>
      </c>
      <c r="T107" s="10"/>
    </row>
    <row r="108">
      <c r="A108" s="1" t="s">
        <v>420</v>
      </c>
      <c r="B108" s="1" t="s">
        <v>29</v>
      </c>
      <c r="C108" s="1" t="s">
        <v>447</v>
      </c>
      <c r="D108" s="1" t="s">
        <v>448</v>
      </c>
      <c r="E108" s="1">
        <v>1.1426948209E10</v>
      </c>
      <c r="F108" s="1">
        <v>1.8402580878E10</v>
      </c>
      <c r="G108" s="10"/>
      <c r="H108" s="10"/>
      <c r="I108" s="1" t="s">
        <v>294</v>
      </c>
      <c r="J108" s="10"/>
      <c r="K108" s="1" t="s">
        <v>39</v>
      </c>
      <c r="L108" s="1" t="s">
        <v>236</v>
      </c>
      <c r="M108" s="9">
        <v>46083.0</v>
      </c>
      <c r="N108" s="9">
        <v>46097.0</v>
      </c>
      <c r="O108" s="11"/>
      <c r="Q108" s="1" t="s">
        <v>421</v>
      </c>
      <c r="R108" s="10"/>
      <c r="S108" s="1" t="s">
        <v>439</v>
      </c>
      <c r="T108" s="10"/>
    </row>
    <row r="109">
      <c r="A109" s="1" t="s">
        <v>420</v>
      </c>
      <c r="B109" s="1" t="s">
        <v>29</v>
      </c>
      <c r="C109" s="1" t="s">
        <v>449</v>
      </c>
      <c r="D109" s="1" t="s">
        <v>450</v>
      </c>
      <c r="E109" s="1">
        <v>1.1426962701E10</v>
      </c>
      <c r="F109" s="1">
        <v>1.8402580733E10</v>
      </c>
      <c r="H109" s="10"/>
      <c r="I109" s="1" t="s">
        <v>294</v>
      </c>
      <c r="J109" s="10"/>
      <c r="K109" s="1" t="s">
        <v>39</v>
      </c>
      <c r="L109" s="1" t="s">
        <v>236</v>
      </c>
      <c r="M109" s="9">
        <v>46083.0</v>
      </c>
      <c r="N109" s="9">
        <v>46097.0</v>
      </c>
      <c r="O109" s="11"/>
      <c r="Q109" s="1" t="s">
        <v>421</v>
      </c>
      <c r="R109" s="10"/>
      <c r="S109" s="1" t="s">
        <v>439</v>
      </c>
      <c r="T109" s="10"/>
    </row>
    <row r="110">
      <c r="A110" s="1" t="s">
        <v>420</v>
      </c>
      <c r="B110" s="1" t="s">
        <v>29</v>
      </c>
      <c r="C110" s="1" t="s">
        <v>451</v>
      </c>
      <c r="D110" s="1" t="s">
        <v>452</v>
      </c>
      <c r="E110" s="1">
        <v>1.1426949858E10</v>
      </c>
      <c r="F110" s="1">
        <v>1.8402580659E10</v>
      </c>
      <c r="G110" s="10"/>
      <c r="H110" s="10"/>
      <c r="I110" s="1" t="s">
        <v>294</v>
      </c>
      <c r="J110" s="10"/>
      <c r="K110" s="1" t="s">
        <v>39</v>
      </c>
      <c r="L110" s="1" t="s">
        <v>236</v>
      </c>
      <c r="M110" s="9">
        <v>46083.0</v>
      </c>
      <c r="N110" s="9">
        <v>46097.0</v>
      </c>
      <c r="O110" s="11"/>
      <c r="Q110" s="1" t="s">
        <v>421</v>
      </c>
      <c r="R110" s="10"/>
      <c r="S110" s="1" t="s">
        <v>439</v>
      </c>
      <c r="T110" s="10"/>
    </row>
    <row r="111">
      <c r="A111" s="1" t="s">
        <v>420</v>
      </c>
      <c r="B111" s="1" t="s">
        <v>29</v>
      </c>
      <c r="C111" s="1" t="s">
        <v>453</v>
      </c>
      <c r="D111" s="1" t="s">
        <v>454</v>
      </c>
      <c r="E111" s="1">
        <v>1.142694081E10</v>
      </c>
      <c r="F111" s="1">
        <v>1.8402580557E10</v>
      </c>
      <c r="G111" s="10"/>
      <c r="H111" s="10"/>
      <c r="I111" s="1" t="s">
        <v>294</v>
      </c>
      <c r="J111" s="10"/>
      <c r="K111" s="1" t="s">
        <v>39</v>
      </c>
      <c r="L111" s="1" t="s">
        <v>236</v>
      </c>
      <c r="M111" s="9">
        <v>46083.0</v>
      </c>
      <c r="N111" s="9">
        <v>46097.0</v>
      </c>
      <c r="O111" s="11"/>
      <c r="Q111" s="1" t="s">
        <v>421</v>
      </c>
      <c r="R111" s="10"/>
      <c r="S111" s="1" t="s">
        <v>436</v>
      </c>
      <c r="T111" s="10"/>
    </row>
    <row r="112">
      <c r="A112" s="1" t="s">
        <v>420</v>
      </c>
      <c r="B112" s="1" t="s">
        <v>29</v>
      </c>
      <c r="C112" s="1" t="s">
        <v>455</v>
      </c>
      <c r="D112" s="1" t="s">
        <v>456</v>
      </c>
      <c r="E112" s="1">
        <v>1.1426916276E10</v>
      </c>
      <c r="F112" s="1">
        <v>1.8402580437E10</v>
      </c>
      <c r="G112" s="10"/>
      <c r="H112" s="10"/>
      <c r="I112" s="1" t="s">
        <v>294</v>
      </c>
      <c r="J112" s="10"/>
      <c r="K112" s="1" t="s">
        <v>39</v>
      </c>
      <c r="L112" s="1" t="s">
        <v>236</v>
      </c>
      <c r="M112" s="9">
        <v>46083.0</v>
      </c>
      <c r="N112" s="9">
        <v>46097.0</v>
      </c>
      <c r="O112" s="11"/>
      <c r="Q112" s="1" t="s">
        <v>421</v>
      </c>
      <c r="R112" s="10"/>
      <c r="S112" s="1" t="s">
        <v>436</v>
      </c>
      <c r="T112" s="10"/>
    </row>
    <row r="113">
      <c r="A113" s="1" t="s">
        <v>420</v>
      </c>
      <c r="B113" s="1" t="s">
        <v>29</v>
      </c>
      <c r="C113" s="1" t="s">
        <v>457</v>
      </c>
      <c r="D113" s="1" t="s">
        <v>458</v>
      </c>
      <c r="E113" s="1">
        <v>1.1426895948E10</v>
      </c>
      <c r="F113" s="1">
        <v>1.8402579805E10</v>
      </c>
      <c r="G113" s="10"/>
      <c r="H113" s="10"/>
      <c r="I113" s="1" t="s">
        <v>294</v>
      </c>
      <c r="J113" s="10"/>
      <c r="K113" s="1" t="s">
        <v>39</v>
      </c>
      <c r="L113" s="1" t="s">
        <v>236</v>
      </c>
      <c r="M113" s="9">
        <v>46083.0</v>
      </c>
      <c r="N113" s="9">
        <v>46097.0</v>
      </c>
      <c r="O113" s="11"/>
      <c r="Q113" s="1" t="s">
        <v>421</v>
      </c>
      <c r="R113" s="10"/>
      <c r="S113" s="1" t="s">
        <v>431</v>
      </c>
      <c r="T113" s="10"/>
    </row>
    <row r="114">
      <c r="A114" s="1" t="s">
        <v>420</v>
      </c>
      <c r="B114" s="1" t="s">
        <v>29</v>
      </c>
      <c r="C114" s="1" t="s">
        <v>459</v>
      </c>
      <c r="D114" s="1" t="s">
        <v>460</v>
      </c>
      <c r="E114" s="1">
        <v>1.142690511E10</v>
      </c>
      <c r="F114" s="1">
        <v>1.840257966E10</v>
      </c>
      <c r="G114" s="10"/>
      <c r="H114" s="10"/>
      <c r="I114" s="1" t="s">
        <v>294</v>
      </c>
      <c r="J114" s="10"/>
      <c r="K114" s="1" t="s">
        <v>39</v>
      </c>
      <c r="L114" s="1" t="s">
        <v>236</v>
      </c>
      <c r="M114" s="9">
        <v>46083.0</v>
      </c>
      <c r="N114" s="9">
        <v>46097.0</v>
      </c>
      <c r="O114" s="11"/>
      <c r="Q114" s="1" t="s">
        <v>421</v>
      </c>
      <c r="R114" s="10"/>
      <c r="S114" s="1" t="s">
        <v>431</v>
      </c>
      <c r="T114" s="10"/>
    </row>
    <row r="115">
      <c r="A115" s="1" t="s">
        <v>420</v>
      </c>
      <c r="B115" s="1" t="s">
        <v>29</v>
      </c>
      <c r="C115" s="1" t="s">
        <v>461</v>
      </c>
      <c r="D115" s="1" t="s">
        <v>462</v>
      </c>
      <c r="E115" s="1">
        <v>1.1426889334E10</v>
      </c>
      <c r="F115" s="1">
        <v>1.8402579565E10</v>
      </c>
      <c r="H115" s="10"/>
      <c r="I115" s="1" t="s">
        <v>294</v>
      </c>
      <c r="J115" s="10"/>
      <c r="K115" s="1" t="s">
        <v>39</v>
      </c>
      <c r="L115" s="1" t="s">
        <v>236</v>
      </c>
      <c r="M115" s="9">
        <v>46083.0</v>
      </c>
      <c r="N115" s="9">
        <v>46097.0</v>
      </c>
      <c r="O115" s="11"/>
      <c r="Q115" s="1" t="s">
        <v>421</v>
      </c>
      <c r="R115" s="10"/>
      <c r="S115" s="1" t="s">
        <v>32</v>
      </c>
      <c r="T115" s="10"/>
    </row>
    <row r="116">
      <c r="A116" s="1" t="s">
        <v>420</v>
      </c>
      <c r="B116" s="1" t="s">
        <v>29</v>
      </c>
      <c r="C116" s="1" t="s">
        <v>463</v>
      </c>
      <c r="D116" s="1" t="s">
        <v>464</v>
      </c>
      <c r="E116" s="1">
        <v>1.1426895034E10</v>
      </c>
      <c r="F116" s="1">
        <v>1.8402579438E10</v>
      </c>
      <c r="G116" s="10"/>
      <c r="H116" s="10"/>
      <c r="I116" s="1" t="s">
        <v>294</v>
      </c>
      <c r="J116" s="10"/>
      <c r="K116" s="1" t="s">
        <v>39</v>
      </c>
      <c r="L116" s="1" t="s">
        <v>236</v>
      </c>
      <c r="M116" s="9">
        <v>46083.0</v>
      </c>
      <c r="N116" s="9">
        <v>46097.0</v>
      </c>
      <c r="O116" s="11"/>
      <c r="Q116" s="1" t="s">
        <v>421</v>
      </c>
      <c r="R116" s="10"/>
      <c r="S116" s="1" t="s">
        <v>431</v>
      </c>
      <c r="T116" s="10"/>
    </row>
    <row r="117">
      <c r="A117" s="1" t="s">
        <v>420</v>
      </c>
      <c r="B117" s="1" t="s">
        <v>29</v>
      </c>
      <c r="C117" s="1" t="s">
        <v>465</v>
      </c>
      <c r="D117" s="1" t="s">
        <v>466</v>
      </c>
      <c r="E117" s="1">
        <v>1.142689628E10</v>
      </c>
      <c r="F117" s="1">
        <v>1.840257933E10</v>
      </c>
      <c r="G117" s="10"/>
      <c r="H117" s="10"/>
      <c r="I117" s="1" t="s">
        <v>294</v>
      </c>
      <c r="J117" s="10"/>
      <c r="K117" s="1" t="s">
        <v>39</v>
      </c>
      <c r="L117" s="1" t="s">
        <v>236</v>
      </c>
      <c r="M117" s="9">
        <v>46083.0</v>
      </c>
      <c r="N117" s="9">
        <v>46097.0</v>
      </c>
      <c r="O117" s="11"/>
      <c r="Q117" s="1" t="s">
        <v>421</v>
      </c>
      <c r="R117" s="10"/>
      <c r="S117" s="1" t="s">
        <v>426</v>
      </c>
      <c r="T117" s="10"/>
    </row>
    <row r="118">
      <c r="A118" s="1" t="s">
        <v>420</v>
      </c>
      <c r="B118" s="1" t="s">
        <v>29</v>
      </c>
      <c r="C118" s="1" t="s">
        <v>467</v>
      </c>
      <c r="D118" s="1" t="s">
        <v>468</v>
      </c>
      <c r="E118" s="1">
        <v>1.1426880162E10</v>
      </c>
      <c r="F118" s="1">
        <v>1.8402579105E10</v>
      </c>
      <c r="H118" s="10"/>
      <c r="I118" s="1" t="s">
        <v>294</v>
      </c>
      <c r="J118" s="10"/>
      <c r="K118" s="1" t="s">
        <v>39</v>
      </c>
      <c r="L118" s="1" t="s">
        <v>236</v>
      </c>
      <c r="M118" s="9">
        <v>46083.0</v>
      </c>
      <c r="N118" s="9">
        <v>46097.0</v>
      </c>
      <c r="O118" s="11"/>
      <c r="Q118" s="1" t="s">
        <v>421</v>
      </c>
      <c r="R118" s="10"/>
      <c r="S118" s="1" t="s">
        <v>431</v>
      </c>
      <c r="T118" s="10"/>
    </row>
    <row r="119">
      <c r="A119" s="1" t="s">
        <v>420</v>
      </c>
      <c r="B119" s="1" t="s">
        <v>29</v>
      </c>
      <c r="C119" s="1" t="s">
        <v>469</v>
      </c>
      <c r="D119" s="1" t="s">
        <v>470</v>
      </c>
      <c r="E119" s="1">
        <v>1.1426868492E10</v>
      </c>
      <c r="F119" s="1">
        <v>1.8402578968E10</v>
      </c>
      <c r="G119" s="10"/>
      <c r="H119" s="10"/>
      <c r="I119" s="1" t="s">
        <v>294</v>
      </c>
      <c r="J119" s="10"/>
      <c r="K119" s="1" t="s">
        <v>39</v>
      </c>
      <c r="L119" s="1" t="s">
        <v>236</v>
      </c>
      <c r="M119" s="9">
        <v>46083.0</v>
      </c>
      <c r="N119" s="9">
        <v>46097.0</v>
      </c>
      <c r="O119" s="11"/>
      <c r="Q119" s="1" t="s">
        <v>421</v>
      </c>
      <c r="R119" s="10"/>
      <c r="S119" s="1" t="s">
        <v>426</v>
      </c>
      <c r="T119" s="10"/>
    </row>
    <row r="120">
      <c r="A120" s="1" t="s">
        <v>420</v>
      </c>
      <c r="B120" s="1" t="s">
        <v>29</v>
      </c>
      <c r="C120" s="1" t="s">
        <v>471</v>
      </c>
      <c r="D120" s="1" t="s">
        <v>472</v>
      </c>
      <c r="E120" s="1">
        <v>1.1426839027E10</v>
      </c>
      <c r="F120" s="1">
        <v>1.8402578799E10</v>
      </c>
      <c r="G120" s="10"/>
      <c r="H120" s="10"/>
      <c r="I120" s="1" t="s">
        <v>294</v>
      </c>
      <c r="J120" s="10"/>
      <c r="K120" s="1" t="s">
        <v>39</v>
      </c>
      <c r="L120" s="1" t="s">
        <v>236</v>
      </c>
      <c r="M120" s="9">
        <v>46083.0</v>
      </c>
      <c r="N120" s="9">
        <v>46097.0</v>
      </c>
      <c r="O120" s="11"/>
      <c r="Q120" s="1" t="s">
        <v>421</v>
      </c>
      <c r="R120" s="10"/>
      <c r="S120" s="1" t="s">
        <v>426</v>
      </c>
      <c r="T120" s="10"/>
    </row>
    <row r="121">
      <c r="A121" s="1" t="s">
        <v>420</v>
      </c>
      <c r="B121" s="1" t="s">
        <v>29</v>
      </c>
      <c r="C121" s="1" t="s">
        <v>473</v>
      </c>
      <c r="D121" s="1" t="s">
        <v>474</v>
      </c>
      <c r="E121" s="1">
        <v>1.1426846107E10</v>
      </c>
      <c r="F121" s="1">
        <v>1.8402578687E10</v>
      </c>
      <c r="G121" s="10"/>
      <c r="H121" s="10"/>
      <c r="I121" s="1" t="s">
        <v>294</v>
      </c>
      <c r="J121" s="10"/>
      <c r="K121" s="1" t="s">
        <v>39</v>
      </c>
      <c r="L121" s="1" t="s">
        <v>236</v>
      </c>
      <c r="M121" s="9">
        <v>46083.0</v>
      </c>
      <c r="N121" s="9">
        <v>46097.0</v>
      </c>
      <c r="O121" s="11"/>
      <c r="Q121" s="1" t="s">
        <v>421</v>
      </c>
      <c r="R121" s="10"/>
      <c r="S121" s="1" t="s">
        <v>439</v>
      </c>
      <c r="T121" s="10"/>
    </row>
    <row r="122">
      <c r="A122" s="1" t="s">
        <v>420</v>
      </c>
      <c r="B122" s="1" t="s">
        <v>29</v>
      </c>
      <c r="C122" s="1" t="s">
        <v>475</v>
      </c>
      <c r="D122" s="1" t="s">
        <v>476</v>
      </c>
      <c r="E122" s="1">
        <v>1.1426843955E10</v>
      </c>
      <c r="F122" s="1">
        <v>1.840257845E10</v>
      </c>
      <c r="G122" s="10"/>
      <c r="H122" s="10"/>
      <c r="I122" s="1" t="s">
        <v>294</v>
      </c>
      <c r="J122" s="10"/>
      <c r="K122" s="1" t="s">
        <v>39</v>
      </c>
      <c r="L122" s="1" t="s">
        <v>236</v>
      </c>
      <c r="M122" s="9">
        <v>46083.0</v>
      </c>
      <c r="N122" s="9">
        <v>46097.0</v>
      </c>
      <c r="O122" s="11"/>
      <c r="Q122" s="1" t="s">
        <v>421</v>
      </c>
      <c r="R122" s="10"/>
      <c r="S122" s="1" t="s">
        <v>426</v>
      </c>
      <c r="T122" s="10"/>
    </row>
    <row r="123">
      <c r="A123" s="1" t="s">
        <v>420</v>
      </c>
      <c r="B123" s="1" t="s">
        <v>29</v>
      </c>
      <c r="C123" s="1" t="s">
        <v>270</v>
      </c>
      <c r="D123" s="1" t="s">
        <v>271</v>
      </c>
      <c r="E123" s="1">
        <v>1.142629569E10</v>
      </c>
      <c r="F123" s="1">
        <v>1.8402568518E10</v>
      </c>
      <c r="G123" s="10"/>
      <c r="H123" s="10"/>
      <c r="I123" s="1" t="s">
        <v>294</v>
      </c>
      <c r="J123" s="10"/>
      <c r="K123" s="1" t="s">
        <v>39</v>
      </c>
      <c r="L123" s="1" t="s">
        <v>236</v>
      </c>
      <c r="M123" s="9">
        <v>46083.0</v>
      </c>
      <c r="N123" s="9">
        <v>46097.0</v>
      </c>
      <c r="O123" s="11"/>
      <c r="Q123" s="1" t="s">
        <v>271</v>
      </c>
      <c r="R123" s="10"/>
      <c r="S123" s="1" t="s">
        <v>5</v>
      </c>
      <c r="T123" s="10"/>
    </row>
    <row r="124">
      <c r="A124" s="1" t="s">
        <v>420</v>
      </c>
      <c r="B124" s="1" t="s">
        <v>29</v>
      </c>
      <c r="C124" s="1" t="s">
        <v>253</v>
      </c>
      <c r="D124" s="1" t="s">
        <v>254</v>
      </c>
      <c r="E124" s="1">
        <v>1.1426311606E10</v>
      </c>
      <c r="F124" s="1">
        <v>1.8402568372E10</v>
      </c>
      <c r="G124" s="10"/>
      <c r="H124" s="10"/>
      <c r="I124" s="1" t="s">
        <v>294</v>
      </c>
      <c r="J124" s="10"/>
      <c r="K124" s="1" t="s">
        <v>39</v>
      </c>
      <c r="L124" s="1" t="s">
        <v>236</v>
      </c>
      <c r="M124" s="9">
        <v>46083.0</v>
      </c>
      <c r="N124" s="9">
        <v>46097.0</v>
      </c>
      <c r="O124" s="11"/>
      <c r="Q124" s="1" t="s">
        <v>254</v>
      </c>
      <c r="R124" s="10"/>
      <c r="S124" s="1" t="s">
        <v>5</v>
      </c>
      <c r="T124" s="10"/>
    </row>
    <row r="125">
      <c r="A125" s="1" t="s">
        <v>420</v>
      </c>
      <c r="B125" s="1" t="s">
        <v>29</v>
      </c>
      <c r="C125" s="1" t="s">
        <v>238</v>
      </c>
      <c r="D125" s="1" t="s">
        <v>239</v>
      </c>
      <c r="E125" s="1">
        <v>1.1426266024E10</v>
      </c>
      <c r="F125" s="1">
        <v>1.8402568111E10</v>
      </c>
      <c r="G125" s="10"/>
      <c r="H125" s="10"/>
      <c r="I125" s="1" t="s">
        <v>294</v>
      </c>
      <c r="J125" s="10"/>
      <c r="K125" s="1" t="s">
        <v>39</v>
      </c>
      <c r="L125" s="1" t="s">
        <v>236</v>
      </c>
      <c r="M125" s="9">
        <v>46083.0</v>
      </c>
      <c r="N125" s="9">
        <v>46097.0</v>
      </c>
      <c r="O125" s="11"/>
      <c r="Q125" s="1" t="s">
        <v>241</v>
      </c>
      <c r="R125" s="10"/>
      <c r="S125" s="1" t="s">
        <v>5</v>
      </c>
      <c r="T125" s="10"/>
    </row>
    <row r="126">
      <c r="A126" s="1" t="s">
        <v>420</v>
      </c>
      <c r="B126" s="1" t="s">
        <v>29</v>
      </c>
      <c r="C126" s="1" t="s">
        <v>477</v>
      </c>
      <c r="D126" s="1" t="s">
        <v>478</v>
      </c>
      <c r="E126" s="1">
        <v>1.1426247494E10</v>
      </c>
      <c r="F126" s="1">
        <v>1.8402567609E10</v>
      </c>
      <c r="G126" s="10"/>
      <c r="H126" s="10"/>
      <c r="I126" s="1" t="s">
        <v>294</v>
      </c>
      <c r="J126" s="10"/>
      <c r="K126" s="1" t="s">
        <v>39</v>
      </c>
      <c r="L126" s="1" t="s">
        <v>236</v>
      </c>
      <c r="M126" s="9">
        <v>46083.0</v>
      </c>
      <c r="N126" s="9">
        <v>46097.0</v>
      </c>
      <c r="O126" s="11"/>
      <c r="Q126" s="1" t="s">
        <v>478</v>
      </c>
      <c r="R126" s="10"/>
      <c r="S126" s="1" t="s">
        <v>5</v>
      </c>
      <c r="T126" s="10"/>
    </row>
    <row r="127">
      <c r="A127" s="1" t="s">
        <v>420</v>
      </c>
      <c r="B127" s="1" t="s">
        <v>29</v>
      </c>
      <c r="C127" s="1" t="s">
        <v>322</v>
      </c>
      <c r="D127" s="1" t="s">
        <v>323</v>
      </c>
      <c r="E127" s="1">
        <v>1.1426239571E10</v>
      </c>
      <c r="F127" s="1">
        <v>1.8402567457E10</v>
      </c>
      <c r="G127" s="10"/>
      <c r="H127" s="10"/>
      <c r="I127" s="1" t="s">
        <v>294</v>
      </c>
      <c r="J127" s="10"/>
      <c r="K127" s="1" t="s">
        <v>39</v>
      </c>
      <c r="L127" s="1" t="s">
        <v>236</v>
      </c>
      <c r="M127" s="9">
        <v>46083.0</v>
      </c>
      <c r="N127" s="9">
        <v>46097.0</v>
      </c>
      <c r="O127" s="11"/>
      <c r="Q127" s="1" t="s">
        <v>323</v>
      </c>
      <c r="R127" s="10"/>
      <c r="S127" s="1" t="s">
        <v>5</v>
      </c>
      <c r="T127" s="10"/>
    </row>
    <row r="128">
      <c r="A128" s="1" t="s">
        <v>420</v>
      </c>
      <c r="B128" s="1" t="s">
        <v>29</v>
      </c>
      <c r="C128" s="1" t="s">
        <v>479</v>
      </c>
      <c r="D128" s="1" t="s">
        <v>480</v>
      </c>
      <c r="E128" s="1">
        <v>1.142622931E10</v>
      </c>
      <c r="F128" s="1">
        <v>1.8402567312E10</v>
      </c>
      <c r="G128" s="10"/>
      <c r="H128" s="10"/>
      <c r="I128" s="1" t="s">
        <v>294</v>
      </c>
      <c r="J128" s="10"/>
      <c r="K128" s="1" t="s">
        <v>39</v>
      </c>
      <c r="L128" s="1" t="s">
        <v>236</v>
      </c>
      <c r="M128" s="9">
        <v>46083.0</v>
      </c>
      <c r="N128" s="9">
        <v>46097.0</v>
      </c>
      <c r="O128" s="11"/>
      <c r="Q128" s="1" t="s">
        <v>480</v>
      </c>
      <c r="R128" s="10"/>
      <c r="S128" s="1" t="s">
        <v>5</v>
      </c>
      <c r="T128" s="10"/>
    </row>
    <row r="129">
      <c r="A129" s="1" t="s">
        <v>420</v>
      </c>
      <c r="B129" s="1" t="s">
        <v>29</v>
      </c>
      <c r="C129" s="1" t="s">
        <v>481</v>
      </c>
      <c r="D129" s="1" t="s">
        <v>482</v>
      </c>
      <c r="E129" s="1">
        <v>1.1426223132E10</v>
      </c>
      <c r="F129" s="1">
        <v>1.8402567162E10</v>
      </c>
      <c r="G129" s="10"/>
      <c r="H129" s="10"/>
      <c r="I129" s="1" t="s">
        <v>294</v>
      </c>
      <c r="J129" s="10"/>
      <c r="K129" s="1" t="s">
        <v>39</v>
      </c>
      <c r="L129" s="1" t="s">
        <v>236</v>
      </c>
      <c r="M129" s="9">
        <v>46083.0</v>
      </c>
      <c r="N129" s="9">
        <v>46097.0</v>
      </c>
      <c r="O129" s="11"/>
      <c r="Q129" s="1" t="s">
        <v>482</v>
      </c>
      <c r="R129" s="10"/>
      <c r="S129" s="1" t="s">
        <v>5</v>
      </c>
      <c r="T129" s="10"/>
    </row>
    <row r="130">
      <c r="A130" s="1" t="s">
        <v>420</v>
      </c>
      <c r="B130" s="1" t="s">
        <v>29</v>
      </c>
      <c r="C130" s="1" t="s">
        <v>483</v>
      </c>
      <c r="D130" s="1" t="s">
        <v>484</v>
      </c>
      <c r="E130" s="1">
        <v>1.1416650838E10</v>
      </c>
      <c r="F130" s="1">
        <v>1.8402404464E10</v>
      </c>
      <c r="G130" s="10"/>
      <c r="H130" s="10"/>
      <c r="I130" s="1" t="s">
        <v>294</v>
      </c>
      <c r="J130" s="10"/>
      <c r="K130" s="1" t="s">
        <v>39</v>
      </c>
      <c r="L130" s="1" t="s">
        <v>236</v>
      </c>
      <c r="M130" s="9">
        <v>46083.0</v>
      </c>
      <c r="N130" s="9">
        <v>46097.0</v>
      </c>
      <c r="O130" s="11"/>
      <c r="Q130" s="10"/>
      <c r="R130" s="10"/>
      <c r="S130" s="1" t="s">
        <v>439</v>
      </c>
      <c r="T130" s="10"/>
    </row>
    <row r="131">
      <c r="A131" s="1" t="s">
        <v>420</v>
      </c>
      <c r="B131" s="1" t="s">
        <v>29</v>
      </c>
      <c r="C131" s="1" t="s">
        <v>302</v>
      </c>
      <c r="D131" s="1" t="s">
        <v>303</v>
      </c>
      <c r="E131" s="1">
        <v>1.1425924703E10</v>
      </c>
      <c r="F131" s="1">
        <v>1.8402561158E10</v>
      </c>
      <c r="G131" s="10"/>
      <c r="H131" s="10"/>
      <c r="I131" s="1" t="s">
        <v>294</v>
      </c>
      <c r="J131" s="10"/>
      <c r="K131" s="1" t="s">
        <v>39</v>
      </c>
      <c r="L131" s="1" t="s">
        <v>236</v>
      </c>
      <c r="M131" s="9">
        <v>46083.0</v>
      </c>
      <c r="N131" s="9">
        <v>46097.0</v>
      </c>
      <c r="O131" s="11"/>
      <c r="Q131" s="1" t="s">
        <v>304</v>
      </c>
      <c r="R131" s="10"/>
      <c r="S131" s="1" t="s">
        <v>5</v>
      </c>
      <c r="T131" s="10"/>
    </row>
    <row r="132">
      <c r="A132" s="1" t="s">
        <v>420</v>
      </c>
      <c r="B132" s="1" t="s">
        <v>29</v>
      </c>
      <c r="C132" s="1" t="s">
        <v>485</v>
      </c>
      <c r="D132" s="1" t="s">
        <v>486</v>
      </c>
      <c r="E132" s="1">
        <v>1.1416791586E10</v>
      </c>
      <c r="F132" s="1">
        <v>1.8402407351E10</v>
      </c>
      <c r="H132" s="10"/>
      <c r="I132" s="1" t="s">
        <v>294</v>
      </c>
      <c r="J132" s="10"/>
      <c r="K132" s="1" t="s">
        <v>39</v>
      </c>
      <c r="L132" s="1" t="s">
        <v>236</v>
      </c>
      <c r="M132" s="9">
        <v>46083.0</v>
      </c>
      <c r="N132" s="9">
        <v>46097.0</v>
      </c>
      <c r="O132" s="11"/>
      <c r="Q132" s="10"/>
      <c r="R132" s="10"/>
      <c r="S132" s="10"/>
      <c r="T132" s="10"/>
    </row>
    <row r="133">
      <c r="A133" s="1" t="s">
        <v>420</v>
      </c>
      <c r="B133" s="1" t="s">
        <v>29</v>
      </c>
      <c r="C133" s="1" t="s">
        <v>487</v>
      </c>
      <c r="D133" s="1" t="s">
        <v>488</v>
      </c>
      <c r="E133" s="1">
        <v>1.1416932109E10</v>
      </c>
      <c r="F133" s="1">
        <v>1.8402411178E10</v>
      </c>
      <c r="H133" s="10"/>
      <c r="I133" s="1" t="s">
        <v>294</v>
      </c>
      <c r="J133" s="10"/>
      <c r="K133" s="1" t="s">
        <v>39</v>
      </c>
      <c r="L133" s="1" t="s">
        <v>236</v>
      </c>
      <c r="M133" s="9">
        <v>46083.0</v>
      </c>
      <c r="N133" s="9">
        <v>46097.0</v>
      </c>
      <c r="O133" s="11"/>
      <c r="Q133" s="10"/>
      <c r="R133" s="10"/>
      <c r="S133" s="1" t="s">
        <v>32</v>
      </c>
      <c r="T133" s="10"/>
    </row>
    <row r="134">
      <c r="A134" s="1" t="s">
        <v>420</v>
      </c>
      <c r="B134" s="1" t="s">
        <v>29</v>
      </c>
      <c r="C134" s="1" t="s">
        <v>489</v>
      </c>
      <c r="D134" s="1" t="s">
        <v>490</v>
      </c>
      <c r="E134" s="1">
        <v>1.1416903126E10</v>
      </c>
      <c r="F134" s="1">
        <v>1.8402409821E10</v>
      </c>
      <c r="G134" s="10"/>
      <c r="H134" s="10"/>
      <c r="I134" s="1" t="s">
        <v>294</v>
      </c>
      <c r="J134" s="10"/>
      <c r="K134" s="1" t="s">
        <v>39</v>
      </c>
      <c r="L134" s="1" t="s">
        <v>236</v>
      </c>
      <c r="M134" s="9">
        <v>46083.0</v>
      </c>
      <c r="N134" s="9">
        <v>46097.0</v>
      </c>
      <c r="O134" s="11"/>
      <c r="Q134" s="10"/>
      <c r="R134" s="10"/>
      <c r="S134" s="1" t="s">
        <v>491</v>
      </c>
      <c r="T134" s="10"/>
    </row>
    <row r="135">
      <c r="A135" s="1" t="s">
        <v>420</v>
      </c>
      <c r="B135" s="1" t="s">
        <v>29</v>
      </c>
      <c r="C135" s="1" t="s">
        <v>492</v>
      </c>
      <c r="D135" s="1" t="s">
        <v>493</v>
      </c>
      <c r="E135" s="1">
        <v>1.1416709745E10</v>
      </c>
      <c r="F135" s="1">
        <v>1.8402404892E10</v>
      </c>
      <c r="H135" s="10"/>
      <c r="I135" s="1" t="s">
        <v>294</v>
      </c>
      <c r="J135" s="10"/>
      <c r="K135" s="1" t="s">
        <v>39</v>
      </c>
      <c r="L135" s="1" t="s">
        <v>236</v>
      </c>
      <c r="M135" s="9">
        <v>46083.0</v>
      </c>
      <c r="N135" s="9">
        <v>46097.0</v>
      </c>
      <c r="O135" s="11"/>
      <c r="Q135" s="10"/>
      <c r="R135" s="10"/>
      <c r="S135" s="1" t="s">
        <v>426</v>
      </c>
      <c r="T135" s="10"/>
    </row>
    <row r="136">
      <c r="A136" s="1" t="s">
        <v>420</v>
      </c>
      <c r="B136" s="1" t="s">
        <v>29</v>
      </c>
      <c r="C136" s="1" t="s">
        <v>494</v>
      </c>
      <c r="D136" s="1" t="s">
        <v>495</v>
      </c>
      <c r="E136" s="1">
        <v>1.142603822E10</v>
      </c>
      <c r="F136" s="1">
        <v>1.8402562945E10</v>
      </c>
      <c r="G136" s="10"/>
      <c r="H136" s="10"/>
      <c r="I136" s="1" t="s">
        <v>294</v>
      </c>
      <c r="J136" s="10"/>
      <c r="K136" s="1" t="s">
        <v>39</v>
      </c>
      <c r="L136" s="1" t="s">
        <v>236</v>
      </c>
      <c r="M136" s="9">
        <v>46083.0</v>
      </c>
      <c r="N136" s="9">
        <v>46097.0</v>
      </c>
      <c r="O136" s="11"/>
      <c r="Q136" s="1" t="s">
        <v>495</v>
      </c>
      <c r="R136" s="10"/>
      <c r="S136" s="1" t="s">
        <v>5</v>
      </c>
      <c r="T136" s="10"/>
    </row>
    <row r="137">
      <c r="A137" s="1" t="s">
        <v>420</v>
      </c>
      <c r="B137" s="1" t="s">
        <v>29</v>
      </c>
      <c r="C137" s="1" t="s">
        <v>496</v>
      </c>
      <c r="D137" s="1" t="s">
        <v>497</v>
      </c>
      <c r="E137" s="1">
        <v>1.1416697244E10</v>
      </c>
      <c r="F137" s="1">
        <v>1.8402405099E10</v>
      </c>
      <c r="G137" s="10"/>
      <c r="H137" s="10"/>
      <c r="I137" s="1" t="s">
        <v>294</v>
      </c>
      <c r="J137" s="10"/>
      <c r="K137" s="1" t="s">
        <v>39</v>
      </c>
      <c r="L137" s="1" t="s">
        <v>236</v>
      </c>
      <c r="M137" s="9">
        <v>46083.0</v>
      </c>
      <c r="N137" s="9">
        <v>46097.0</v>
      </c>
      <c r="O137" s="11"/>
      <c r="Q137" s="10"/>
      <c r="R137" s="10"/>
      <c r="S137" s="1" t="s">
        <v>426</v>
      </c>
      <c r="T137" s="10"/>
    </row>
    <row r="138">
      <c r="A138" s="1" t="s">
        <v>420</v>
      </c>
      <c r="B138" s="1" t="s">
        <v>29</v>
      </c>
      <c r="C138" s="1" t="s">
        <v>498</v>
      </c>
      <c r="D138" s="1" t="s">
        <v>499</v>
      </c>
      <c r="E138" s="1">
        <v>1.1416711884E10</v>
      </c>
      <c r="F138" s="1">
        <v>1.8402405438E10</v>
      </c>
      <c r="H138" s="10"/>
      <c r="I138" s="1" t="s">
        <v>294</v>
      </c>
      <c r="J138" s="10"/>
      <c r="K138" s="1" t="s">
        <v>39</v>
      </c>
      <c r="L138" s="1" t="s">
        <v>236</v>
      </c>
      <c r="M138" s="9">
        <v>46083.0</v>
      </c>
      <c r="N138" s="9">
        <v>46097.0</v>
      </c>
      <c r="O138" s="11"/>
      <c r="Q138" s="10"/>
      <c r="R138" s="10"/>
      <c r="S138" s="1" t="s">
        <v>431</v>
      </c>
      <c r="T138" s="10"/>
    </row>
    <row r="139">
      <c r="A139" s="1" t="s">
        <v>420</v>
      </c>
      <c r="B139" s="1" t="s">
        <v>29</v>
      </c>
      <c r="C139" s="1" t="s">
        <v>500</v>
      </c>
      <c r="D139" s="1" t="s">
        <v>501</v>
      </c>
      <c r="E139" s="1">
        <v>1.1416934586E10</v>
      </c>
      <c r="F139" s="1">
        <v>1.8402410994E10</v>
      </c>
      <c r="G139" s="10"/>
      <c r="H139" s="10"/>
      <c r="I139" s="1" t="s">
        <v>294</v>
      </c>
      <c r="J139" s="10"/>
      <c r="K139" s="1" t="s">
        <v>39</v>
      </c>
      <c r="L139" s="1" t="s">
        <v>236</v>
      </c>
      <c r="M139" s="9">
        <v>46083.0</v>
      </c>
      <c r="N139" s="9">
        <v>46097.0</v>
      </c>
      <c r="O139" s="11"/>
      <c r="Q139" s="10"/>
      <c r="R139" s="10"/>
      <c r="S139" s="1" t="s">
        <v>32</v>
      </c>
      <c r="T139" s="10"/>
    </row>
    <row r="140">
      <c r="A140" s="1" t="s">
        <v>420</v>
      </c>
      <c r="B140" s="1" t="s">
        <v>29</v>
      </c>
      <c r="C140" s="1" t="s">
        <v>276</v>
      </c>
      <c r="D140" s="1" t="s">
        <v>277</v>
      </c>
      <c r="E140" s="1">
        <v>1.1426061729E10</v>
      </c>
      <c r="F140" s="1">
        <v>1.8402563983E10</v>
      </c>
      <c r="G140" s="10"/>
      <c r="H140" s="10"/>
      <c r="I140" s="1" t="s">
        <v>294</v>
      </c>
      <c r="J140" s="10"/>
      <c r="K140" s="1" t="s">
        <v>39</v>
      </c>
      <c r="L140" s="1" t="s">
        <v>236</v>
      </c>
      <c r="M140" s="9">
        <v>46083.0</v>
      </c>
      <c r="N140" s="9">
        <v>46097.0</v>
      </c>
      <c r="O140" s="11"/>
      <c r="Q140" s="1" t="s">
        <v>278</v>
      </c>
      <c r="R140" s="10"/>
      <c r="S140" s="1" t="s">
        <v>5</v>
      </c>
      <c r="T140" s="10"/>
    </row>
    <row r="141">
      <c r="A141" s="1" t="s">
        <v>420</v>
      </c>
      <c r="B141" s="1" t="s">
        <v>29</v>
      </c>
      <c r="C141" s="1" t="s">
        <v>280</v>
      </c>
      <c r="D141" s="1" t="s">
        <v>281</v>
      </c>
      <c r="E141" s="1">
        <v>1.1426047216E10</v>
      </c>
      <c r="F141" s="1">
        <v>1.8402563866E10</v>
      </c>
      <c r="G141" s="10"/>
      <c r="H141" s="10"/>
      <c r="I141" s="1" t="s">
        <v>294</v>
      </c>
      <c r="J141" s="10"/>
      <c r="K141" s="1" t="s">
        <v>39</v>
      </c>
      <c r="L141" s="1" t="s">
        <v>236</v>
      </c>
      <c r="M141" s="9">
        <v>46083.0</v>
      </c>
      <c r="N141" s="9">
        <v>46097.0</v>
      </c>
      <c r="O141" s="11"/>
      <c r="Q141" s="1" t="s">
        <v>281</v>
      </c>
      <c r="R141" s="10"/>
      <c r="S141" s="1" t="s">
        <v>5</v>
      </c>
      <c r="T141" s="10"/>
    </row>
    <row r="142">
      <c r="A142" s="1" t="s">
        <v>420</v>
      </c>
      <c r="B142" s="1" t="s">
        <v>29</v>
      </c>
      <c r="C142" s="1" t="s">
        <v>502</v>
      </c>
      <c r="D142" s="1" t="s">
        <v>503</v>
      </c>
      <c r="E142" s="1">
        <v>1.1416861516E10</v>
      </c>
      <c r="F142" s="1">
        <v>1.8402409E10</v>
      </c>
      <c r="G142" s="10"/>
      <c r="H142" s="10"/>
      <c r="I142" s="1" t="s">
        <v>294</v>
      </c>
      <c r="J142" s="10"/>
      <c r="K142" s="1" t="s">
        <v>39</v>
      </c>
      <c r="L142" s="1" t="s">
        <v>236</v>
      </c>
      <c r="M142" s="9">
        <v>46083.0</v>
      </c>
      <c r="N142" s="9">
        <v>46097.0</v>
      </c>
      <c r="O142" s="11"/>
      <c r="Q142" s="10"/>
      <c r="R142" s="10"/>
      <c r="S142" s="1" t="s">
        <v>504</v>
      </c>
      <c r="T142" s="10"/>
    </row>
    <row r="143">
      <c r="A143" s="1" t="s">
        <v>420</v>
      </c>
      <c r="B143" s="1" t="s">
        <v>29</v>
      </c>
      <c r="C143" s="1" t="s">
        <v>505</v>
      </c>
      <c r="D143" s="1" t="s">
        <v>506</v>
      </c>
      <c r="E143" s="1">
        <v>1.1416887485E10</v>
      </c>
      <c r="F143" s="1">
        <v>1.8402409223E10</v>
      </c>
      <c r="G143" s="10"/>
      <c r="H143" s="10"/>
      <c r="I143" s="1" t="s">
        <v>294</v>
      </c>
      <c r="J143" s="10"/>
      <c r="K143" s="1" t="s">
        <v>39</v>
      </c>
      <c r="L143" s="1" t="s">
        <v>236</v>
      </c>
      <c r="M143" s="9">
        <v>46083.0</v>
      </c>
      <c r="N143" s="9">
        <v>46097.0</v>
      </c>
      <c r="O143" s="11"/>
      <c r="Q143" s="10"/>
      <c r="R143" s="10"/>
      <c r="S143" s="1" t="s">
        <v>504</v>
      </c>
      <c r="T143" s="10"/>
    </row>
    <row r="144">
      <c r="A144" s="1" t="s">
        <v>420</v>
      </c>
      <c r="B144" s="1" t="s">
        <v>29</v>
      </c>
      <c r="C144" s="1" t="s">
        <v>507</v>
      </c>
      <c r="D144" s="1" t="s">
        <v>508</v>
      </c>
      <c r="E144" s="1">
        <v>1.1416805859E10</v>
      </c>
      <c r="F144" s="1">
        <v>1.8402407264E10</v>
      </c>
      <c r="G144" s="10"/>
      <c r="H144" s="10"/>
      <c r="I144" s="1" t="s">
        <v>294</v>
      </c>
      <c r="J144" s="10"/>
      <c r="K144" s="1" t="s">
        <v>39</v>
      </c>
      <c r="L144" s="1" t="s">
        <v>236</v>
      </c>
      <c r="M144" s="9">
        <v>46083.0</v>
      </c>
      <c r="N144" s="9">
        <v>46097.0</v>
      </c>
      <c r="O144" s="11"/>
      <c r="Q144" s="10"/>
      <c r="R144" s="10"/>
      <c r="S144" s="1" t="s">
        <v>431</v>
      </c>
      <c r="T144" s="10"/>
    </row>
    <row r="145">
      <c r="A145" s="1" t="s">
        <v>420</v>
      </c>
      <c r="B145" s="1" t="s">
        <v>29</v>
      </c>
      <c r="C145" s="1" t="s">
        <v>509</v>
      </c>
      <c r="D145" s="1" t="s">
        <v>510</v>
      </c>
      <c r="E145" s="1">
        <v>1.1426093612E10</v>
      </c>
      <c r="F145" s="1">
        <v>1.840256417E10</v>
      </c>
      <c r="G145" s="10"/>
      <c r="H145" s="10"/>
      <c r="I145" s="1" t="s">
        <v>294</v>
      </c>
      <c r="J145" s="10"/>
      <c r="K145" s="1" t="s">
        <v>39</v>
      </c>
      <c r="L145" s="1" t="s">
        <v>236</v>
      </c>
      <c r="M145" s="9">
        <v>46083.0</v>
      </c>
      <c r="N145" s="9">
        <v>46097.0</v>
      </c>
      <c r="O145" s="11"/>
      <c r="Q145" s="1" t="s">
        <v>510</v>
      </c>
      <c r="R145" s="10"/>
      <c r="S145" s="1" t="s">
        <v>5</v>
      </c>
      <c r="T145" s="10"/>
    </row>
    <row r="146">
      <c r="A146" s="1" t="s">
        <v>420</v>
      </c>
      <c r="B146" s="1" t="s">
        <v>29</v>
      </c>
      <c r="C146" s="1" t="s">
        <v>511</v>
      </c>
      <c r="D146" s="1" t="s">
        <v>512</v>
      </c>
      <c r="E146" s="1">
        <v>1.1416814782E10</v>
      </c>
      <c r="F146" s="1">
        <v>1.8402407798E10</v>
      </c>
      <c r="G146" s="10"/>
      <c r="H146" s="10"/>
      <c r="I146" s="1" t="s">
        <v>294</v>
      </c>
      <c r="J146" s="10"/>
      <c r="K146" s="1" t="s">
        <v>39</v>
      </c>
      <c r="L146" s="1" t="s">
        <v>236</v>
      </c>
      <c r="M146" s="9">
        <v>46083.0</v>
      </c>
      <c r="N146" s="9">
        <v>46097.0</v>
      </c>
      <c r="O146" s="11"/>
      <c r="Q146" s="10"/>
      <c r="R146" s="10"/>
      <c r="S146" s="1" t="s">
        <v>513</v>
      </c>
      <c r="T146" s="10"/>
    </row>
    <row r="147">
      <c r="A147" s="1" t="s">
        <v>420</v>
      </c>
      <c r="B147" s="1" t="s">
        <v>29</v>
      </c>
      <c r="C147" s="1" t="s">
        <v>514</v>
      </c>
      <c r="D147" s="1" t="s">
        <v>515</v>
      </c>
      <c r="E147" s="1">
        <v>1.1416886268E10</v>
      </c>
      <c r="F147" s="1">
        <v>1.8402408813E10</v>
      </c>
      <c r="G147" s="10"/>
      <c r="H147" s="10"/>
      <c r="I147" s="1" t="s">
        <v>294</v>
      </c>
      <c r="J147" s="10"/>
      <c r="K147" s="1" t="s">
        <v>39</v>
      </c>
      <c r="L147" s="1" t="s">
        <v>236</v>
      </c>
      <c r="M147" s="9">
        <v>46083.0</v>
      </c>
      <c r="N147" s="9">
        <v>46097.0</v>
      </c>
      <c r="O147" s="11"/>
      <c r="Q147" s="10"/>
      <c r="R147" s="10"/>
      <c r="S147" s="1" t="s">
        <v>504</v>
      </c>
      <c r="T147" s="10"/>
    </row>
    <row r="148">
      <c r="A148" s="1" t="s">
        <v>420</v>
      </c>
      <c r="B148" s="1" t="s">
        <v>29</v>
      </c>
      <c r="C148" s="1" t="s">
        <v>245</v>
      </c>
      <c r="D148" s="1" t="s">
        <v>246</v>
      </c>
      <c r="E148" s="1">
        <v>1.1426094215E10</v>
      </c>
      <c r="F148" s="1">
        <v>1.8402564263E10</v>
      </c>
      <c r="G148" s="10"/>
      <c r="H148" s="10"/>
      <c r="I148" s="1" t="s">
        <v>294</v>
      </c>
      <c r="J148" s="10"/>
      <c r="K148" s="1" t="s">
        <v>39</v>
      </c>
      <c r="L148" s="1" t="s">
        <v>236</v>
      </c>
      <c r="M148" s="9">
        <v>46083.0</v>
      </c>
      <c r="N148" s="9">
        <v>46097.0</v>
      </c>
      <c r="O148" s="11"/>
      <c r="Q148" s="1" t="s">
        <v>246</v>
      </c>
      <c r="R148" s="10"/>
      <c r="S148" s="1" t="s">
        <v>5</v>
      </c>
      <c r="T148" s="10"/>
    </row>
    <row r="149">
      <c r="A149" s="1" t="s">
        <v>420</v>
      </c>
      <c r="B149" s="1" t="s">
        <v>29</v>
      </c>
      <c r="C149" s="1" t="s">
        <v>516</v>
      </c>
      <c r="D149" s="1" t="s">
        <v>517</v>
      </c>
      <c r="E149" s="1">
        <v>1.1426075799E10</v>
      </c>
      <c r="F149" s="1">
        <v>1.8402564352E10</v>
      </c>
      <c r="G149" s="10"/>
      <c r="H149" s="10"/>
      <c r="I149" s="1" t="s">
        <v>294</v>
      </c>
      <c r="J149" s="10"/>
      <c r="K149" s="1" t="s">
        <v>39</v>
      </c>
      <c r="L149" s="1" t="s">
        <v>236</v>
      </c>
      <c r="M149" s="9">
        <v>46083.0</v>
      </c>
      <c r="N149" s="9">
        <v>46097.0</v>
      </c>
      <c r="O149" s="11"/>
      <c r="Q149" s="1" t="s">
        <v>517</v>
      </c>
      <c r="R149" s="10"/>
      <c r="S149" s="1" t="s">
        <v>5</v>
      </c>
      <c r="T149" s="10"/>
    </row>
    <row r="150">
      <c r="A150" s="1" t="s">
        <v>420</v>
      </c>
      <c r="B150" s="1" t="s">
        <v>29</v>
      </c>
      <c r="C150" s="1" t="s">
        <v>518</v>
      </c>
      <c r="D150" s="1" t="s">
        <v>519</v>
      </c>
      <c r="E150" s="1">
        <v>1.1416706058E10</v>
      </c>
      <c r="F150" s="1">
        <v>1.8402405223E10</v>
      </c>
      <c r="G150" s="10"/>
      <c r="H150" s="10"/>
      <c r="I150" s="1" t="s">
        <v>294</v>
      </c>
      <c r="J150" s="10"/>
      <c r="K150" s="1" t="s">
        <v>39</v>
      </c>
      <c r="L150" s="1" t="s">
        <v>236</v>
      </c>
      <c r="M150" s="9">
        <v>46083.0</v>
      </c>
      <c r="N150" s="9">
        <v>46097.0</v>
      </c>
      <c r="O150" s="11"/>
      <c r="Q150" s="10"/>
      <c r="R150" s="10"/>
      <c r="S150" s="1" t="s">
        <v>426</v>
      </c>
      <c r="T150" s="10"/>
    </row>
    <row r="151">
      <c r="A151" s="1" t="s">
        <v>420</v>
      </c>
      <c r="B151" s="1" t="s">
        <v>29</v>
      </c>
      <c r="C151" s="1" t="s">
        <v>520</v>
      </c>
      <c r="D151" s="1" t="s">
        <v>521</v>
      </c>
      <c r="E151" s="1">
        <v>1.1416878966E10</v>
      </c>
      <c r="F151" s="1">
        <v>1.8402409269E10</v>
      </c>
      <c r="G151" s="10"/>
      <c r="H151" s="10"/>
      <c r="I151" s="1" t="s">
        <v>294</v>
      </c>
      <c r="J151" s="10"/>
      <c r="K151" s="1" t="s">
        <v>39</v>
      </c>
      <c r="L151" s="1" t="s">
        <v>236</v>
      </c>
      <c r="M151" s="9">
        <v>46083.0</v>
      </c>
      <c r="N151" s="9">
        <v>46097.0</v>
      </c>
      <c r="O151" s="11"/>
      <c r="Q151" s="10"/>
      <c r="R151" s="10"/>
      <c r="S151" s="1" t="s">
        <v>504</v>
      </c>
      <c r="T151" s="10"/>
    </row>
    <row r="152">
      <c r="A152" s="1" t="s">
        <v>420</v>
      </c>
      <c r="B152" s="1" t="s">
        <v>29</v>
      </c>
      <c r="C152" s="1" t="s">
        <v>522</v>
      </c>
      <c r="D152" s="1" t="s">
        <v>523</v>
      </c>
      <c r="E152" s="1">
        <v>1.1416939673E10</v>
      </c>
      <c r="F152" s="1">
        <v>1.8402410902E10</v>
      </c>
      <c r="G152" s="10"/>
      <c r="H152" s="10"/>
      <c r="I152" s="1" t="s">
        <v>294</v>
      </c>
      <c r="J152" s="10"/>
      <c r="K152" s="1" t="s">
        <v>39</v>
      </c>
      <c r="L152" s="1" t="s">
        <v>236</v>
      </c>
      <c r="M152" s="9">
        <v>46083.0</v>
      </c>
      <c r="N152" s="9">
        <v>46097.0</v>
      </c>
      <c r="O152" s="11"/>
      <c r="Q152" s="10"/>
      <c r="R152" s="10"/>
      <c r="S152" s="1" t="s">
        <v>32</v>
      </c>
      <c r="T152" s="10"/>
    </row>
    <row r="153">
      <c r="A153" s="1" t="s">
        <v>420</v>
      </c>
      <c r="B153" s="1" t="s">
        <v>29</v>
      </c>
      <c r="C153" s="1" t="s">
        <v>524</v>
      </c>
      <c r="D153" s="1" t="s">
        <v>525</v>
      </c>
      <c r="E153" s="1">
        <v>1.14257177E10</v>
      </c>
      <c r="F153" s="1">
        <v>1.8402556782E10</v>
      </c>
      <c r="G153" s="10"/>
      <c r="H153" s="10"/>
      <c r="I153" s="1" t="s">
        <v>294</v>
      </c>
      <c r="J153" s="10"/>
      <c r="K153" s="1" t="s">
        <v>39</v>
      </c>
      <c r="L153" s="1" t="s">
        <v>236</v>
      </c>
      <c r="M153" s="9">
        <v>46083.0</v>
      </c>
      <c r="N153" s="9">
        <v>46097.0</v>
      </c>
      <c r="O153" s="11"/>
      <c r="Q153" s="1" t="s">
        <v>421</v>
      </c>
      <c r="R153" s="10"/>
      <c r="S153" s="1" t="s">
        <v>442</v>
      </c>
      <c r="T153" s="10"/>
    </row>
    <row r="154">
      <c r="A154" s="1" t="s">
        <v>420</v>
      </c>
      <c r="B154" s="1" t="s">
        <v>29</v>
      </c>
      <c r="C154" s="1" t="s">
        <v>526</v>
      </c>
      <c r="D154" s="1" t="s">
        <v>527</v>
      </c>
      <c r="E154" s="1">
        <v>1.1416896196E10</v>
      </c>
      <c r="F154" s="1">
        <v>1.8402410494E10</v>
      </c>
      <c r="G154" s="10"/>
      <c r="H154" s="10"/>
      <c r="I154" s="1" t="s">
        <v>294</v>
      </c>
      <c r="J154" s="10"/>
      <c r="K154" s="1" t="s">
        <v>39</v>
      </c>
      <c r="L154" s="1" t="s">
        <v>236</v>
      </c>
      <c r="M154" s="9">
        <v>46083.0</v>
      </c>
      <c r="N154" s="9">
        <v>46097.0</v>
      </c>
      <c r="O154" s="11"/>
      <c r="Q154" s="10"/>
      <c r="R154" s="10"/>
      <c r="S154" s="1" t="s">
        <v>32</v>
      </c>
      <c r="T154" s="10"/>
    </row>
    <row r="155">
      <c r="A155" s="1" t="s">
        <v>420</v>
      </c>
      <c r="B155" s="1" t="s">
        <v>29</v>
      </c>
      <c r="C155" s="1" t="s">
        <v>528</v>
      </c>
      <c r="D155" s="1" t="s">
        <v>529</v>
      </c>
      <c r="E155" s="1">
        <v>1.1416691708E10</v>
      </c>
      <c r="F155" s="1">
        <v>1.8402404979E10</v>
      </c>
      <c r="G155" s="10"/>
      <c r="H155" s="10"/>
      <c r="I155" s="1" t="s">
        <v>294</v>
      </c>
      <c r="J155" s="10"/>
      <c r="K155" s="1" t="s">
        <v>39</v>
      </c>
      <c r="L155" s="1" t="s">
        <v>236</v>
      </c>
      <c r="M155" s="9">
        <v>46083.0</v>
      </c>
      <c r="N155" s="9">
        <v>46097.0</v>
      </c>
      <c r="O155" s="11"/>
      <c r="Q155" s="10"/>
      <c r="R155" s="10"/>
      <c r="S155" s="10"/>
      <c r="T155" s="10"/>
    </row>
    <row r="156">
      <c r="A156" s="1" t="s">
        <v>420</v>
      </c>
      <c r="B156" s="1" t="s">
        <v>29</v>
      </c>
      <c r="C156" s="1" t="s">
        <v>226</v>
      </c>
      <c r="D156" s="1" t="s">
        <v>227</v>
      </c>
      <c r="E156" s="1">
        <v>1.142610428E10</v>
      </c>
      <c r="F156" s="1">
        <v>1.8402564488E10</v>
      </c>
      <c r="G156" s="10"/>
      <c r="H156" s="10"/>
      <c r="I156" s="1" t="s">
        <v>294</v>
      </c>
      <c r="J156" s="10"/>
      <c r="K156" s="1" t="s">
        <v>39</v>
      </c>
      <c r="L156" s="1" t="s">
        <v>236</v>
      </c>
      <c r="M156" s="9">
        <v>46083.0</v>
      </c>
      <c r="N156" s="9">
        <v>46097.0</v>
      </c>
      <c r="O156" s="11"/>
      <c r="Q156" s="1" t="s">
        <v>227</v>
      </c>
      <c r="R156" s="10"/>
      <c r="S156" s="1" t="s">
        <v>5</v>
      </c>
      <c r="T156" s="10"/>
    </row>
    <row r="157">
      <c r="A157" s="1" t="s">
        <v>420</v>
      </c>
      <c r="B157" s="1" t="s">
        <v>29</v>
      </c>
      <c r="C157" s="1" t="s">
        <v>258</v>
      </c>
      <c r="D157" s="1" t="s">
        <v>259</v>
      </c>
      <c r="E157" s="1">
        <v>1.1426101292E10</v>
      </c>
      <c r="F157" s="1">
        <v>1.8402564676E10</v>
      </c>
      <c r="G157" s="10"/>
      <c r="H157" s="10"/>
      <c r="I157" s="1" t="s">
        <v>294</v>
      </c>
      <c r="J157" s="10"/>
      <c r="K157" s="1" t="s">
        <v>39</v>
      </c>
      <c r="L157" s="1" t="s">
        <v>236</v>
      </c>
      <c r="M157" s="9">
        <v>46083.0</v>
      </c>
      <c r="N157" s="9">
        <v>46097.0</v>
      </c>
      <c r="O157" s="11"/>
      <c r="Q157" s="1" t="s">
        <v>259</v>
      </c>
      <c r="R157" s="10"/>
      <c r="S157" s="1" t="s">
        <v>5</v>
      </c>
      <c r="T157" s="10"/>
    </row>
    <row r="158">
      <c r="A158" s="1" t="s">
        <v>420</v>
      </c>
      <c r="B158" s="1" t="s">
        <v>29</v>
      </c>
      <c r="C158" s="1" t="s">
        <v>530</v>
      </c>
      <c r="D158" s="1" t="s">
        <v>531</v>
      </c>
      <c r="E158" s="1">
        <v>1.1416782965E10</v>
      </c>
      <c r="F158" s="1">
        <v>1.8402407051E10</v>
      </c>
      <c r="G158" s="10"/>
      <c r="H158" s="10"/>
      <c r="I158" s="1" t="s">
        <v>294</v>
      </c>
      <c r="J158" s="10"/>
      <c r="K158" s="1" t="s">
        <v>39</v>
      </c>
      <c r="L158" s="1" t="s">
        <v>236</v>
      </c>
      <c r="M158" s="9">
        <v>46083.0</v>
      </c>
      <c r="N158" s="9">
        <v>46097.0</v>
      </c>
      <c r="O158" s="11"/>
      <c r="Q158" s="10"/>
      <c r="R158" s="10"/>
      <c r="S158" s="10"/>
      <c r="T158" s="10"/>
    </row>
    <row r="159">
      <c r="A159" s="1" t="s">
        <v>420</v>
      </c>
      <c r="B159" s="1" t="s">
        <v>29</v>
      </c>
      <c r="C159" s="1" t="s">
        <v>233</v>
      </c>
      <c r="D159" s="1" t="s">
        <v>234</v>
      </c>
      <c r="E159" s="1">
        <v>1.1426155677E10</v>
      </c>
      <c r="F159" s="1">
        <v>1.8402565546E10</v>
      </c>
      <c r="G159" s="10"/>
      <c r="H159" s="10"/>
      <c r="I159" s="1" t="s">
        <v>294</v>
      </c>
      <c r="J159" s="10"/>
      <c r="K159" s="1" t="s">
        <v>39</v>
      </c>
      <c r="L159" s="1" t="s">
        <v>236</v>
      </c>
      <c r="M159" s="9">
        <v>46083.0</v>
      </c>
      <c r="N159" s="9">
        <v>46097.0</v>
      </c>
      <c r="O159" s="11"/>
      <c r="Q159" s="1" t="s">
        <v>234</v>
      </c>
      <c r="R159" s="10"/>
      <c r="S159" s="1" t="s">
        <v>5</v>
      </c>
      <c r="T159" s="10"/>
    </row>
    <row r="160">
      <c r="A160" s="1" t="s">
        <v>420</v>
      </c>
      <c r="B160" s="1" t="s">
        <v>29</v>
      </c>
      <c r="C160" s="1" t="s">
        <v>532</v>
      </c>
      <c r="D160" s="1" t="s">
        <v>533</v>
      </c>
      <c r="E160" s="1">
        <v>1.1416823255E10</v>
      </c>
      <c r="F160" s="1">
        <v>1.8402407903E10</v>
      </c>
      <c r="G160" s="10"/>
      <c r="H160" s="10"/>
      <c r="I160" s="1" t="s">
        <v>294</v>
      </c>
      <c r="J160" s="10"/>
      <c r="K160" s="1" t="s">
        <v>39</v>
      </c>
      <c r="L160" s="1" t="s">
        <v>236</v>
      </c>
      <c r="M160" s="9">
        <v>46083.0</v>
      </c>
      <c r="N160" s="9">
        <v>46097.0</v>
      </c>
      <c r="O160" s="11"/>
      <c r="Q160" s="10"/>
      <c r="R160" s="10"/>
      <c r="S160" s="1" t="s">
        <v>504</v>
      </c>
      <c r="T160" s="10"/>
    </row>
    <row r="161">
      <c r="A161" s="1" t="s">
        <v>420</v>
      </c>
      <c r="B161" s="1" t="s">
        <v>29</v>
      </c>
      <c r="C161" s="1" t="s">
        <v>292</v>
      </c>
      <c r="D161" s="1" t="s">
        <v>293</v>
      </c>
      <c r="E161" s="1">
        <v>1.1426131671E10</v>
      </c>
      <c r="F161" s="1">
        <v>1.8402565219E10</v>
      </c>
      <c r="G161" s="10"/>
      <c r="H161" s="10"/>
      <c r="I161" s="1" t="s">
        <v>294</v>
      </c>
      <c r="J161" s="10"/>
      <c r="K161" s="1" t="s">
        <v>39</v>
      </c>
      <c r="L161" s="1" t="s">
        <v>236</v>
      </c>
      <c r="M161" s="9">
        <v>46083.0</v>
      </c>
      <c r="N161" s="9">
        <v>46097.0</v>
      </c>
      <c r="O161" s="11"/>
      <c r="Q161" s="1" t="s">
        <v>293</v>
      </c>
      <c r="R161" s="10"/>
      <c r="S161" s="1" t="s">
        <v>5</v>
      </c>
      <c r="T161" s="10"/>
    </row>
    <row r="162">
      <c r="A162" s="1" t="s">
        <v>420</v>
      </c>
      <c r="B162" s="1" t="s">
        <v>29</v>
      </c>
      <c r="C162" s="1" t="s">
        <v>534</v>
      </c>
      <c r="D162" s="1" t="s">
        <v>535</v>
      </c>
      <c r="E162" s="1">
        <v>1.1416653954E10</v>
      </c>
      <c r="F162" s="1">
        <v>1.8402404629E10</v>
      </c>
      <c r="H162" s="10"/>
      <c r="I162" s="1" t="s">
        <v>294</v>
      </c>
      <c r="J162" s="10"/>
      <c r="K162" s="1" t="s">
        <v>39</v>
      </c>
      <c r="L162" s="1" t="s">
        <v>236</v>
      </c>
      <c r="M162" s="9">
        <v>46083.0</v>
      </c>
      <c r="N162" s="9">
        <v>46097.0</v>
      </c>
      <c r="O162" s="11"/>
      <c r="Q162" s="10"/>
      <c r="R162" s="10"/>
      <c r="S162" s="1" t="s">
        <v>439</v>
      </c>
      <c r="T162" s="10"/>
    </row>
    <row r="163">
      <c r="A163" s="1" t="s">
        <v>420</v>
      </c>
      <c r="B163" s="1" t="s">
        <v>29</v>
      </c>
      <c r="C163" s="1" t="s">
        <v>536</v>
      </c>
      <c r="D163" s="1" t="s">
        <v>537</v>
      </c>
      <c r="E163" s="1">
        <v>1.1416895152E10</v>
      </c>
      <c r="F163" s="1">
        <v>1.840241027E10</v>
      </c>
      <c r="H163" s="10"/>
      <c r="I163" s="1" t="s">
        <v>294</v>
      </c>
      <c r="J163" s="10"/>
      <c r="K163" s="1" t="s">
        <v>39</v>
      </c>
      <c r="L163" s="1" t="s">
        <v>236</v>
      </c>
      <c r="M163" s="9">
        <v>46083.0</v>
      </c>
      <c r="N163" s="9">
        <v>46097.0</v>
      </c>
      <c r="O163" s="11"/>
      <c r="Q163" s="10"/>
      <c r="R163" s="10"/>
      <c r="S163" s="10"/>
      <c r="T163" s="10"/>
    </row>
    <row r="164">
      <c r="A164" s="1" t="s">
        <v>420</v>
      </c>
      <c r="B164" s="1" t="s">
        <v>29</v>
      </c>
      <c r="C164" s="1" t="s">
        <v>538</v>
      </c>
      <c r="D164" s="1" t="s">
        <v>539</v>
      </c>
      <c r="E164" s="1">
        <v>1.1416832821E10</v>
      </c>
      <c r="F164" s="1">
        <v>1.8402408094E10</v>
      </c>
      <c r="H164" s="10"/>
      <c r="I164" s="1" t="s">
        <v>294</v>
      </c>
      <c r="J164" s="10"/>
      <c r="K164" s="1" t="s">
        <v>39</v>
      </c>
      <c r="L164" s="1" t="s">
        <v>236</v>
      </c>
      <c r="M164" s="9">
        <v>46083.0</v>
      </c>
      <c r="N164" s="9">
        <v>46097.0</v>
      </c>
      <c r="O164" s="11"/>
      <c r="Q164" s="10"/>
      <c r="R164" s="10"/>
      <c r="S164" s="1" t="s">
        <v>504</v>
      </c>
      <c r="T164" s="10"/>
    </row>
    <row r="165" ht="18.0" customHeight="1">
      <c r="A165" s="1" t="s">
        <v>420</v>
      </c>
      <c r="B165" s="1" t="s">
        <v>29</v>
      </c>
      <c r="C165" s="1" t="s">
        <v>540</v>
      </c>
      <c r="D165" s="1" t="s">
        <v>541</v>
      </c>
      <c r="E165" s="1">
        <v>1.1416810627E10</v>
      </c>
      <c r="F165" s="1">
        <v>1.8402407709E10</v>
      </c>
      <c r="G165" s="10"/>
      <c r="H165" s="10"/>
      <c r="I165" s="1" t="s">
        <v>294</v>
      </c>
      <c r="J165" s="10"/>
      <c r="K165" s="1" t="s">
        <v>39</v>
      </c>
      <c r="L165" s="1" t="s">
        <v>236</v>
      </c>
      <c r="M165" s="9">
        <v>46083.0</v>
      </c>
      <c r="N165" s="9">
        <v>46097.0</v>
      </c>
      <c r="O165" s="11"/>
      <c r="Q165" s="10"/>
      <c r="R165" s="10"/>
      <c r="S165" s="1" t="s">
        <v>513</v>
      </c>
      <c r="T165" s="10"/>
    </row>
    <row r="166" ht="21.0" customHeight="1">
      <c r="A166" s="1" t="s">
        <v>420</v>
      </c>
      <c r="B166" s="1" t="s">
        <v>29</v>
      </c>
      <c r="C166" s="1" t="s">
        <v>542</v>
      </c>
      <c r="D166" s="1" t="s">
        <v>543</v>
      </c>
      <c r="E166" s="1">
        <v>1.1416894676E10</v>
      </c>
      <c r="F166" s="1">
        <v>1.8402409783E10</v>
      </c>
      <c r="H166" s="10"/>
      <c r="I166" s="1" t="s">
        <v>294</v>
      </c>
      <c r="J166" s="10"/>
      <c r="K166" s="1" t="s">
        <v>39</v>
      </c>
      <c r="L166" s="1" t="s">
        <v>236</v>
      </c>
      <c r="M166" s="9">
        <v>46083.0</v>
      </c>
      <c r="N166" s="9">
        <v>46097.0</v>
      </c>
      <c r="O166" s="11"/>
      <c r="Q166" s="10"/>
      <c r="R166" s="10"/>
      <c r="S166" s="1" t="s">
        <v>491</v>
      </c>
      <c r="T166" s="10"/>
    </row>
    <row r="167">
      <c r="A167" s="1" t="s">
        <v>420</v>
      </c>
      <c r="B167" s="1" t="s">
        <v>29</v>
      </c>
      <c r="C167" s="1" t="s">
        <v>544</v>
      </c>
      <c r="D167" s="1" t="s">
        <v>545</v>
      </c>
      <c r="E167" s="1">
        <v>1.1416909864E10</v>
      </c>
      <c r="F167" s="1">
        <v>1.8402410404E10</v>
      </c>
      <c r="G167" s="10"/>
      <c r="H167" s="10"/>
      <c r="I167" s="1" t="s">
        <v>294</v>
      </c>
      <c r="J167" s="10"/>
      <c r="K167" s="1" t="s">
        <v>39</v>
      </c>
      <c r="L167" s="1" t="s">
        <v>236</v>
      </c>
      <c r="M167" s="9">
        <v>46083.0</v>
      </c>
      <c r="N167" s="9">
        <v>46097.0</v>
      </c>
      <c r="O167" s="11"/>
      <c r="Q167" s="10"/>
      <c r="R167" s="10"/>
      <c r="S167" s="1" t="s">
        <v>491</v>
      </c>
      <c r="T167" s="10"/>
    </row>
    <row r="168">
      <c r="A168" s="1" t="s">
        <v>546</v>
      </c>
      <c r="B168" s="1" t="s">
        <v>29</v>
      </c>
      <c r="C168" s="1" t="s">
        <v>233</v>
      </c>
      <c r="D168" s="1" t="s">
        <v>234</v>
      </c>
      <c r="E168" s="1">
        <v>9.288506081E9</v>
      </c>
      <c r="F168" s="1">
        <v>1.8402565546E10</v>
      </c>
      <c r="G168" s="10"/>
      <c r="H168" s="1" t="s">
        <v>547</v>
      </c>
      <c r="I168" s="1" t="s">
        <v>317</v>
      </c>
      <c r="J168" s="1" t="s">
        <v>267</v>
      </c>
      <c r="K168" s="1" t="s">
        <v>230</v>
      </c>
      <c r="L168" s="1" t="s">
        <v>240</v>
      </c>
      <c r="M168" s="9">
        <v>45811.0</v>
      </c>
      <c r="N168" s="11"/>
      <c r="O168" s="11"/>
      <c r="Q168" s="1" t="s">
        <v>234</v>
      </c>
      <c r="R168" s="10"/>
      <c r="S168" s="1" t="s">
        <v>5</v>
      </c>
      <c r="T168" s="10"/>
    </row>
    <row r="169">
      <c r="A169" s="1" t="s">
        <v>548</v>
      </c>
      <c r="B169" s="1" t="s">
        <v>225</v>
      </c>
      <c r="C169" s="1" t="s">
        <v>233</v>
      </c>
      <c r="D169" s="1" t="s">
        <v>234</v>
      </c>
      <c r="E169" s="1">
        <v>9.870692026E9</v>
      </c>
      <c r="F169" s="1">
        <v>1.8402565546E10</v>
      </c>
      <c r="G169" s="10"/>
      <c r="H169" s="10"/>
      <c r="I169" s="1" t="s">
        <v>229</v>
      </c>
      <c r="J169" s="10"/>
      <c r="K169" s="1" t="s">
        <v>39</v>
      </c>
      <c r="L169" s="1" t="s">
        <v>236</v>
      </c>
      <c r="M169" s="9">
        <v>45890.0</v>
      </c>
      <c r="N169" s="11"/>
      <c r="O169" s="11"/>
      <c r="Q169" s="1" t="s">
        <v>234</v>
      </c>
      <c r="R169" s="10"/>
      <c r="S169" s="1" t="s">
        <v>5</v>
      </c>
      <c r="T169" s="10"/>
    </row>
    <row r="170">
      <c r="A170" s="1" t="s">
        <v>549</v>
      </c>
      <c r="B170" s="1" t="s">
        <v>225</v>
      </c>
      <c r="C170" s="1" t="s">
        <v>233</v>
      </c>
      <c r="D170" s="1" t="s">
        <v>234</v>
      </c>
      <c r="E170" s="1">
        <v>1.0723745527E10</v>
      </c>
      <c r="F170" s="1">
        <v>1.8402565546E10</v>
      </c>
      <c r="G170" s="10"/>
      <c r="H170" s="1" t="s">
        <v>550</v>
      </c>
      <c r="I170" s="1" t="s">
        <v>229</v>
      </c>
      <c r="J170" s="1" t="s">
        <v>551</v>
      </c>
      <c r="K170" s="1" t="s">
        <v>230</v>
      </c>
      <c r="L170" s="1" t="s">
        <v>236</v>
      </c>
      <c r="M170" s="9">
        <v>45999.0</v>
      </c>
      <c r="N170" s="11"/>
      <c r="O170" s="11"/>
      <c r="Q170" s="1" t="s">
        <v>234</v>
      </c>
      <c r="R170" s="10"/>
      <c r="S170" s="1" t="s">
        <v>5</v>
      </c>
      <c r="T170" s="10"/>
    </row>
    <row r="171">
      <c r="A171" s="1" t="s">
        <v>552</v>
      </c>
      <c r="B171" s="1" t="s">
        <v>29</v>
      </c>
      <c r="C171" s="1" t="s">
        <v>270</v>
      </c>
      <c r="D171" s="1" t="s">
        <v>271</v>
      </c>
      <c r="E171" s="1">
        <v>8.475633714E9</v>
      </c>
      <c r="F171" s="1">
        <v>1.8402568518E10</v>
      </c>
      <c r="G171" s="10"/>
      <c r="H171" s="1" t="s">
        <v>553</v>
      </c>
      <c r="I171" s="1" t="s">
        <v>45</v>
      </c>
      <c r="J171" s="1" t="s">
        <v>261</v>
      </c>
      <c r="K171" s="1" t="s">
        <v>247</v>
      </c>
      <c r="L171" s="1" t="s">
        <v>268</v>
      </c>
      <c r="M171" s="9">
        <v>45701.0</v>
      </c>
      <c r="N171" s="11"/>
      <c r="O171" s="11"/>
      <c r="Q171" s="1" t="s">
        <v>271</v>
      </c>
      <c r="R171" s="10"/>
      <c r="S171" s="1" t="s">
        <v>5</v>
      </c>
      <c r="T171" s="10"/>
    </row>
    <row r="172">
      <c r="A172" s="1" t="s">
        <v>554</v>
      </c>
      <c r="B172" s="1" t="s">
        <v>225</v>
      </c>
      <c r="C172" s="1" t="s">
        <v>258</v>
      </c>
      <c r="D172" s="1" t="s">
        <v>259</v>
      </c>
      <c r="E172" s="1">
        <v>8.576636819E9</v>
      </c>
      <c r="F172" s="1">
        <v>1.8402564676E10</v>
      </c>
      <c r="G172" s="10"/>
      <c r="H172" s="1" t="s">
        <v>555</v>
      </c>
      <c r="I172" s="1" t="s">
        <v>229</v>
      </c>
      <c r="J172" s="10"/>
      <c r="K172" s="1" t="s">
        <v>33</v>
      </c>
      <c r="L172" s="1" t="s">
        <v>268</v>
      </c>
      <c r="M172" s="9">
        <v>45714.0</v>
      </c>
      <c r="N172" s="11"/>
      <c r="O172" s="9">
        <v>45805.0</v>
      </c>
      <c r="Q172" s="1" t="s">
        <v>259</v>
      </c>
      <c r="R172" s="10"/>
      <c r="S172" s="1" t="s">
        <v>5</v>
      </c>
      <c r="T172" s="10"/>
    </row>
    <row r="173">
      <c r="A173" s="1" t="s">
        <v>556</v>
      </c>
      <c r="B173" s="1" t="s">
        <v>225</v>
      </c>
      <c r="C173" s="1" t="s">
        <v>258</v>
      </c>
      <c r="D173" s="1" t="s">
        <v>259</v>
      </c>
      <c r="E173" s="1">
        <v>9.042758273E9</v>
      </c>
      <c r="F173" s="1">
        <v>1.8402564676E10</v>
      </c>
      <c r="G173" s="10"/>
      <c r="H173" s="1" t="s">
        <v>557</v>
      </c>
      <c r="I173" s="1" t="s">
        <v>229</v>
      </c>
      <c r="J173" s="10"/>
      <c r="K173" s="1" t="s">
        <v>33</v>
      </c>
      <c r="L173" s="1" t="s">
        <v>236</v>
      </c>
      <c r="M173" s="9">
        <v>45777.0</v>
      </c>
      <c r="N173" s="11"/>
      <c r="O173" s="9">
        <v>45896.0</v>
      </c>
      <c r="Q173" s="1" t="s">
        <v>259</v>
      </c>
      <c r="R173" s="10"/>
      <c r="S173" s="1" t="s">
        <v>5</v>
      </c>
      <c r="T173" s="10"/>
    </row>
    <row r="174">
      <c r="A174" s="1" t="s">
        <v>558</v>
      </c>
      <c r="B174" s="1" t="s">
        <v>225</v>
      </c>
      <c r="C174" s="1" t="s">
        <v>253</v>
      </c>
      <c r="D174" s="1" t="s">
        <v>254</v>
      </c>
      <c r="E174" s="1">
        <v>8.741290606E9</v>
      </c>
      <c r="F174" s="1">
        <v>1.8402568372E10</v>
      </c>
      <c r="G174" s="10"/>
      <c r="H174" s="10"/>
      <c r="I174" s="1" t="s">
        <v>229</v>
      </c>
      <c r="J174" s="10"/>
      <c r="K174" s="1" t="s">
        <v>247</v>
      </c>
      <c r="L174" s="1" t="s">
        <v>240</v>
      </c>
      <c r="M174" s="9">
        <v>45736.0</v>
      </c>
      <c r="N174" s="9">
        <v>45726.0</v>
      </c>
      <c r="O174" s="11"/>
      <c r="Q174" s="1" t="s">
        <v>254</v>
      </c>
      <c r="R174" s="10"/>
      <c r="S174" s="1" t="s">
        <v>5</v>
      </c>
      <c r="T174" s="10"/>
    </row>
    <row r="175">
      <c r="A175" s="1" t="s">
        <v>559</v>
      </c>
      <c r="B175" s="1" t="s">
        <v>225</v>
      </c>
      <c r="C175" s="1" t="s">
        <v>258</v>
      </c>
      <c r="D175" s="1" t="s">
        <v>259</v>
      </c>
      <c r="E175" s="1">
        <v>8.576612714E9</v>
      </c>
      <c r="F175" s="1">
        <v>1.8402564676E10</v>
      </c>
      <c r="G175" s="10"/>
      <c r="H175" s="1" t="s">
        <v>560</v>
      </c>
      <c r="I175" s="1" t="s">
        <v>229</v>
      </c>
      <c r="J175" s="10"/>
      <c r="K175" s="1" t="s">
        <v>230</v>
      </c>
      <c r="L175" s="1" t="s">
        <v>240</v>
      </c>
      <c r="M175" s="9">
        <v>45714.0</v>
      </c>
      <c r="N175" s="9">
        <v>45729.0</v>
      </c>
      <c r="O175" s="11"/>
      <c r="Q175" s="1" t="s">
        <v>259</v>
      </c>
      <c r="R175" s="10"/>
      <c r="S175" s="1" t="s">
        <v>5</v>
      </c>
      <c r="T175" s="10"/>
    </row>
    <row r="176">
      <c r="A176" s="1" t="s">
        <v>561</v>
      </c>
      <c r="B176" s="1" t="s">
        <v>29</v>
      </c>
      <c r="C176" s="1" t="s">
        <v>238</v>
      </c>
      <c r="D176" s="1" t="s">
        <v>239</v>
      </c>
      <c r="E176" s="1">
        <v>1.1414971168E10</v>
      </c>
      <c r="F176" s="1">
        <v>1.8402568111E10</v>
      </c>
      <c r="G176" s="10"/>
      <c r="H176" s="10"/>
      <c r="I176" s="1" t="s">
        <v>31</v>
      </c>
      <c r="J176" s="1" t="s">
        <v>251</v>
      </c>
      <c r="K176" s="1" t="s">
        <v>230</v>
      </c>
      <c r="L176" s="1" t="s">
        <v>268</v>
      </c>
      <c r="M176" s="9">
        <v>46084.0</v>
      </c>
      <c r="N176" s="9">
        <v>46098.0</v>
      </c>
      <c r="O176" s="11"/>
      <c r="Q176" s="1" t="s">
        <v>241</v>
      </c>
      <c r="R176" s="10"/>
      <c r="S176" s="1" t="s">
        <v>5</v>
      </c>
      <c r="T176" s="10"/>
    </row>
    <row r="177">
      <c r="A177" s="1" t="s">
        <v>562</v>
      </c>
      <c r="B177" s="1" t="s">
        <v>225</v>
      </c>
      <c r="C177" s="1" t="s">
        <v>253</v>
      </c>
      <c r="D177" s="1" t="s">
        <v>254</v>
      </c>
      <c r="E177" s="1">
        <v>8.474092405E9</v>
      </c>
      <c r="F177" s="1">
        <v>1.8402568372E10</v>
      </c>
      <c r="G177" s="10"/>
      <c r="H177" s="10"/>
      <c r="I177" s="1" t="s">
        <v>229</v>
      </c>
      <c r="J177" s="10"/>
      <c r="K177" s="1" t="s">
        <v>33</v>
      </c>
      <c r="L177" s="1" t="s">
        <v>268</v>
      </c>
      <c r="M177" s="9">
        <v>45701.0</v>
      </c>
      <c r="N177" s="11"/>
      <c r="O177" s="9">
        <v>45722.0</v>
      </c>
      <c r="Q177" s="1" t="s">
        <v>254</v>
      </c>
      <c r="R177" s="10"/>
      <c r="S177" s="1" t="s">
        <v>5</v>
      </c>
      <c r="T177" s="10"/>
    </row>
    <row r="178">
      <c r="A178" s="1" t="s">
        <v>563</v>
      </c>
      <c r="B178" s="1" t="s">
        <v>225</v>
      </c>
      <c r="C178" s="1" t="s">
        <v>253</v>
      </c>
      <c r="D178" s="1" t="s">
        <v>254</v>
      </c>
      <c r="E178" s="1">
        <v>8.474092478E9</v>
      </c>
      <c r="F178" s="1">
        <v>1.8402568372E10</v>
      </c>
      <c r="G178" s="10"/>
      <c r="H178" s="1" t="s">
        <v>564</v>
      </c>
      <c r="I178" s="1" t="s">
        <v>229</v>
      </c>
      <c r="J178" s="10"/>
      <c r="K178" s="1" t="s">
        <v>33</v>
      </c>
      <c r="L178" s="1" t="s">
        <v>236</v>
      </c>
      <c r="M178" s="9">
        <v>45701.0</v>
      </c>
      <c r="N178" s="9">
        <v>45618.0</v>
      </c>
      <c r="O178" s="9">
        <v>45722.0</v>
      </c>
      <c r="Q178" s="1" t="s">
        <v>254</v>
      </c>
      <c r="R178" s="10"/>
      <c r="S178" s="1" t="s">
        <v>5</v>
      </c>
      <c r="T178" s="10"/>
    </row>
    <row r="179" ht="15.75" customHeight="1">
      <c r="A179" s="1" t="s">
        <v>565</v>
      </c>
      <c r="B179" s="1" t="s">
        <v>29</v>
      </c>
      <c r="C179" s="1" t="s">
        <v>286</v>
      </c>
      <c r="D179" s="1" t="s">
        <v>287</v>
      </c>
      <c r="E179" s="1">
        <v>1.1428968242E10</v>
      </c>
      <c r="F179" s="1">
        <v>1.8402617065E10</v>
      </c>
      <c r="G179" s="10"/>
      <c r="H179" s="1" t="s">
        <v>566</v>
      </c>
      <c r="I179" s="1" t="s">
        <v>294</v>
      </c>
      <c r="J179" s="10"/>
      <c r="K179" s="1" t="s">
        <v>247</v>
      </c>
      <c r="L179" s="1" t="s">
        <v>236</v>
      </c>
      <c r="M179" s="9">
        <v>46071.0</v>
      </c>
      <c r="N179" s="11"/>
      <c r="O179" s="11"/>
      <c r="Q179" s="10"/>
      <c r="R179" s="10"/>
      <c r="S179" s="1" t="s">
        <v>5</v>
      </c>
      <c r="T179" s="10"/>
    </row>
    <row r="180">
      <c r="A180" s="1" t="s">
        <v>567</v>
      </c>
      <c r="B180" s="1" t="s">
        <v>29</v>
      </c>
      <c r="C180" s="1" t="s">
        <v>253</v>
      </c>
      <c r="D180" s="1" t="s">
        <v>254</v>
      </c>
      <c r="E180" s="1">
        <v>1.0749433982E10</v>
      </c>
      <c r="F180" s="1">
        <v>1.8402568372E10</v>
      </c>
      <c r="G180" s="10"/>
      <c r="H180" s="1" t="s">
        <v>568</v>
      </c>
      <c r="I180" s="1" t="s">
        <v>31</v>
      </c>
      <c r="J180" s="1" t="s">
        <v>569</v>
      </c>
      <c r="K180" s="1" t="s">
        <v>247</v>
      </c>
      <c r="L180" s="1" t="s">
        <v>231</v>
      </c>
      <c r="M180" s="9">
        <v>46001.0</v>
      </c>
      <c r="N180" s="9">
        <v>46008.0</v>
      </c>
      <c r="O180" s="11"/>
      <c r="Q180" s="1" t="s">
        <v>254</v>
      </c>
      <c r="R180" s="10"/>
      <c r="S180" s="1" t="s">
        <v>5</v>
      </c>
      <c r="T180" s="10"/>
    </row>
    <row r="181">
      <c r="A181" s="1" t="s">
        <v>570</v>
      </c>
      <c r="B181" s="1" t="s">
        <v>29</v>
      </c>
      <c r="C181" s="1" t="s">
        <v>292</v>
      </c>
      <c r="D181" s="1" t="s">
        <v>293</v>
      </c>
      <c r="E181" s="1">
        <v>1.1377070647E10</v>
      </c>
      <c r="F181" s="1">
        <v>1.8402565219E10</v>
      </c>
      <c r="G181" s="10"/>
      <c r="H181" s="10"/>
      <c r="I181" s="1" t="s">
        <v>294</v>
      </c>
      <c r="J181" s="10"/>
      <c r="K181" s="1" t="s">
        <v>39</v>
      </c>
      <c r="L181" s="1" t="s">
        <v>236</v>
      </c>
      <c r="M181" s="9">
        <v>46079.0</v>
      </c>
      <c r="N181" s="9">
        <v>46093.0</v>
      </c>
      <c r="O181" s="11"/>
      <c r="Q181" s="1" t="s">
        <v>293</v>
      </c>
      <c r="R181" s="10"/>
      <c r="S181" s="1" t="s">
        <v>5</v>
      </c>
      <c r="T181" s="10"/>
    </row>
    <row r="182">
      <c r="A182" s="1" t="s">
        <v>571</v>
      </c>
      <c r="B182" s="1" t="s">
        <v>29</v>
      </c>
      <c r="C182" s="1" t="s">
        <v>270</v>
      </c>
      <c r="D182" s="1" t="s">
        <v>271</v>
      </c>
      <c r="E182" s="1">
        <v>8.691677784E9</v>
      </c>
      <c r="F182" s="1">
        <v>1.8402568518E10</v>
      </c>
      <c r="G182" s="10"/>
      <c r="H182" s="1" t="s">
        <v>572</v>
      </c>
      <c r="I182" s="1" t="s">
        <v>45</v>
      </c>
      <c r="J182" s="1" t="s">
        <v>251</v>
      </c>
      <c r="K182" s="1" t="s">
        <v>243</v>
      </c>
      <c r="L182" s="1" t="s">
        <v>240</v>
      </c>
      <c r="M182" s="9">
        <v>45729.0</v>
      </c>
      <c r="N182" s="11"/>
      <c r="O182" s="11"/>
      <c r="Q182" s="1" t="s">
        <v>271</v>
      </c>
      <c r="R182" s="10"/>
      <c r="S182" s="1" t="s">
        <v>5</v>
      </c>
      <c r="T182" s="10"/>
    </row>
    <row r="183">
      <c r="A183" s="1" t="s">
        <v>573</v>
      </c>
      <c r="B183" s="1" t="s">
        <v>225</v>
      </c>
      <c r="C183" s="1" t="s">
        <v>322</v>
      </c>
      <c r="D183" s="1" t="s">
        <v>323</v>
      </c>
      <c r="E183" s="1">
        <v>8.954076983E9</v>
      </c>
      <c r="F183" s="1">
        <v>1.8402567457E10</v>
      </c>
      <c r="G183" s="10"/>
      <c r="H183" s="1" t="s">
        <v>574</v>
      </c>
      <c r="I183" s="1" t="s">
        <v>229</v>
      </c>
      <c r="J183" s="10"/>
      <c r="K183" s="1" t="s">
        <v>39</v>
      </c>
      <c r="L183" s="1" t="s">
        <v>268</v>
      </c>
      <c r="M183" s="9">
        <v>45764.0</v>
      </c>
      <c r="N183" s="11"/>
      <c r="O183" s="9">
        <v>46010.0</v>
      </c>
      <c r="Q183" s="1" t="s">
        <v>323</v>
      </c>
      <c r="R183" s="10"/>
      <c r="S183" s="1" t="s">
        <v>5</v>
      </c>
      <c r="T183" s="10"/>
    </row>
    <row r="184">
      <c r="A184" s="1" t="s">
        <v>575</v>
      </c>
      <c r="B184" s="1" t="s">
        <v>225</v>
      </c>
      <c r="C184" s="1" t="s">
        <v>276</v>
      </c>
      <c r="D184" s="1" t="s">
        <v>277</v>
      </c>
      <c r="E184" s="1">
        <v>8.906949938E9</v>
      </c>
      <c r="F184" s="1">
        <v>1.8402563983E10</v>
      </c>
      <c r="G184" s="10"/>
      <c r="H184" s="10"/>
      <c r="I184" s="1" t="s">
        <v>229</v>
      </c>
      <c r="J184" s="10"/>
      <c r="K184" s="1" t="s">
        <v>33</v>
      </c>
      <c r="L184" s="1" t="s">
        <v>236</v>
      </c>
      <c r="M184" s="9">
        <v>45757.0</v>
      </c>
      <c r="N184" s="11"/>
      <c r="O184" s="9">
        <v>46010.0</v>
      </c>
      <c r="Q184" s="1" t="s">
        <v>278</v>
      </c>
      <c r="R184" s="10"/>
      <c r="S184" s="1" t="s">
        <v>5</v>
      </c>
      <c r="T184" s="10"/>
    </row>
    <row r="185">
      <c r="A185" s="1" t="s">
        <v>576</v>
      </c>
      <c r="B185" s="1" t="s">
        <v>225</v>
      </c>
      <c r="C185" s="1" t="s">
        <v>322</v>
      </c>
      <c r="D185" s="1" t="s">
        <v>323</v>
      </c>
      <c r="E185" s="1">
        <v>8.906916567E9</v>
      </c>
      <c r="F185" s="1">
        <v>1.8402567457E10</v>
      </c>
      <c r="G185" s="10"/>
      <c r="H185" s="1" t="s">
        <v>577</v>
      </c>
      <c r="I185" s="1" t="s">
        <v>229</v>
      </c>
      <c r="J185" s="10"/>
      <c r="K185" s="1" t="s">
        <v>243</v>
      </c>
      <c r="L185" s="1" t="s">
        <v>329</v>
      </c>
      <c r="M185" s="9">
        <v>45757.0</v>
      </c>
      <c r="N185" s="11"/>
      <c r="O185" s="9">
        <v>46010.0</v>
      </c>
      <c r="Q185" s="1" t="s">
        <v>323</v>
      </c>
      <c r="R185" s="10"/>
      <c r="S185" s="1" t="s">
        <v>5</v>
      </c>
      <c r="T185" s="10"/>
    </row>
    <row r="186">
      <c r="A186" s="1" t="s">
        <v>578</v>
      </c>
      <c r="B186" s="1" t="s">
        <v>225</v>
      </c>
      <c r="C186" s="1" t="s">
        <v>270</v>
      </c>
      <c r="D186" s="1" t="s">
        <v>271</v>
      </c>
      <c r="E186" s="1">
        <v>8.979412077E9</v>
      </c>
      <c r="F186" s="1">
        <v>1.8402568518E10</v>
      </c>
      <c r="G186" s="10"/>
      <c r="H186" s="1" t="s">
        <v>579</v>
      </c>
      <c r="I186" s="1" t="s">
        <v>229</v>
      </c>
      <c r="J186" s="1" t="s">
        <v>251</v>
      </c>
      <c r="K186" s="1" t="s">
        <v>247</v>
      </c>
      <c r="L186" s="1" t="s">
        <v>236</v>
      </c>
      <c r="M186" s="9">
        <v>45769.0</v>
      </c>
      <c r="N186" s="11"/>
      <c r="O186" s="11"/>
      <c r="Q186" s="1" t="s">
        <v>271</v>
      </c>
      <c r="R186" s="10"/>
      <c r="S186" s="1" t="s">
        <v>5</v>
      </c>
      <c r="T186" s="10"/>
    </row>
    <row r="187">
      <c r="A187" s="1" t="s">
        <v>580</v>
      </c>
      <c r="B187" s="1" t="s">
        <v>225</v>
      </c>
      <c r="C187" s="1" t="s">
        <v>270</v>
      </c>
      <c r="D187" s="1" t="s">
        <v>271</v>
      </c>
      <c r="E187" s="1">
        <v>9.09030677E9</v>
      </c>
      <c r="F187" s="1">
        <v>1.8402568518E10</v>
      </c>
      <c r="G187" s="10"/>
      <c r="H187" s="1" t="s">
        <v>581</v>
      </c>
      <c r="I187" s="1" t="s">
        <v>229</v>
      </c>
      <c r="J187" s="1" t="s">
        <v>251</v>
      </c>
      <c r="K187" s="1" t="s">
        <v>247</v>
      </c>
      <c r="L187" s="1" t="s">
        <v>236</v>
      </c>
      <c r="M187" s="9">
        <v>45784.0</v>
      </c>
      <c r="N187" s="11"/>
      <c r="O187" s="11"/>
      <c r="Q187" s="1" t="s">
        <v>271</v>
      </c>
      <c r="R187" s="10"/>
      <c r="S187" s="1" t="s">
        <v>5</v>
      </c>
      <c r="T187" s="10"/>
    </row>
    <row r="188">
      <c r="A188" s="1" t="s">
        <v>582</v>
      </c>
      <c r="B188" s="1" t="s">
        <v>29</v>
      </c>
      <c r="C188" s="1" t="s">
        <v>253</v>
      </c>
      <c r="D188" s="1" t="s">
        <v>254</v>
      </c>
      <c r="E188" s="1">
        <v>9.507600708E9</v>
      </c>
      <c r="F188" s="1">
        <v>1.8402568372E10</v>
      </c>
      <c r="G188" s="10"/>
      <c r="H188" s="1" t="s">
        <v>583</v>
      </c>
      <c r="I188" s="1" t="s">
        <v>31</v>
      </c>
      <c r="J188" s="1" t="s">
        <v>251</v>
      </c>
      <c r="K188" s="1" t="s">
        <v>230</v>
      </c>
      <c r="L188" s="1" t="s">
        <v>236</v>
      </c>
      <c r="M188" s="9">
        <v>45840.0</v>
      </c>
      <c r="N188" s="11"/>
      <c r="O188" s="9">
        <v>45852.0</v>
      </c>
      <c r="Q188" s="1" t="s">
        <v>254</v>
      </c>
      <c r="R188" s="10"/>
      <c r="S188" s="1" t="s">
        <v>5</v>
      </c>
      <c r="T188" s="10"/>
    </row>
    <row r="189">
      <c r="A189" s="1" t="s">
        <v>584</v>
      </c>
      <c r="B189" s="1" t="s">
        <v>225</v>
      </c>
      <c r="C189" s="1" t="s">
        <v>253</v>
      </c>
      <c r="D189" s="1" t="s">
        <v>254</v>
      </c>
      <c r="E189" s="1">
        <v>9.819646521E9</v>
      </c>
      <c r="F189" s="1">
        <v>1.8402568372E10</v>
      </c>
      <c r="G189" s="10"/>
      <c r="H189" s="1" t="s">
        <v>585</v>
      </c>
      <c r="I189" s="1" t="s">
        <v>229</v>
      </c>
      <c r="J189" s="10"/>
      <c r="K189" s="1" t="s">
        <v>247</v>
      </c>
      <c r="L189" s="1" t="s">
        <v>231</v>
      </c>
      <c r="M189" s="9">
        <v>45698.0</v>
      </c>
      <c r="N189" s="11"/>
      <c r="O189" s="9">
        <v>45896.0</v>
      </c>
      <c r="Q189" s="1" t="s">
        <v>254</v>
      </c>
      <c r="R189" s="10"/>
      <c r="S189" s="1" t="s">
        <v>5</v>
      </c>
      <c r="T189" s="10"/>
    </row>
    <row r="190">
      <c r="A190" s="1" t="s">
        <v>586</v>
      </c>
      <c r="B190" s="1" t="s">
        <v>225</v>
      </c>
      <c r="C190" s="1" t="s">
        <v>233</v>
      </c>
      <c r="D190" s="1" t="s">
        <v>234</v>
      </c>
      <c r="E190" s="1">
        <v>9.910679839E9</v>
      </c>
      <c r="F190" s="1">
        <v>1.8402565546E10</v>
      </c>
      <c r="G190" s="10"/>
      <c r="H190" s="1" t="s">
        <v>587</v>
      </c>
      <c r="I190" s="1" t="s">
        <v>229</v>
      </c>
      <c r="J190" s="1" t="s">
        <v>261</v>
      </c>
      <c r="K190" s="1" t="s">
        <v>33</v>
      </c>
      <c r="L190" s="1" t="s">
        <v>231</v>
      </c>
      <c r="M190" s="9">
        <v>45896.0</v>
      </c>
      <c r="N190" s="11"/>
      <c r="O190" s="11"/>
      <c r="Q190" s="1" t="s">
        <v>234</v>
      </c>
      <c r="R190" s="10"/>
      <c r="S190" s="1" t="s">
        <v>5</v>
      </c>
      <c r="T190" s="10"/>
    </row>
    <row r="191">
      <c r="A191" s="1" t="s">
        <v>588</v>
      </c>
      <c r="B191" s="1" t="s">
        <v>225</v>
      </c>
      <c r="C191" s="1" t="s">
        <v>276</v>
      </c>
      <c r="D191" s="1" t="s">
        <v>277</v>
      </c>
      <c r="E191" s="1">
        <v>9.985280849E9</v>
      </c>
      <c r="F191" s="1">
        <v>1.8402563983E10</v>
      </c>
      <c r="G191" s="10"/>
      <c r="H191" s="1" t="s">
        <v>589</v>
      </c>
      <c r="I191" s="1" t="s">
        <v>229</v>
      </c>
      <c r="J191" s="10"/>
      <c r="K191" s="1" t="s">
        <v>230</v>
      </c>
      <c r="L191" s="1" t="s">
        <v>236</v>
      </c>
      <c r="M191" s="9">
        <v>45905.0</v>
      </c>
      <c r="N191" s="11"/>
      <c r="O191" s="9">
        <v>46010.0</v>
      </c>
      <c r="Q191" s="1" t="s">
        <v>278</v>
      </c>
      <c r="R191" s="10"/>
      <c r="S191" s="1" t="s">
        <v>5</v>
      </c>
      <c r="T191" s="10"/>
    </row>
    <row r="192">
      <c r="A192" s="1" t="s">
        <v>590</v>
      </c>
      <c r="B192" s="1" t="s">
        <v>29</v>
      </c>
      <c r="C192" s="1" t="s">
        <v>280</v>
      </c>
      <c r="D192" s="1" t="s">
        <v>281</v>
      </c>
      <c r="E192" s="1">
        <v>1.0707554498E10</v>
      </c>
      <c r="F192" s="1">
        <v>1.8402563866E10</v>
      </c>
      <c r="G192" s="10"/>
      <c r="H192" s="10"/>
      <c r="I192" s="1" t="s">
        <v>31</v>
      </c>
      <c r="J192" s="1" t="s">
        <v>261</v>
      </c>
      <c r="K192" s="1" t="s">
        <v>247</v>
      </c>
      <c r="L192" s="1" t="s">
        <v>236</v>
      </c>
      <c r="M192" s="9">
        <v>45995.0</v>
      </c>
      <c r="N192" s="9">
        <v>46009.0</v>
      </c>
      <c r="O192" s="11"/>
      <c r="Q192" s="1" t="s">
        <v>281</v>
      </c>
      <c r="R192" s="10"/>
      <c r="S192" s="1" t="s">
        <v>5</v>
      </c>
      <c r="T192" s="10"/>
    </row>
    <row r="193">
      <c r="A193" s="1" t="s">
        <v>591</v>
      </c>
      <c r="B193" s="1" t="s">
        <v>225</v>
      </c>
      <c r="C193" s="1" t="s">
        <v>253</v>
      </c>
      <c r="D193" s="1" t="s">
        <v>254</v>
      </c>
      <c r="E193" s="1">
        <v>8.474092362E9</v>
      </c>
      <c r="F193" s="1">
        <v>1.8402568372E10</v>
      </c>
      <c r="H193" s="1" t="s">
        <v>592</v>
      </c>
      <c r="I193" s="1" t="s">
        <v>229</v>
      </c>
      <c r="J193" s="10"/>
      <c r="K193" s="1" t="s">
        <v>39</v>
      </c>
      <c r="L193" s="1" t="s">
        <v>248</v>
      </c>
      <c r="M193" s="9">
        <v>45701.0</v>
      </c>
      <c r="N193" s="11"/>
      <c r="O193" s="9">
        <v>45722.0</v>
      </c>
      <c r="Q193" s="1" t="s">
        <v>254</v>
      </c>
      <c r="R193" s="10"/>
      <c r="S193" s="1" t="s">
        <v>5</v>
      </c>
      <c r="T193" s="10"/>
    </row>
    <row r="194">
      <c r="A194" s="1" t="s">
        <v>593</v>
      </c>
      <c r="B194" s="1" t="s">
        <v>29</v>
      </c>
      <c r="C194" s="1" t="s">
        <v>233</v>
      </c>
      <c r="D194" s="1" t="s">
        <v>234</v>
      </c>
      <c r="E194" s="1">
        <v>1.1248330423E10</v>
      </c>
      <c r="F194" s="1">
        <v>1.8402565546E10</v>
      </c>
      <c r="G194" s="10"/>
      <c r="H194" s="1" t="s">
        <v>594</v>
      </c>
      <c r="I194" s="1" t="s">
        <v>31</v>
      </c>
      <c r="J194" s="1" t="s">
        <v>267</v>
      </c>
      <c r="K194" s="1" t="s">
        <v>230</v>
      </c>
      <c r="L194" s="1" t="s">
        <v>236</v>
      </c>
      <c r="M194" s="9">
        <v>46064.0</v>
      </c>
      <c r="N194" s="11"/>
      <c r="O194" s="11"/>
      <c r="Q194" s="1" t="s">
        <v>234</v>
      </c>
      <c r="R194" s="10"/>
      <c r="S194" s="1" t="s">
        <v>5</v>
      </c>
      <c r="T194" s="10"/>
    </row>
    <row r="195">
      <c r="A195" s="1" t="s">
        <v>595</v>
      </c>
      <c r="B195" s="1" t="s">
        <v>29</v>
      </c>
      <c r="C195" s="1" t="s">
        <v>292</v>
      </c>
      <c r="D195" s="1" t="s">
        <v>293</v>
      </c>
      <c r="E195" s="1">
        <v>1.1309404606E10</v>
      </c>
      <c r="F195" s="1">
        <v>1.8402565219E10</v>
      </c>
      <c r="G195" s="10"/>
      <c r="H195" s="10"/>
      <c r="I195" s="1" t="s">
        <v>31</v>
      </c>
      <c r="J195" s="1" t="s">
        <v>251</v>
      </c>
      <c r="K195" s="1" t="s">
        <v>247</v>
      </c>
      <c r="L195" s="1" t="s">
        <v>268</v>
      </c>
      <c r="M195" s="9">
        <v>46071.0</v>
      </c>
      <c r="N195" s="9">
        <v>46085.0</v>
      </c>
      <c r="O195" s="11"/>
      <c r="Q195" s="1" t="s">
        <v>293</v>
      </c>
      <c r="R195" s="10"/>
      <c r="S195" s="1" t="s">
        <v>5</v>
      </c>
      <c r="T195" s="10"/>
    </row>
    <row r="196">
      <c r="A196" s="1" t="s">
        <v>596</v>
      </c>
      <c r="B196" s="1" t="s">
        <v>29</v>
      </c>
      <c r="C196" s="1" t="s">
        <v>286</v>
      </c>
      <c r="D196" s="1" t="s">
        <v>287</v>
      </c>
      <c r="E196" s="1">
        <v>1.1428980704E10</v>
      </c>
      <c r="F196" s="1">
        <v>1.8402617065E10</v>
      </c>
      <c r="G196" s="10"/>
      <c r="H196" s="1" t="s">
        <v>597</v>
      </c>
      <c r="I196" s="1" t="s">
        <v>31</v>
      </c>
      <c r="J196" s="1" t="s">
        <v>251</v>
      </c>
      <c r="K196" s="1" t="s">
        <v>247</v>
      </c>
      <c r="L196" s="1" t="s">
        <v>236</v>
      </c>
      <c r="M196" s="9">
        <v>45986.0</v>
      </c>
      <c r="N196" s="9">
        <v>46053.0</v>
      </c>
      <c r="O196" s="11"/>
      <c r="Q196" s="10"/>
      <c r="R196" s="10"/>
      <c r="S196" s="1" t="s">
        <v>5</v>
      </c>
      <c r="T196" s="10"/>
    </row>
    <row r="197">
      <c r="A197" s="1" t="s">
        <v>598</v>
      </c>
      <c r="B197" s="1" t="s">
        <v>225</v>
      </c>
      <c r="C197" s="1" t="s">
        <v>233</v>
      </c>
      <c r="D197" s="1" t="s">
        <v>234</v>
      </c>
      <c r="E197" s="1">
        <v>8.66030199E9</v>
      </c>
      <c r="F197" s="1">
        <v>1.8402565546E10</v>
      </c>
      <c r="G197" s="10"/>
      <c r="H197" s="10"/>
      <c r="I197" s="1" t="s">
        <v>229</v>
      </c>
      <c r="J197" s="10"/>
      <c r="K197" s="1" t="s">
        <v>247</v>
      </c>
      <c r="L197" s="1" t="s">
        <v>256</v>
      </c>
      <c r="M197" s="9">
        <v>45726.0</v>
      </c>
      <c r="N197" s="11"/>
      <c r="O197" s="11"/>
      <c r="Q197" s="1" t="s">
        <v>234</v>
      </c>
      <c r="R197" s="10"/>
      <c r="S197" s="1" t="s">
        <v>5</v>
      </c>
      <c r="T197" s="10"/>
    </row>
    <row r="198">
      <c r="A198" s="1" t="s">
        <v>598</v>
      </c>
      <c r="B198" s="1" t="s">
        <v>225</v>
      </c>
      <c r="C198" s="1" t="s">
        <v>233</v>
      </c>
      <c r="D198" s="1" t="s">
        <v>234</v>
      </c>
      <c r="E198" s="1">
        <v>8.987506495E9</v>
      </c>
      <c r="F198" s="1">
        <v>1.8402565546E10</v>
      </c>
      <c r="G198" s="10"/>
      <c r="H198" s="1" t="s">
        <v>599</v>
      </c>
      <c r="I198" s="1" t="s">
        <v>229</v>
      </c>
      <c r="J198" s="10"/>
      <c r="K198" s="1" t="s">
        <v>247</v>
      </c>
      <c r="L198" s="1" t="s">
        <v>256</v>
      </c>
      <c r="M198" s="9">
        <v>45698.0</v>
      </c>
      <c r="N198" s="11"/>
      <c r="O198" s="11"/>
      <c r="Q198" s="1" t="s">
        <v>234</v>
      </c>
      <c r="R198" s="10"/>
      <c r="S198" s="1" t="s">
        <v>5</v>
      </c>
      <c r="T198" s="10"/>
    </row>
    <row r="199">
      <c r="A199" s="1" t="s">
        <v>600</v>
      </c>
      <c r="B199" s="1" t="s">
        <v>225</v>
      </c>
      <c r="C199" s="1" t="s">
        <v>253</v>
      </c>
      <c r="D199" s="1" t="s">
        <v>254</v>
      </c>
      <c r="E199" s="1">
        <v>1.0749464448E10</v>
      </c>
      <c r="F199" s="1">
        <v>1.8402568372E10</v>
      </c>
      <c r="G199" s="10"/>
      <c r="H199" s="1" t="s">
        <v>601</v>
      </c>
      <c r="I199" s="1" t="s">
        <v>229</v>
      </c>
      <c r="J199" s="10"/>
      <c r="K199" s="1" t="s">
        <v>247</v>
      </c>
      <c r="L199" s="1" t="s">
        <v>231</v>
      </c>
      <c r="M199" s="9">
        <v>46001.0</v>
      </c>
      <c r="N199" s="11"/>
      <c r="O199" s="9">
        <v>46010.0</v>
      </c>
      <c r="Q199" s="1" t="s">
        <v>254</v>
      </c>
      <c r="R199" s="10"/>
      <c r="S199" s="1" t="s">
        <v>5</v>
      </c>
      <c r="T199" s="10"/>
    </row>
    <row r="200">
      <c r="A200" s="1" t="s">
        <v>602</v>
      </c>
      <c r="B200" s="1" t="s">
        <v>225</v>
      </c>
      <c r="C200" s="1" t="s">
        <v>276</v>
      </c>
      <c r="D200" s="1" t="s">
        <v>277</v>
      </c>
      <c r="E200" s="1">
        <v>9.800237709E9</v>
      </c>
      <c r="F200" s="1">
        <v>1.8402563983E10</v>
      </c>
      <c r="G200" s="10"/>
      <c r="H200" s="10"/>
      <c r="I200" s="1" t="s">
        <v>229</v>
      </c>
      <c r="J200" s="10"/>
      <c r="K200" s="1" t="s">
        <v>230</v>
      </c>
      <c r="L200" s="1" t="s">
        <v>236</v>
      </c>
      <c r="M200" s="9">
        <v>45881.0</v>
      </c>
      <c r="N200" s="11"/>
      <c r="O200" s="9">
        <v>45985.0</v>
      </c>
      <c r="Q200" s="1" t="s">
        <v>278</v>
      </c>
      <c r="R200" s="10"/>
      <c r="S200" s="1" t="s">
        <v>5</v>
      </c>
      <c r="T200" s="10"/>
    </row>
    <row r="201">
      <c r="A201" s="1" t="s">
        <v>603</v>
      </c>
      <c r="B201" s="1" t="s">
        <v>225</v>
      </c>
      <c r="C201" s="1" t="s">
        <v>270</v>
      </c>
      <c r="D201" s="1" t="s">
        <v>271</v>
      </c>
      <c r="E201" s="1">
        <v>8.691695672E9</v>
      </c>
      <c r="F201" s="1">
        <v>1.8402568518E10</v>
      </c>
      <c r="G201" s="10"/>
      <c r="H201" s="10"/>
      <c r="I201" s="1" t="s">
        <v>229</v>
      </c>
      <c r="J201" s="10"/>
      <c r="K201" s="1" t="s">
        <v>247</v>
      </c>
      <c r="L201" s="1" t="s">
        <v>240</v>
      </c>
      <c r="M201" s="9">
        <v>45729.0</v>
      </c>
      <c r="N201" s="9">
        <v>45745.0</v>
      </c>
      <c r="O201" s="9">
        <v>45755.0</v>
      </c>
      <c r="Q201" s="1" t="s">
        <v>271</v>
      </c>
      <c r="R201" s="10"/>
      <c r="S201" s="1" t="s">
        <v>5</v>
      </c>
      <c r="T201" s="10"/>
    </row>
    <row r="202">
      <c r="A202" s="1" t="s">
        <v>604</v>
      </c>
      <c r="B202" s="1" t="s">
        <v>225</v>
      </c>
      <c r="C202" s="1" t="s">
        <v>276</v>
      </c>
      <c r="D202" s="1" t="s">
        <v>277</v>
      </c>
      <c r="E202" s="1">
        <v>9.800180589E9</v>
      </c>
      <c r="F202" s="1">
        <v>1.8402563983E10</v>
      </c>
      <c r="G202" s="10"/>
      <c r="H202" s="10"/>
      <c r="I202" s="1" t="s">
        <v>229</v>
      </c>
      <c r="J202" s="10"/>
      <c r="K202" s="1" t="s">
        <v>230</v>
      </c>
      <c r="L202" s="1" t="s">
        <v>236</v>
      </c>
      <c r="M202" s="9">
        <v>45881.0</v>
      </c>
      <c r="N202" s="11"/>
      <c r="O202" s="9">
        <v>45896.0</v>
      </c>
      <c r="Q202" s="1" t="s">
        <v>278</v>
      </c>
      <c r="R202" s="10"/>
      <c r="S202" s="1" t="s">
        <v>5</v>
      </c>
      <c r="T202" s="10"/>
    </row>
    <row r="203">
      <c r="A203" s="1" t="s">
        <v>605</v>
      </c>
      <c r="B203" s="1" t="s">
        <v>225</v>
      </c>
      <c r="C203" s="1" t="s">
        <v>258</v>
      </c>
      <c r="D203" s="1" t="s">
        <v>259</v>
      </c>
      <c r="E203" s="1">
        <v>8.845102465E9</v>
      </c>
      <c r="F203" s="1">
        <v>1.8402564676E10</v>
      </c>
      <c r="G203" s="10"/>
      <c r="H203" s="1" t="s">
        <v>320</v>
      </c>
      <c r="I203" s="1" t="s">
        <v>229</v>
      </c>
      <c r="J203" s="10"/>
      <c r="K203" s="1" t="s">
        <v>39</v>
      </c>
      <c r="L203" s="1" t="s">
        <v>236</v>
      </c>
      <c r="M203" s="9">
        <v>45749.0</v>
      </c>
      <c r="N203" s="11"/>
      <c r="O203" s="11"/>
      <c r="Q203" s="1" t="s">
        <v>259</v>
      </c>
      <c r="R203" s="10"/>
      <c r="S203" s="1" t="s">
        <v>5</v>
      </c>
      <c r="T203" s="10"/>
    </row>
    <row r="204">
      <c r="A204" s="1" t="s">
        <v>606</v>
      </c>
      <c r="B204" s="1" t="s">
        <v>225</v>
      </c>
      <c r="C204" s="1" t="s">
        <v>322</v>
      </c>
      <c r="D204" s="1" t="s">
        <v>323</v>
      </c>
      <c r="E204" s="1">
        <v>8.854355841E9</v>
      </c>
      <c r="F204" s="1">
        <v>1.8402567457E10</v>
      </c>
      <c r="G204" s="10"/>
      <c r="H204" s="10"/>
      <c r="I204" s="1" t="s">
        <v>229</v>
      </c>
      <c r="J204" s="10"/>
      <c r="K204" s="1" t="s">
        <v>39</v>
      </c>
      <c r="L204" s="1" t="s">
        <v>329</v>
      </c>
      <c r="M204" s="9">
        <v>45750.0</v>
      </c>
      <c r="N204" s="11"/>
      <c r="O204" s="9">
        <v>46010.0</v>
      </c>
      <c r="Q204" s="1" t="s">
        <v>323</v>
      </c>
      <c r="R204" s="10"/>
      <c r="S204" s="1" t="s">
        <v>5</v>
      </c>
      <c r="T204" s="10"/>
    </row>
    <row r="205" ht="22.5" customHeight="1">
      <c r="A205" s="1" t="s">
        <v>607</v>
      </c>
      <c r="B205" s="1" t="s">
        <v>29</v>
      </c>
      <c r="C205" s="1" t="s">
        <v>280</v>
      </c>
      <c r="D205" s="1" t="s">
        <v>281</v>
      </c>
      <c r="E205" s="1">
        <v>1.0707554606E10</v>
      </c>
      <c r="F205" s="1">
        <v>1.8402563866E10</v>
      </c>
      <c r="G205" s="10"/>
      <c r="H205" s="10"/>
      <c r="I205" s="1" t="s">
        <v>31</v>
      </c>
      <c r="J205" s="1" t="s">
        <v>261</v>
      </c>
      <c r="K205" s="1" t="s">
        <v>247</v>
      </c>
      <c r="L205" s="1" t="s">
        <v>236</v>
      </c>
      <c r="M205" s="9">
        <v>45995.0</v>
      </c>
      <c r="N205" s="9">
        <v>46009.0</v>
      </c>
      <c r="O205" s="11"/>
      <c r="Q205" s="1" t="s">
        <v>281</v>
      </c>
      <c r="R205" s="10"/>
      <c r="S205" s="1" t="s">
        <v>5</v>
      </c>
      <c r="T205" s="10"/>
    </row>
    <row r="206" ht="18.75" customHeight="1">
      <c r="A206" s="1" t="s">
        <v>608</v>
      </c>
      <c r="B206" s="1" t="s">
        <v>225</v>
      </c>
      <c r="C206" s="1" t="s">
        <v>322</v>
      </c>
      <c r="D206" s="1" t="s">
        <v>323</v>
      </c>
      <c r="E206" s="1">
        <v>8.741557439E9</v>
      </c>
      <c r="F206" s="1">
        <v>1.8402567457E10</v>
      </c>
      <c r="G206" s="10"/>
      <c r="H206" s="10"/>
      <c r="I206" s="1" t="s">
        <v>229</v>
      </c>
      <c r="J206" s="10"/>
      <c r="K206" s="1" t="s">
        <v>39</v>
      </c>
      <c r="L206" s="1" t="s">
        <v>268</v>
      </c>
      <c r="M206" s="9">
        <v>45722.0</v>
      </c>
      <c r="N206" s="11"/>
      <c r="O206" s="9">
        <v>46010.0</v>
      </c>
      <c r="Q206" s="1" t="s">
        <v>323</v>
      </c>
      <c r="R206" s="10"/>
      <c r="S206" s="1" t="s">
        <v>5</v>
      </c>
      <c r="T206" s="10"/>
    </row>
    <row r="207">
      <c r="A207" s="1" t="s">
        <v>609</v>
      </c>
      <c r="B207" s="1" t="s">
        <v>225</v>
      </c>
      <c r="C207" s="1" t="s">
        <v>233</v>
      </c>
      <c r="D207" s="1" t="s">
        <v>234</v>
      </c>
      <c r="E207" s="1">
        <v>8.463770198E9</v>
      </c>
      <c r="F207" s="1">
        <v>1.8402565546E10</v>
      </c>
      <c r="G207" s="10"/>
      <c r="H207" s="10"/>
      <c r="I207" s="1" t="s">
        <v>229</v>
      </c>
      <c r="J207" s="10"/>
      <c r="K207" s="1" t="s">
        <v>230</v>
      </c>
      <c r="L207" s="1" t="s">
        <v>256</v>
      </c>
      <c r="M207" s="9">
        <v>45700.0</v>
      </c>
      <c r="N207" s="11"/>
      <c r="O207" s="11"/>
      <c r="Q207" s="1" t="s">
        <v>234</v>
      </c>
      <c r="R207" s="10"/>
      <c r="S207" s="1" t="s">
        <v>5</v>
      </c>
      <c r="T207" s="10"/>
    </row>
    <row r="208">
      <c r="A208" s="1" t="s">
        <v>610</v>
      </c>
      <c r="B208" s="1" t="s">
        <v>29</v>
      </c>
      <c r="C208" s="1" t="s">
        <v>253</v>
      </c>
      <c r="D208" s="1" t="s">
        <v>254</v>
      </c>
      <c r="E208" s="1">
        <v>1.8387521225E10</v>
      </c>
      <c r="F208" s="1">
        <v>1.8402568372E10</v>
      </c>
      <c r="G208" s="10"/>
      <c r="H208" s="1" t="s">
        <v>611</v>
      </c>
      <c r="I208" s="1" t="s">
        <v>31</v>
      </c>
      <c r="J208" s="1" t="s">
        <v>569</v>
      </c>
      <c r="K208" s="1" t="s">
        <v>247</v>
      </c>
      <c r="L208" s="1" t="s">
        <v>231</v>
      </c>
      <c r="M208" s="9">
        <v>45958.0</v>
      </c>
      <c r="N208" s="9">
        <v>46011.0</v>
      </c>
      <c r="O208" s="11"/>
      <c r="Q208" s="1" t="s">
        <v>254</v>
      </c>
      <c r="R208" s="10"/>
      <c r="S208" s="1" t="s">
        <v>5</v>
      </c>
      <c r="T208" s="10"/>
    </row>
    <row r="209">
      <c r="A209" s="1" t="s">
        <v>612</v>
      </c>
      <c r="B209" s="1" t="s">
        <v>225</v>
      </c>
      <c r="C209" s="1" t="s">
        <v>270</v>
      </c>
      <c r="D209" s="1" t="s">
        <v>271</v>
      </c>
      <c r="E209" s="1">
        <v>8.721264392E9</v>
      </c>
      <c r="F209" s="1">
        <v>1.8402568518E10</v>
      </c>
      <c r="G209" s="10"/>
      <c r="H209" s="1" t="s">
        <v>613</v>
      </c>
      <c r="I209" s="1" t="s">
        <v>229</v>
      </c>
      <c r="J209" s="10"/>
      <c r="K209" s="1" t="s">
        <v>230</v>
      </c>
      <c r="L209" s="1" t="s">
        <v>236</v>
      </c>
      <c r="M209" s="9">
        <v>45734.0</v>
      </c>
      <c r="N209" s="11"/>
      <c r="O209" s="9">
        <v>45769.0</v>
      </c>
      <c r="Q209" s="1" t="s">
        <v>271</v>
      </c>
      <c r="R209" s="10"/>
      <c r="S209" s="1" t="s">
        <v>5</v>
      </c>
      <c r="T209" s="10"/>
    </row>
    <row r="210">
      <c r="A210" s="1" t="s">
        <v>614</v>
      </c>
      <c r="B210" s="1" t="s">
        <v>225</v>
      </c>
      <c r="C210" s="1" t="s">
        <v>276</v>
      </c>
      <c r="D210" s="1" t="s">
        <v>277</v>
      </c>
      <c r="E210" s="1">
        <v>8.90695648E9</v>
      </c>
      <c r="F210" s="1">
        <v>1.8402563983E10</v>
      </c>
      <c r="G210" s="10"/>
      <c r="H210" s="10"/>
      <c r="I210" s="1" t="s">
        <v>229</v>
      </c>
      <c r="J210" s="10"/>
      <c r="K210" s="1" t="s">
        <v>33</v>
      </c>
      <c r="L210" s="1" t="s">
        <v>236</v>
      </c>
      <c r="M210" s="9">
        <v>45757.0</v>
      </c>
      <c r="N210" s="11"/>
      <c r="O210" s="9">
        <v>45894.0</v>
      </c>
      <c r="Q210" s="1" t="s">
        <v>278</v>
      </c>
      <c r="R210" s="10"/>
      <c r="S210" s="1" t="s">
        <v>5</v>
      </c>
      <c r="T210" s="10"/>
    </row>
    <row r="211">
      <c r="A211" s="1" t="s">
        <v>615</v>
      </c>
      <c r="B211" s="1" t="s">
        <v>225</v>
      </c>
      <c r="C211" s="1" t="s">
        <v>238</v>
      </c>
      <c r="D211" s="1" t="s">
        <v>239</v>
      </c>
      <c r="E211" s="1">
        <v>8.608721336E9</v>
      </c>
      <c r="F211" s="1">
        <v>1.8402568111E10</v>
      </c>
      <c r="G211" s="10"/>
      <c r="H211" s="1" t="s">
        <v>616</v>
      </c>
      <c r="I211" s="1" t="s">
        <v>229</v>
      </c>
      <c r="J211" s="10"/>
      <c r="K211" s="1" t="s">
        <v>39</v>
      </c>
      <c r="L211" s="1" t="s">
        <v>617</v>
      </c>
      <c r="M211" s="9">
        <v>45719.0</v>
      </c>
      <c r="N211" s="11"/>
      <c r="O211" s="9">
        <v>46010.0</v>
      </c>
      <c r="Q211" s="1" t="s">
        <v>241</v>
      </c>
      <c r="R211" s="10"/>
      <c r="S211" s="1" t="s">
        <v>5</v>
      </c>
      <c r="T211" s="10"/>
    </row>
    <row r="212">
      <c r="A212" s="1" t="s">
        <v>618</v>
      </c>
      <c r="B212" s="1" t="s">
        <v>225</v>
      </c>
      <c r="C212" s="1" t="s">
        <v>292</v>
      </c>
      <c r="D212" s="1" t="s">
        <v>293</v>
      </c>
      <c r="E212" s="1">
        <v>1.0791847318E10</v>
      </c>
      <c r="F212" s="1">
        <v>1.8402565219E10</v>
      </c>
      <c r="G212" s="10"/>
      <c r="H212" s="13"/>
      <c r="I212" s="1" t="s">
        <v>229</v>
      </c>
      <c r="J212" s="10"/>
      <c r="K212" s="1" t="s">
        <v>247</v>
      </c>
      <c r="L212" s="1" t="s">
        <v>236</v>
      </c>
      <c r="M212" s="9">
        <v>46007.0</v>
      </c>
      <c r="N212" s="11"/>
      <c r="O212" s="9">
        <v>46071.0</v>
      </c>
      <c r="Q212" s="1" t="s">
        <v>293</v>
      </c>
      <c r="R212" s="10"/>
      <c r="S212" s="1" t="s">
        <v>5</v>
      </c>
      <c r="T212" s="10"/>
    </row>
    <row r="213">
      <c r="A213" s="1" t="s">
        <v>619</v>
      </c>
      <c r="B213" s="1" t="s">
        <v>29</v>
      </c>
      <c r="C213" s="1" t="s">
        <v>270</v>
      </c>
      <c r="D213" s="1" t="s">
        <v>271</v>
      </c>
      <c r="E213" s="1">
        <v>8.475663372E9</v>
      </c>
      <c r="F213" s="1">
        <v>1.8402568518E10</v>
      </c>
      <c r="H213" s="1" t="s">
        <v>620</v>
      </c>
      <c r="I213" s="1" t="s">
        <v>45</v>
      </c>
      <c r="J213" s="1" t="s">
        <v>251</v>
      </c>
      <c r="K213" s="1" t="s">
        <v>247</v>
      </c>
      <c r="L213" s="1" t="s">
        <v>236</v>
      </c>
      <c r="M213" s="9">
        <v>45701.0</v>
      </c>
      <c r="N213" s="11"/>
      <c r="O213" s="11"/>
      <c r="Q213" s="1" t="s">
        <v>271</v>
      </c>
      <c r="R213" s="10"/>
      <c r="S213" s="1" t="s">
        <v>5</v>
      </c>
      <c r="T213" s="10"/>
    </row>
    <row r="214">
      <c r="A214" s="1" t="s">
        <v>621</v>
      </c>
      <c r="B214" s="1" t="s">
        <v>225</v>
      </c>
      <c r="C214" s="1" t="s">
        <v>253</v>
      </c>
      <c r="D214" s="1" t="s">
        <v>254</v>
      </c>
      <c r="E214" s="1">
        <v>9.819695049E9</v>
      </c>
      <c r="F214" s="1">
        <v>1.8402568372E10</v>
      </c>
      <c r="G214" s="10"/>
      <c r="H214" s="1" t="s">
        <v>622</v>
      </c>
      <c r="I214" s="1" t="s">
        <v>229</v>
      </c>
      <c r="J214" s="10"/>
      <c r="K214" s="1" t="s">
        <v>230</v>
      </c>
      <c r="L214" s="1" t="s">
        <v>231</v>
      </c>
      <c r="M214" s="9">
        <v>45698.0</v>
      </c>
      <c r="N214" s="11"/>
      <c r="O214" s="9">
        <v>45938.0</v>
      </c>
      <c r="Q214" s="1" t="s">
        <v>254</v>
      </c>
      <c r="R214" s="10"/>
      <c r="S214" s="1" t="s">
        <v>5</v>
      </c>
      <c r="T214" s="10"/>
    </row>
    <row r="215">
      <c r="A215" s="1" t="s">
        <v>623</v>
      </c>
      <c r="B215" s="1" t="s">
        <v>225</v>
      </c>
      <c r="C215" s="1" t="s">
        <v>270</v>
      </c>
      <c r="D215" s="1" t="s">
        <v>271</v>
      </c>
      <c r="E215" s="1">
        <v>8.691628505E9</v>
      </c>
      <c r="F215" s="1">
        <v>1.8402568518E10</v>
      </c>
      <c r="G215" s="10"/>
      <c r="H215" s="1" t="s">
        <v>624</v>
      </c>
      <c r="I215" s="1" t="s">
        <v>229</v>
      </c>
      <c r="J215" s="10"/>
      <c r="K215" s="1" t="s">
        <v>230</v>
      </c>
      <c r="L215" s="1" t="s">
        <v>236</v>
      </c>
      <c r="M215" s="9">
        <v>45729.0</v>
      </c>
      <c r="N215" s="9">
        <v>45738.0</v>
      </c>
      <c r="O215" s="9">
        <v>45769.0</v>
      </c>
      <c r="Q215" s="1" t="s">
        <v>271</v>
      </c>
      <c r="R215" s="10"/>
      <c r="S215" s="1" t="s">
        <v>5</v>
      </c>
      <c r="T215" s="10"/>
    </row>
    <row r="216">
      <c r="A216" s="1" t="s">
        <v>625</v>
      </c>
      <c r="B216" s="1" t="s">
        <v>225</v>
      </c>
      <c r="C216" s="1" t="s">
        <v>302</v>
      </c>
      <c r="D216" s="1" t="s">
        <v>303</v>
      </c>
      <c r="E216" s="1">
        <v>9.158684726E9</v>
      </c>
      <c r="F216" s="1">
        <v>1.8402561158E10</v>
      </c>
      <c r="G216" s="10"/>
      <c r="H216" s="10"/>
      <c r="I216" s="1" t="s">
        <v>229</v>
      </c>
      <c r="J216" s="10"/>
      <c r="K216" s="1" t="s">
        <v>247</v>
      </c>
      <c r="L216" s="1" t="s">
        <v>236</v>
      </c>
      <c r="M216" s="9">
        <v>45792.0</v>
      </c>
      <c r="N216" s="11"/>
      <c r="O216" s="9">
        <v>45792.0</v>
      </c>
      <c r="Q216" s="1" t="s">
        <v>304</v>
      </c>
      <c r="R216" s="10"/>
      <c r="S216" s="1" t="s">
        <v>5</v>
      </c>
      <c r="T216" s="10"/>
    </row>
    <row r="217">
      <c r="A217" s="1" t="s">
        <v>626</v>
      </c>
      <c r="B217" s="1" t="s">
        <v>29</v>
      </c>
      <c r="C217" s="1" t="s">
        <v>292</v>
      </c>
      <c r="D217" s="1" t="s">
        <v>293</v>
      </c>
      <c r="E217" s="1">
        <v>1.0791845308E10</v>
      </c>
      <c r="F217" s="1">
        <v>1.8402565219E10</v>
      </c>
      <c r="G217" s="10"/>
      <c r="H217" s="10"/>
      <c r="I217" s="1" t="s">
        <v>31</v>
      </c>
      <c r="J217" s="1" t="s">
        <v>251</v>
      </c>
      <c r="K217" s="1" t="s">
        <v>247</v>
      </c>
      <c r="L217" s="1" t="s">
        <v>236</v>
      </c>
      <c r="M217" s="9">
        <v>46007.0</v>
      </c>
      <c r="N217" s="9">
        <v>46021.0</v>
      </c>
      <c r="O217" s="11"/>
      <c r="Q217" s="1" t="s">
        <v>293</v>
      </c>
      <c r="R217" s="10"/>
      <c r="S217" s="1" t="s">
        <v>5</v>
      </c>
      <c r="T217" s="10"/>
    </row>
    <row r="218">
      <c r="A218" s="1" t="s">
        <v>627</v>
      </c>
      <c r="B218" s="1" t="s">
        <v>225</v>
      </c>
      <c r="C218" s="1" t="s">
        <v>253</v>
      </c>
      <c r="D218" s="1" t="s">
        <v>254</v>
      </c>
      <c r="E218" s="1">
        <v>9.090718385E9</v>
      </c>
      <c r="F218" s="1">
        <v>1.8402568372E10</v>
      </c>
      <c r="G218" s="10"/>
      <c r="H218" s="1" t="s">
        <v>628</v>
      </c>
      <c r="I218" s="1" t="s">
        <v>229</v>
      </c>
      <c r="J218" s="10"/>
      <c r="K218" s="1" t="s">
        <v>230</v>
      </c>
      <c r="L218" s="1" t="s">
        <v>42</v>
      </c>
      <c r="M218" s="9">
        <v>45784.0</v>
      </c>
      <c r="N218" s="11"/>
      <c r="O218" s="9">
        <v>45896.0</v>
      </c>
      <c r="Q218" s="1" t="s">
        <v>254</v>
      </c>
      <c r="R218" s="10"/>
      <c r="S218" s="1" t="s">
        <v>5</v>
      </c>
      <c r="T218" s="10"/>
    </row>
    <row r="219">
      <c r="A219" s="1" t="s">
        <v>629</v>
      </c>
      <c r="B219" s="1" t="s">
        <v>29</v>
      </c>
      <c r="C219" s="1" t="s">
        <v>280</v>
      </c>
      <c r="D219" s="1" t="s">
        <v>281</v>
      </c>
      <c r="E219" s="1">
        <v>1.1379347857E10</v>
      </c>
      <c r="F219" s="1">
        <v>1.8402563866E10</v>
      </c>
      <c r="G219" s="10"/>
      <c r="H219" s="10"/>
      <c r="I219" s="1" t="s">
        <v>31</v>
      </c>
      <c r="J219" s="1" t="s">
        <v>261</v>
      </c>
      <c r="K219" s="1" t="s">
        <v>230</v>
      </c>
      <c r="L219" s="1" t="s">
        <v>231</v>
      </c>
      <c r="M219" s="9">
        <v>46079.0</v>
      </c>
      <c r="N219" s="9">
        <v>46093.0</v>
      </c>
      <c r="O219" s="11"/>
      <c r="Q219" s="1" t="s">
        <v>281</v>
      </c>
      <c r="R219" s="10"/>
      <c r="S219" s="1" t="s">
        <v>5</v>
      </c>
      <c r="T219" s="10"/>
    </row>
    <row r="220">
      <c r="A220" s="1" t="s">
        <v>630</v>
      </c>
      <c r="B220" s="1" t="s">
        <v>225</v>
      </c>
      <c r="C220" s="1" t="s">
        <v>322</v>
      </c>
      <c r="D220" s="1" t="s">
        <v>323</v>
      </c>
      <c r="E220" s="1">
        <v>8.906914159E9</v>
      </c>
      <c r="F220" s="1">
        <v>1.8402567457E10</v>
      </c>
      <c r="H220" s="1" t="s">
        <v>631</v>
      </c>
      <c r="I220" s="1" t="s">
        <v>229</v>
      </c>
      <c r="J220" s="10"/>
      <c r="K220" s="1" t="s">
        <v>247</v>
      </c>
      <c r="L220" s="1" t="s">
        <v>329</v>
      </c>
      <c r="M220" s="9">
        <v>45757.0</v>
      </c>
      <c r="N220" s="11"/>
      <c r="O220" s="9">
        <v>46010.0</v>
      </c>
      <c r="Q220" s="1" t="s">
        <v>323</v>
      </c>
      <c r="R220" s="10"/>
      <c r="S220" s="1" t="s">
        <v>5</v>
      </c>
      <c r="T220" s="10"/>
    </row>
    <row r="221">
      <c r="A221" s="1" t="s">
        <v>632</v>
      </c>
      <c r="B221" s="1" t="s">
        <v>29</v>
      </c>
      <c r="C221" s="1" t="s">
        <v>233</v>
      </c>
      <c r="D221" s="1" t="s">
        <v>234</v>
      </c>
      <c r="E221" s="1">
        <v>1.1204415846E10</v>
      </c>
      <c r="F221" s="1">
        <v>1.8402565546E10</v>
      </c>
      <c r="H221" s="14">
        <v>46054.0</v>
      </c>
      <c r="I221" s="1" t="s">
        <v>317</v>
      </c>
      <c r="J221" s="10"/>
      <c r="K221" s="1" t="s">
        <v>39</v>
      </c>
      <c r="L221" s="1" t="s">
        <v>236</v>
      </c>
      <c r="M221" s="9">
        <v>46059.0</v>
      </c>
      <c r="N221" s="11"/>
      <c r="O221" s="11"/>
      <c r="Q221" s="1" t="s">
        <v>234</v>
      </c>
      <c r="R221" s="10"/>
      <c r="S221" s="1" t="s">
        <v>5</v>
      </c>
      <c r="T221" s="10"/>
    </row>
    <row r="222">
      <c r="A222" s="1" t="s">
        <v>633</v>
      </c>
      <c r="B222" s="1" t="s">
        <v>225</v>
      </c>
      <c r="C222" s="1" t="s">
        <v>233</v>
      </c>
      <c r="D222" s="1" t="s">
        <v>234</v>
      </c>
      <c r="E222" s="1">
        <v>8.98728039E9</v>
      </c>
      <c r="F222" s="1">
        <v>1.8402565546E10</v>
      </c>
      <c r="H222" s="1" t="s">
        <v>634</v>
      </c>
      <c r="I222" s="1" t="s">
        <v>229</v>
      </c>
      <c r="J222" s="10"/>
      <c r="K222" s="1" t="s">
        <v>230</v>
      </c>
      <c r="L222" s="1" t="s">
        <v>248</v>
      </c>
      <c r="M222" s="9">
        <v>45770.0</v>
      </c>
      <c r="N222" s="11"/>
      <c r="O222" s="11"/>
      <c r="Q222" s="1" t="s">
        <v>234</v>
      </c>
      <c r="R222" s="10"/>
      <c r="S222" s="1" t="s">
        <v>5</v>
      </c>
      <c r="T222" s="10"/>
    </row>
    <row r="223">
      <c r="A223" s="1" t="s">
        <v>635</v>
      </c>
      <c r="B223" s="1" t="s">
        <v>29</v>
      </c>
      <c r="C223" s="1" t="s">
        <v>233</v>
      </c>
      <c r="D223" s="1" t="s">
        <v>234</v>
      </c>
      <c r="E223" s="1">
        <v>1.0755698714E10</v>
      </c>
      <c r="F223" s="1">
        <v>1.8402565546E10</v>
      </c>
      <c r="H223" s="14">
        <v>46113.0</v>
      </c>
      <c r="I223" s="1" t="s">
        <v>317</v>
      </c>
      <c r="J223" s="1" t="s">
        <v>261</v>
      </c>
      <c r="K223" s="1" t="s">
        <v>230</v>
      </c>
      <c r="L223" s="1" t="s">
        <v>236</v>
      </c>
      <c r="M223" s="9">
        <v>45698.0</v>
      </c>
      <c r="N223" s="9">
        <v>46053.0</v>
      </c>
      <c r="O223" s="11"/>
      <c r="Q223" s="1" t="s">
        <v>234</v>
      </c>
      <c r="R223" s="10"/>
      <c r="S223" s="1" t="s">
        <v>5</v>
      </c>
      <c r="T223" s="10"/>
    </row>
    <row r="224">
      <c r="A224" s="1" t="s">
        <v>636</v>
      </c>
      <c r="B224" s="1" t="s">
        <v>225</v>
      </c>
      <c r="C224" s="1" t="s">
        <v>258</v>
      </c>
      <c r="D224" s="1" t="s">
        <v>259</v>
      </c>
      <c r="E224" s="1">
        <v>9.892766125E9</v>
      </c>
      <c r="F224" s="1">
        <v>1.8402564676E10</v>
      </c>
      <c r="H224" s="10"/>
      <c r="I224" s="1" t="s">
        <v>229</v>
      </c>
      <c r="J224" s="10"/>
      <c r="K224" s="1" t="s">
        <v>33</v>
      </c>
      <c r="L224" s="1" t="s">
        <v>268</v>
      </c>
      <c r="M224" s="9">
        <v>45894.0</v>
      </c>
      <c r="N224" s="11"/>
      <c r="O224" s="9">
        <v>45966.0</v>
      </c>
      <c r="Q224" s="1" t="s">
        <v>259</v>
      </c>
      <c r="R224" s="10"/>
      <c r="S224" s="1" t="s">
        <v>5</v>
      </c>
      <c r="T224" s="10"/>
    </row>
    <row r="225">
      <c r="A225" s="1" t="s">
        <v>637</v>
      </c>
      <c r="B225" s="1" t="s">
        <v>225</v>
      </c>
      <c r="C225" s="1" t="s">
        <v>322</v>
      </c>
      <c r="D225" s="1" t="s">
        <v>323</v>
      </c>
      <c r="E225" s="1">
        <v>8.789959613E9</v>
      </c>
      <c r="F225" s="1">
        <v>1.8402567457E10</v>
      </c>
      <c r="G225" s="10"/>
      <c r="H225" s="10"/>
      <c r="I225" s="1" t="s">
        <v>229</v>
      </c>
      <c r="J225" s="10"/>
      <c r="K225" s="1" t="s">
        <v>39</v>
      </c>
      <c r="L225" s="1" t="s">
        <v>268</v>
      </c>
      <c r="M225" s="9">
        <v>45742.0</v>
      </c>
      <c r="N225" s="11"/>
      <c r="O225" s="9">
        <v>46010.0</v>
      </c>
      <c r="Q225" s="1" t="s">
        <v>323</v>
      </c>
      <c r="R225" s="10"/>
      <c r="S225" s="1" t="s">
        <v>5</v>
      </c>
      <c r="T225" s="10"/>
    </row>
    <row r="226">
      <c r="A226" s="1" t="s">
        <v>638</v>
      </c>
      <c r="B226" s="1" t="s">
        <v>225</v>
      </c>
      <c r="C226" s="1" t="s">
        <v>238</v>
      </c>
      <c r="D226" s="1" t="s">
        <v>239</v>
      </c>
      <c r="E226" s="1">
        <v>8.6086785E9</v>
      </c>
      <c r="F226" s="1">
        <v>1.8402568111E10</v>
      </c>
      <c r="G226" s="10"/>
      <c r="H226" s="10"/>
      <c r="I226" s="1" t="s">
        <v>229</v>
      </c>
      <c r="J226" s="10"/>
      <c r="K226" s="1" t="s">
        <v>39</v>
      </c>
      <c r="L226" s="1" t="s">
        <v>236</v>
      </c>
      <c r="M226" s="9">
        <v>45719.0</v>
      </c>
      <c r="N226" s="11"/>
      <c r="O226" s="9">
        <v>46010.0</v>
      </c>
      <c r="Q226" s="1" t="s">
        <v>241</v>
      </c>
      <c r="R226" s="10"/>
      <c r="S226" s="1" t="s">
        <v>5</v>
      </c>
      <c r="T226" s="10"/>
    </row>
    <row r="227">
      <c r="A227" s="1" t="s">
        <v>639</v>
      </c>
      <c r="B227" s="1" t="s">
        <v>225</v>
      </c>
      <c r="C227" s="1" t="s">
        <v>253</v>
      </c>
      <c r="D227" s="1" t="s">
        <v>254</v>
      </c>
      <c r="E227" s="1">
        <v>8.745567145E9</v>
      </c>
      <c r="F227" s="1">
        <v>1.8402568372E10</v>
      </c>
      <c r="H227" s="10"/>
      <c r="I227" s="1" t="s">
        <v>229</v>
      </c>
      <c r="J227" s="10"/>
      <c r="K227" s="1" t="s">
        <v>230</v>
      </c>
      <c r="L227" s="1" t="s">
        <v>236</v>
      </c>
      <c r="M227" s="9">
        <v>45736.0</v>
      </c>
      <c r="N227" s="9">
        <v>45752.0</v>
      </c>
      <c r="O227" s="11"/>
      <c r="Q227" s="1" t="s">
        <v>254</v>
      </c>
      <c r="R227" s="10"/>
      <c r="S227" s="1" t="s">
        <v>5</v>
      </c>
      <c r="T227" s="10"/>
    </row>
    <row r="228">
      <c r="A228" s="1" t="s">
        <v>640</v>
      </c>
      <c r="B228" s="1" t="s">
        <v>225</v>
      </c>
      <c r="C228" s="1" t="s">
        <v>233</v>
      </c>
      <c r="D228" s="1" t="s">
        <v>234</v>
      </c>
      <c r="E228" s="1">
        <v>1.0703411187E10</v>
      </c>
      <c r="F228" s="1">
        <v>1.8402565546E10</v>
      </c>
      <c r="G228" s="10"/>
      <c r="H228" s="10"/>
      <c r="I228" s="1" t="s">
        <v>229</v>
      </c>
      <c r="J228" s="1" t="s">
        <v>267</v>
      </c>
      <c r="K228" s="1" t="s">
        <v>247</v>
      </c>
      <c r="L228" s="1" t="s">
        <v>236</v>
      </c>
      <c r="M228" s="9">
        <v>45995.0</v>
      </c>
      <c r="N228" s="11"/>
      <c r="O228" s="11"/>
      <c r="Q228" s="1" t="s">
        <v>234</v>
      </c>
      <c r="R228" s="10"/>
      <c r="S228" s="1" t="s">
        <v>5</v>
      </c>
      <c r="T228" s="10"/>
    </row>
    <row r="229">
      <c r="A229" s="1" t="s">
        <v>641</v>
      </c>
      <c r="B229" s="1" t="s">
        <v>29</v>
      </c>
      <c r="C229" s="1" t="s">
        <v>258</v>
      </c>
      <c r="D229" s="1" t="s">
        <v>259</v>
      </c>
      <c r="E229" s="1">
        <v>8.576692926E9</v>
      </c>
      <c r="F229" s="1">
        <v>1.8402564676E10</v>
      </c>
      <c r="G229" s="10"/>
      <c r="H229" s="1" t="s">
        <v>642</v>
      </c>
      <c r="I229" s="1" t="s">
        <v>47</v>
      </c>
      <c r="J229" s="1" t="s">
        <v>261</v>
      </c>
      <c r="K229" s="1" t="s">
        <v>247</v>
      </c>
      <c r="L229" s="1" t="s">
        <v>268</v>
      </c>
      <c r="M229" s="9">
        <v>45698.0</v>
      </c>
      <c r="N229" s="9">
        <v>45721.0</v>
      </c>
      <c r="O229" s="11"/>
      <c r="Q229" s="1" t="s">
        <v>259</v>
      </c>
      <c r="R229" s="10"/>
      <c r="S229" s="1" t="s">
        <v>5</v>
      </c>
      <c r="T229" s="10"/>
    </row>
    <row r="230">
      <c r="A230" s="1" t="s">
        <v>643</v>
      </c>
      <c r="B230" s="1" t="s">
        <v>29</v>
      </c>
      <c r="C230" s="1" t="s">
        <v>258</v>
      </c>
      <c r="D230" s="1" t="s">
        <v>259</v>
      </c>
      <c r="E230" s="1">
        <v>1.8357753267E10</v>
      </c>
      <c r="F230" s="1">
        <v>1.8402564676E10</v>
      </c>
      <c r="H230" s="1" t="s">
        <v>644</v>
      </c>
      <c r="I230" s="1" t="s">
        <v>45</v>
      </c>
      <c r="J230" s="1" t="s">
        <v>261</v>
      </c>
      <c r="K230" s="1" t="s">
        <v>247</v>
      </c>
      <c r="L230" s="1" t="s">
        <v>236</v>
      </c>
      <c r="M230" s="9">
        <v>45966.0</v>
      </c>
      <c r="N230" s="11"/>
      <c r="O230" s="11"/>
      <c r="Q230" s="1" t="s">
        <v>259</v>
      </c>
      <c r="R230" s="10"/>
      <c r="S230" s="1" t="s">
        <v>5</v>
      </c>
      <c r="T230" s="10"/>
    </row>
    <row r="231">
      <c r="A231" s="1" t="s">
        <v>645</v>
      </c>
      <c r="B231" s="1" t="s">
        <v>29</v>
      </c>
      <c r="C231" s="1" t="s">
        <v>270</v>
      </c>
      <c r="D231" s="1" t="s">
        <v>271</v>
      </c>
      <c r="E231" s="1">
        <v>8.46598054E9</v>
      </c>
      <c r="F231" s="1">
        <v>1.8402568518E10</v>
      </c>
      <c r="H231" s="1" t="s">
        <v>646</v>
      </c>
      <c r="I231" s="1" t="s">
        <v>317</v>
      </c>
      <c r="J231" s="1" t="s">
        <v>261</v>
      </c>
      <c r="K231" s="1" t="s">
        <v>247</v>
      </c>
      <c r="L231" s="1" t="s">
        <v>256</v>
      </c>
      <c r="M231" s="9">
        <v>45700.0</v>
      </c>
      <c r="N231" s="11"/>
      <c r="O231" s="11"/>
      <c r="Q231" s="1" t="s">
        <v>271</v>
      </c>
      <c r="R231" s="10"/>
      <c r="S231" s="1" t="s">
        <v>5</v>
      </c>
      <c r="T231" s="10"/>
    </row>
    <row r="232">
      <c r="A232" s="1" t="s">
        <v>645</v>
      </c>
      <c r="B232" s="1" t="s">
        <v>29</v>
      </c>
      <c r="C232" s="1" t="s">
        <v>233</v>
      </c>
      <c r="D232" s="1" t="s">
        <v>234</v>
      </c>
      <c r="E232" s="1">
        <v>8.464248534E9</v>
      </c>
      <c r="F232" s="1">
        <v>1.8402565546E10</v>
      </c>
      <c r="H232" s="10"/>
      <c r="I232" s="1" t="s">
        <v>317</v>
      </c>
      <c r="J232" s="10"/>
      <c r="K232" s="1" t="s">
        <v>247</v>
      </c>
      <c r="L232" s="1" t="s">
        <v>236</v>
      </c>
      <c r="M232" s="9">
        <v>45700.0</v>
      </c>
      <c r="N232" s="11"/>
      <c r="O232" s="11"/>
      <c r="R232" s="10"/>
      <c r="S232" s="1" t="s">
        <v>5</v>
      </c>
      <c r="T232" s="10"/>
    </row>
    <row r="233">
      <c r="A233" s="1" t="s">
        <v>647</v>
      </c>
      <c r="B233" s="1" t="s">
        <v>29</v>
      </c>
      <c r="C233" s="1" t="s">
        <v>226</v>
      </c>
      <c r="D233" s="1" t="s">
        <v>227</v>
      </c>
      <c r="E233" s="1">
        <v>9.008339505E9</v>
      </c>
      <c r="F233" s="1">
        <v>1.8402564488E10</v>
      </c>
      <c r="H233" s="10"/>
      <c r="I233" s="1" t="s">
        <v>317</v>
      </c>
      <c r="J233" s="1" t="s">
        <v>261</v>
      </c>
      <c r="K233" s="1" t="s">
        <v>247</v>
      </c>
      <c r="L233" s="1" t="s">
        <v>236</v>
      </c>
      <c r="M233" s="9">
        <v>45772.0</v>
      </c>
      <c r="N233" s="11"/>
      <c r="O233" s="11"/>
      <c r="Q233" s="1" t="s">
        <v>227</v>
      </c>
      <c r="R233" s="10"/>
      <c r="S233" s="1" t="s">
        <v>5</v>
      </c>
      <c r="T233" s="10"/>
    </row>
    <row r="234">
      <c r="A234" s="1" t="s">
        <v>648</v>
      </c>
      <c r="B234" s="1" t="s">
        <v>29</v>
      </c>
      <c r="C234" s="1" t="s">
        <v>270</v>
      </c>
      <c r="D234" s="1" t="s">
        <v>271</v>
      </c>
      <c r="E234" s="1">
        <v>9.819327861E9</v>
      </c>
      <c r="F234" s="1">
        <v>1.8402568518E10</v>
      </c>
      <c r="H234" s="1" t="s">
        <v>649</v>
      </c>
      <c r="I234" s="1" t="s">
        <v>31</v>
      </c>
      <c r="J234" s="1" t="s">
        <v>261</v>
      </c>
      <c r="K234" s="1" t="s">
        <v>230</v>
      </c>
      <c r="L234" s="1" t="s">
        <v>268</v>
      </c>
      <c r="M234" s="9">
        <v>45883.0</v>
      </c>
      <c r="N234" s="11"/>
      <c r="O234" s="11"/>
      <c r="Q234" s="1" t="s">
        <v>271</v>
      </c>
      <c r="R234" s="10"/>
      <c r="S234" s="1" t="s">
        <v>5</v>
      </c>
    </row>
    <row r="235">
      <c r="A235" s="1" t="s">
        <v>650</v>
      </c>
      <c r="B235" s="1" t="s">
        <v>225</v>
      </c>
      <c r="C235" s="1" t="s">
        <v>253</v>
      </c>
      <c r="D235" s="1" t="s">
        <v>254</v>
      </c>
      <c r="E235" s="1">
        <v>8.845715343E9</v>
      </c>
      <c r="F235" s="1">
        <v>1.8402568372E10</v>
      </c>
      <c r="H235" s="1" t="s">
        <v>651</v>
      </c>
      <c r="I235" s="1" t="s">
        <v>229</v>
      </c>
      <c r="J235" s="10"/>
      <c r="K235" s="1" t="s">
        <v>247</v>
      </c>
      <c r="L235" s="1" t="s">
        <v>42</v>
      </c>
      <c r="M235" s="9">
        <v>45749.0</v>
      </c>
      <c r="N235" s="11"/>
      <c r="O235" s="9">
        <v>45952.0</v>
      </c>
      <c r="Q235" s="1" t="s">
        <v>254</v>
      </c>
      <c r="R235" s="10"/>
      <c r="S235" s="1" t="s">
        <v>5</v>
      </c>
    </row>
    <row r="236">
      <c r="A236" s="1" t="s">
        <v>652</v>
      </c>
      <c r="B236" s="1" t="s">
        <v>29</v>
      </c>
      <c r="C236" s="1" t="s">
        <v>286</v>
      </c>
      <c r="D236" s="1" t="s">
        <v>287</v>
      </c>
      <c r="E236" s="1">
        <v>1.1428951511E10</v>
      </c>
      <c r="F236" s="1">
        <v>1.8402617065E10</v>
      </c>
      <c r="H236" s="10"/>
      <c r="I236" s="1" t="s">
        <v>31</v>
      </c>
      <c r="J236" s="1" t="s">
        <v>261</v>
      </c>
      <c r="K236" s="1" t="s">
        <v>33</v>
      </c>
      <c r="L236" s="1" t="s">
        <v>268</v>
      </c>
      <c r="M236" s="9">
        <v>46076.0</v>
      </c>
      <c r="N236" s="11"/>
      <c r="O236" s="11"/>
      <c r="R236" s="10"/>
      <c r="S236" s="1" t="s">
        <v>5</v>
      </c>
    </row>
    <row r="237">
      <c r="A237" s="1" t="s">
        <v>653</v>
      </c>
      <c r="B237" s="1" t="s">
        <v>29</v>
      </c>
      <c r="C237" s="1" t="s">
        <v>286</v>
      </c>
      <c r="D237" s="1" t="s">
        <v>287</v>
      </c>
      <c r="E237" s="1">
        <v>1.1428951469E10</v>
      </c>
      <c r="F237" s="1">
        <v>1.8402617065E10</v>
      </c>
      <c r="H237" s="10"/>
      <c r="I237" s="1" t="s">
        <v>31</v>
      </c>
      <c r="J237" s="1" t="s">
        <v>251</v>
      </c>
      <c r="K237" s="1" t="s">
        <v>33</v>
      </c>
      <c r="L237" s="1" t="s">
        <v>268</v>
      </c>
      <c r="M237" s="9">
        <v>46085.0</v>
      </c>
      <c r="N237" s="11"/>
      <c r="O237" s="11"/>
      <c r="R237" s="10"/>
      <c r="S237" s="1" t="s">
        <v>5</v>
      </c>
    </row>
    <row r="238">
      <c r="A238" s="1" t="s">
        <v>654</v>
      </c>
      <c r="B238" s="1" t="s">
        <v>29</v>
      </c>
      <c r="C238" s="1" t="s">
        <v>286</v>
      </c>
      <c r="D238" s="1" t="s">
        <v>287</v>
      </c>
      <c r="E238" s="1">
        <v>1.1428981529E10</v>
      </c>
      <c r="F238" s="1">
        <v>1.8402617065E10</v>
      </c>
      <c r="H238" s="1" t="s">
        <v>655</v>
      </c>
      <c r="I238" s="1" t="s">
        <v>317</v>
      </c>
      <c r="J238" s="1" t="s">
        <v>656</v>
      </c>
      <c r="K238" s="1" t="s">
        <v>247</v>
      </c>
      <c r="L238" s="1" t="s">
        <v>231</v>
      </c>
      <c r="M238" s="9">
        <v>46008.0</v>
      </c>
      <c r="N238" s="9">
        <v>46175.0</v>
      </c>
      <c r="O238" s="11"/>
      <c r="R238" s="10"/>
      <c r="S238" s="1" t="s">
        <v>5</v>
      </c>
    </row>
    <row r="239">
      <c r="A239" s="1" t="s">
        <v>657</v>
      </c>
      <c r="B239" s="1" t="s">
        <v>225</v>
      </c>
      <c r="C239" s="1" t="s">
        <v>238</v>
      </c>
      <c r="D239" s="1" t="s">
        <v>239</v>
      </c>
      <c r="E239" s="1">
        <v>8.714052721E9</v>
      </c>
      <c r="F239" s="1">
        <v>1.8402568111E10</v>
      </c>
      <c r="H239" s="1" t="s">
        <v>658</v>
      </c>
      <c r="I239" s="1" t="s">
        <v>229</v>
      </c>
      <c r="J239" s="10"/>
      <c r="K239" s="1" t="s">
        <v>39</v>
      </c>
      <c r="L239" s="1" t="s">
        <v>236</v>
      </c>
      <c r="M239" s="9">
        <v>45733.0</v>
      </c>
      <c r="N239" s="11"/>
      <c r="O239" s="9">
        <v>46010.0</v>
      </c>
      <c r="Q239" s="1" t="s">
        <v>241</v>
      </c>
      <c r="R239" s="10"/>
      <c r="S239" s="1" t="s">
        <v>5</v>
      </c>
    </row>
    <row r="240">
      <c r="A240" s="1" t="s">
        <v>659</v>
      </c>
      <c r="B240" s="1" t="s">
        <v>225</v>
      </c>
      <c r="C240" s="1" t="s">
        <v>302</v>
      </c>
      <c r="D240" s="1" t="s">
        <v>303</v>
      </c>
      <c r="E240" s="1">
        <v>9.412551887E9</v>
      </c>
      <c r="F240" s="1">
        <v>1.8402561158E10</v>
      </c>
      <c r="H240" s="1" t="s">
        <v>660</v>
      </c>
      <c r="I240" s="1" t="s">
        <v>229</v>
      </c>
      <c r="J240" s="10"/>
      <c r="K240" s="1" t="s">
        <v>247</v>
      </c>
      <c r="L240" s="1" t="s">
        <v>236</v>
      </c>
      <c r="M240" s="9">
        <v>45827.0</v>
      </c>
      <c r="N240" s="11"/>
      <c r="O240" s="9">
        <v>45985.0</v>
      </c>
      <c r="Q240" s="1" t="s">
        <v>304</v>
      </c>
      <c r="R240" s="10"/>
      <c r="S240" s="1" t="s">
        <v>5</v>
      </c>
    </row>
    <row r="241">
      <c r="A241" s="1" t="s">
        <v>661</v>
      </c>
      <c r="B241" s="1" t="s">
        <v>225</v>
      </c>
      <c r="C241" s="1" t="s">
        <v>226</v>
      </c>
      <c r="D241" s="1" t="s">
        <v>227</v>
      </c>
      <c r="E241" s="1">
        <v>9.803746336E9</v>
      </c>
      <c r="F241" s="1">
        <v>1.8402564488E10</v>
      </c>
      <c r="H241" s="1" t="s">
        <v>662</v>
      </c>
      <c r="I241" s="1" t="s">
        <v>229</v>
      </c>
      <c r="J241" s="10"/>
      <c r="K241" s="1" t="s">
        <v>230</v>
      </c>
      <c r="L241" s="1" t="s">
        <v>248</v>
      </c>
      <c r="M241" s="9">
        <v>45881.0</v>
      </c>
      <c r="N241" s="11"/>
      <c r="O241" s="9">
        <v>45982.0</v>
      </c>
      <c r="Q241" s="1" t="s">
        <v>227</v>
      </c>
      <c r="R241" s="10"/>
      <c r="S241" s="1" t="s">
        <v>5</v>
      </c>
    </row>
    <row r="242">
      <c r="A242" s="1" t="s">
        <v>663</v>
      </c>
      <c r="B242" s="1" t="s">
        <v>29</v>
      </c>
      <c r="C242" s="1" t="s">
        <v>286</v>
      </c>
      <c r="D242" s="1" t="s">
        <v>287</v>
      </c>
      <c r="E242" s="1">
        <v>1.1428989838E10</v>
      </c>
      <c r="F242" s="1">
        <v>1.8402617065E10</v>
      </c>
      <c r="H242" s="1" t="s">
        <v>664</v>
      </c>
      <c r="I242" s="1" t="s">
        <v>294</v>
      </c>
      <c r="J242" s="1" t="s">
        <v>267</v>
      </c>
      <c r="K242" s="1" t="s">
        <v>247</v>
      </c>
      <c r="L242" s="1" t="s">
        <v>231</v>
      </c>
      <c r="M242" s="9">
        <v>45707.0</v>
      </c>
      <c r="N242" s="9">
        <v>46025.0</v>
      </c>
      <c r="O242" s="11"/>
      <c r="R242" s="10"/>
      <c r="S242" s="1" t="s">
        <v>5</v>
      </c>
    </row>
    <row r="243">
      <c r="A243" s="1" t="s">
        <v>665</v>
      </c>
      <c r="B243" s="1" t="s">
        <v>225</v>
      </c>
      <c r="C243" s="1" t="s">
        <v>276</v>
      </c>
      <c r="D243" s="1" t="s">
        <v>277</v>
      </c>
      <c r="E243" s="1">
        <v>8.880532014E9</v>
      </c>
      <c r="F243" s="1">
        <v>1.8402563983E10</v>
      </c>
      <c r="H243" s="10"/>
      <c r="I243" s="1" t="s">
        <v>229</v>
      </c>
      <c r="J243" s="10"/>
      <c r="K243" s="1" t="s">
        <v>39</v>
      </c>
      <c r="L243" s="1" t="s">
        <v>256</v>
      </c>
      <c r="M243" s="9">
        <v>45754.0</v>
      </c>
      <c r="N243" s="11"/>
      <c r="O243" s="9">
        <v>45896.0</v>
      </c>
      <c r="Q243" s="1" t="s">
        <v>278</v>
      </c>
      <c r="R243" s="10"/>
      <c r="S243" s="1" t="s">
        <v>5</v>
      </c>
    </row>
    <row r="244">
      <c r="A244" s="1" t="s">
        <v>666</v>
      </c>
      <c r="B244" s="1" t="s">
        <v>225</v>
      </c>
      <c r="C244" s="1" t="s">
        <v>258</v>
      </c>
      <c r="D244" s="1" t="s">
        <v>259</v>
      </c>
      <c r="E244" s="1">
        <v>9.249892222E9</v>
      </c>
      <c r="F244" s="1">
        <v>1.8402564676E10</v>
      </c>
      <c r="H244" s="1" t="s">
        <v>667</v>
      </c>
      <c r="I244" s="1" t="s">
        <v>229</v>
      </c>
      <c r="K244" s="1" t="s">
        <v>230</v>
      </c>
      <c r="L244" s="1" t="s">
        <v>236</v>
      </c>
      <c r="M244" s="9">
        <v>45805.0</v>
      </c>
      <c r="N244" s="11"/>
      <c r="O244" s="9">
        <v>45896.0</v>
      </c>
      <c r="Q244" s="1" t="s">
        <v>259</v>
      </c>
      <c r="R244" s="10"/>
      <c r="S244" s="1" t="s">
        <v>5</v>
      </c>
    </row>
    <row r="245">
      <c r="A245" s="1" t="s">
        <v>668</v>
      </c>
      <c r="B245" s="1" t="s">
        <v>225</v>
      </c>
      <c r="C245" s="1" t="s">
        <v>253</v>
      </c>
      <c r="D245" s="1" t="s">
        <v>254</v>
      </c>
      <c r="E245" s="1">
        <v>8.474092308E9</v>
      </c>
      <c r="F245" s="1">
        <v>1.8402568372E10</v>
      </c>
      <c r="H245" s="1" t="s">
        <v>669</v>
      </c>
      <c r="I245" s="1" t="s">
        <v>229</v>
      </c>
      <c r="K245" s="1" t="s">
        <v>230</v>
      </c>
      <c r="L245" s="1" t="s">
        <v>268</v>
      </c>
      <c r="M245" s="9">
        <v>45701.0</v>
      </c>
      <c r="N245" s="11"/>
      <c r="O245" s="9">
        <v>45722.0</v>
      </c>
      <c r="Q245" s="1" t="s">
        <v>254</v>
      </c>
      <c r="R245" s="10"/>
      <c r="S245" s="1" t="s">
        <v>5</v>
      </c>
    </row>
    <row r="246">
      <c r="A246" s="1" t="s">
        <v>670</v>
      </c>
      <c r="B246" s="1" t="s">
        <v>225</v>
      </c>
      <c r="C246" s="1" t="s">
        <v>253</v>
      </c>
      <c r="D246" s="1" t="s">
        <v>254</v>
      </c>
      <c r="E246" s="1">
        <v>1.8079451872E10</v>
      </c>
      <c r="F246" s="1">
        <v>1.8402568372E10</v>
      </c>
      <c r="H246" s="1" t="s">
        <v>671</v>
      </c>
      <c r="I246" s="1" t="s">
        <v>229</v>
      </c>
      <c r="K246" s="1" t="s">
        <v>33</v>
      </c>
      <c r="L246" s="1" t="s">
        <v>329</v>
      </c>
      <c r="M246" s="9">
        <v>45698.0</v>
      </c>
      <c r="N246" s="11"/>
      <c r="O246" s="9">
        <v>45982.0</v>
      </c>
      <c r="Q246" s="1" t="s">
        <v>254</v>
      </c>
      <c r="R246" s="10"/>
      <c r="S246" s="1" t="s">
        <v>5</v>
      </c>
    </row>
    <row r="247" ht="15.75" customHeight="1">
      <c r="A247" s="1" t="s">
        <v>672</v>
      </c>
      <c r="B247" s="1" t="s">
        <v>225</v>
      </c>
      <c r="C247" s="1" t="s">
        <v>253</v>
      </c>
      <c r="D247" s="1" t="s">
        <v>254</v>
      </c>
      <c r="E247" s="1">
        <v>9.850224015E9</v>
      </c>
      <c r="F247" s="1">
        <v>1.8402568372E10</v>
      </c>
      <c r="H247" s="1" t="s">
        <v>673</v>
      </c>
      <c r="I247" s="1" t="s">
        <v>229</v>
      </c>
      <c r="J247" s="10"/>
      <c r="K247" s="1" t="s">
        <v>230</v>
      </c>
      <c r="L247" s="1" t="s">
        <v>231</v>
      </c>
      <c r="M247" s="9">
        <v>45698.0</v>
      </c>
      <c r="N247" s="11"/>
      <c r="O247" s="9">
        <v>45952.0</v>
      </c>
      <c r="Q247" s="1" t="s">
        <v>254</v>
      </c>
      <c r="R247" s="10"/>
      <c r="S247" s="1" t="s">
        <v>5</v>
      </c>
    </row>
    <row r="248" ht="18.75" customHeight="1">
      <c r="A248" s="1" t="s">
        <v>674</v>
      </c>
      <c r="B248" s="1" t="s">
        <v>225</v>
      </c>
      <c r="C248" s="1" t="s">
        <v>253</v>
      </c>
      <c r="D248" s="1" t="s">
        <v>254</v>
      </c>
      <c r="E248" s="1">
        <v>1.8079462073E10</v>
      </c>
      <c r="F248" s="1">
        <v>1.8402568372E10</v>
      </c>
      <c r="H248" s="1" t="s">
        <v>675</v>
      </c>
      <c r="I248" s="1" t="s">
        <v>229</v>
      </c>
      <c r="J248" s="10"/>
      <c r="K248" s="1" t="s">
        <v>33</v>
      </c>
      <c r="L248" s="1" t="s">
        <v>268</v>
      </c>
      <c r="M248" s="9">
        <v>45698.0</v>
      </c>
      <c r="N248" s="11"/>
      <c r="O248" s="9">
        <v>45985.0</v>
      </c>
      <c r="Q248" s="1" t="s">
        <v>254</v>
      </c>
      <c r="R248" s="10"/>
      <c r="S248" s="1" t="s">
        <v>5</v>
      </c>
    </row>
    <row r="249">
      <c r="A249" s="1" t="s">
        <v>676</v>
      </c>
      <c r="B249" s="1" t="s">
        <v>225</v>
      </c>
      <c r="C249" s="1" t="s">
        <v>238</v>
      </c>
      <c r="D249" s="1" t="s">
        <v>239</v>
      </c>
      <c r="E249" s="1">
        <v>8.927533345E9</v>
      </c>
      <c r="F249" s="1">
        <v>1.8402568111E10</v>
      </c>
      <c r="H249" s="10"/>
      <c r="I249" s="1" t="s">
        <v>229</v>
      </c>
      <c r="K249" s="1" t="s">
        <v>247</v>
      </c>
      <c r="L249" s="1" t="s">
        <v>240</v>
      </c>
      <c r="M249" s="9">
        <v>45761.0</v>
      </c>
      <c r="N249" s="11"/>
      <c r="O249" s="9">
        <v>46010.0</v>
      </c>
      <c r="Q249" s="1" t="s">
        <v>241</v>
      </c>
      <c r="R249" s="10"/>
      <c r="S249" s="1" t="s">
        <v>5</v>
      </c>
    </row>
    <row r="250">
      <c r="A250" s="1" t="s">
        <v>677</v>
      </c>
      <c r="B250" s="1" t="s">
        <v>225</v>
      </c>
      <c r="C250" s="1" t="s">
        <v>258</v>
      </c>
      <c r="D250" s="1" t="s">
        <v>259</v>
      </c>
      <c r="E250" s="1">
        <v>9.25171838E9</v>
      </c>
      <c r="F250" s="1">
        <v>1.8402564676E10</v>
      </c>
      <c r="H250" s="1" t="s">
        <v>678</v>
      </c>
      <c r="I250" s="1" t="s">
        <v>229</v>
      </c>
      <c r="J250" s="10"/>
      <c r="K250" s="1" t="s">
        <v>230</v>
      </c>
      <c r="L250" s="1" t="s">
        <v>236</v>
      </c>
      <c r="M250" s="9">
        <v>45805.0</v>
      </c>
      <c r="N250" s="11"/>
      <c r="O250" s="9">
        <v>45896.0</v>
      </c>
      <c r="Q250" s="1" t="s">
        <v>259</v>
      </c>
      <c r="R250" s="10"/>
      <c r="S250" s="1" t="s">
        <v>5</v>
      </c>
    </row>
    <row r="251">
      <c r="A251" s="1" t="s">
        <v>679</v>
      </c>
      <c r="B251" s="1" t="s">
        <v>29</v>
      </c>
      <c r="C251" s="1" t="s">
        <v>286</v>
      </c>
      <c r="D251" s="1" t="s">
        <v>287</v>
      </c>
      <c r="E251" s="1">
        <v>1.1429002589E10</v>
      </c>
      <c r="F251" s="1">
        <v>1.8402617065E10</v>
      </c>
      <c r="H251" s="1" t="s">
        <v>680</v>
      </c>
      <c r="I251" s="1" t="s">
        <v>31</v>
      </c>
      <c r="J251" s="1" t="s">
        <v>261</v>
      </c>
      <c r="K251" s="1" t="s">
        <v>247</v>
      </c>
      <c r="L251" s="1" t="s">
        <v>236</v>
      </c>
      <c r="M251" s="9">
        <v>45854.0</v>
      </c>
      <c r="N251" s="11"/>
      <c r="O251" s="11"/>
      <c r="R251" s="10"/>
      <c r="S251" s="1" t="s">
        <v>5</v>
      </c>
    </row>
    <row r="252">
      <c r="A252" s="1" t="s">
        <v>681</v>
      </c>
      <c r="B252" s="1" t="s">
        <v>225</v>
      </c>
      <c r="C252" s="1" t="s">
        <v>292</v>
      </c>
      <c r="D252" s="1" t="s">
        <v>293</v>
      </c>
      <c r="E252" s="1">
        <v>1.1309420759E10</v>
      </c>
      <c r="F252" s="1">
        <v>1.8402565219E10</v>
      </c>
      <c r="H252" s="10"/>
      <c r="I252" s="1" t="s">
        <v>229</v>
      </c>
      <c r="J252" s="10"/>
      <c r="K252" s="1" t="s">
        <v>247</v>
      </c>
      <c r="L252" s="1" t="s">
        <v>240</v>
      </c>
      <c r="M252" s="9">
        <v>46071.0</v>
      </c>
      <c r="N252" s="11"/>
      <c r="O252" s="9">
        <v>46079.0</v>
      </c>
      <c r="Q252" s="1" t="s">
        <v>293</v>
      </c>
      <c r="R252" s="10"/>
      <c r="S252" s="1" t="s">
        <v>5</v>
      </c>
    </row>
    <row r="253">
      <c r="A253" s="1" t="s">
        <v>682</v>
      </c>
      <c r="B253" s="1" t="s">
        <v>225</v>
      </c>
      <c r="C253" s="1" t="s">
        <v>253</v>
      </c>
      <c r="D253" s="1" t="s">
        <v>254</v>
      </c>
      <c r="E253" s="1">
        <v>9.583718138E9</v>
      </c>
      <c r="F253" s="1">
        <v>1.8402568372E10</v>
      </c>
      <c r="H253" s="1" t="s">
        <v>683</v>
      </c>
      <c r="I253" s="1" t="s">
        <v>229</v>
      </c>
      <c r="K253" s="1" t="s">
        <v>247</v>
      </c>
      <c r="L253" s="1" t="s">
        <v>236</v>
      </c>
      <c r="M253" s="9">
        <v>45852.0</v>
      </c>
      <c r="N253" s="11"/>
      <c r="O253" s="9">
        <v>45982.0</v>
      </c>
      <c r="Q253" s="1" t="s">
        <v>254</v>
      </c>
      <c r="R253" s="10"/>
      <c r="S253" s="1" t="s">
        <v>5</v>
      </c>
    </row>
    <row r="254">
      <c r="A254" s="1" t="s">
        <v>684</v>
      </c>
      <c r="B254" s="1" t="s">
        <v>225</v>
      </c>
      <c r="C254" s="1" t="s">
        <v>253</v>
      </c>
      <c r="D254" s="1" t="s">
        <v>254</v>
      </c>
      <c r="E254" s="1">
        <v>8.671125289E9</v>
      </c>
      <c r="F254" s="1">
        <v>1.8402568372E10</v>
      </c>
      <c r="H254" s="1" t="s">
        <v>685</v>
      </c>
      <c r="I254" s="1" t="s">
        <v>229</v>
      </c>
      <c r="J254" s="10"/>
      <c r="K254" s="1" t="s">
        <v>247</v>
      </c>
      <c r="L254" s="1" t="s">
        <v>256</v>
      </c>
      <c r="M254" s="9">
        <v>45727.0</v>
      </c>
      <c r="N254" s="11"/>
      <c r="O254" s="9">
        <v>45896.0</v>
      </c>
      <c r="Q254" s="1" t="s">
        <v>254</v>
      </c>
      <c r="R254" s="10"/>
      <c r="S254" s="1" t="s">
        <v>5</v>
      </c>
    </row>
    <row r="255">
      <c r="A255" s="1" t="s">
        <v>686</v>
      </c>
      <c r="B255" s="1" t="s">
        <v>225</v>
      </c>
      <c r="C255" s="1" t="s">
        <v>253</v>
      </c>
      <c r="D255" s="1" t="s">
        <v>254</v>
      </c>
      <c r="E255" s="1">
        <v>1.807933558E10</v>
      </c>
      <c r="F255" s="1">
        <v>1.8402568372E10</v>
      </c>
      <c r="H255" s="10"/>
      <c r="I255" s="1" t="s">
        <v>229</v>
      </c>
      <c r="J255" s="10"/>
      <c r="K255" s="1" t="s">
        <v>230</v>
      </c>
      <c r="L255" s="1" t="s">
        <v>236</v>
      </c>
      <c r="M255" s="9">
        <v>45698.0</v>
      </c>
      <c r="N255" s="11"/>
      <c r="O255" s="9">
        <v>45938.0</v>
      </c>
      <c r="Q255" s="1" t="s">
        <v>254</v>
      </c>
      <c r="R255" s="10"/>
      <c r="S255" s="1" t="s">
        <v>5</v>
      </c>
    </row>
    <row r="256">
      <c r="A256" s="10"/>
      <c r="B256" s="10"/>
      <c r="C256" s="10"/>
      <c r="D256" s="10"/>
      <c r="E256" s="10"/>
      <c r="F256" s="10"/>
      <c r="H256" s="10"/>
      <c r="I256" s="10"/>
      <c r="K256" s="10"/>
      <c r="L256" s="10"/>
      <c r="M256" s="11"/>
      <c r="N256" s="11"/>
      <c r="O256" s="11"/>
      <c r="R256" s="10"/>
    </row>
    <row r="257">
      <c r="A257" s="10"/>
      <c r="B257" s="10"/>
      <c r="C257" s="10"/>
      <c r="D257" s="10"/>
      <c r="E257" s="10"/>
      <c r="F257" s="10"/>
      <c r="H257" s="10"/>
      <c r="I257" s="10"/>
      <c r="J257" s="10"/>
      <c r="K257" s="10"/>
      <c r="L257" s="10"/>
      <c r="M257" s="11"/>
      <c r="N257" s="11"/>
      <c r="O257" s="11"/>
      <c r="R257" s="10"/>
    </row>
    <row r="258">
      <c r="A258" s="10"/>
      <c r="B258" s="10"/>
      <c r="C258" s="10"/>
      <c r="D258" s="10"/>
      <c r="E258" s="10"/>
      <c r="F258" s="10"/>
      <c r="I258" s="10"/>
      <c r="K258" s="10"/>
      <c r="L258" s="10"/>
      <c r="M258" s="11"/>
      <c r="N258" s="11"/>
      <c r="O258" s="11"/>
      <c r="R258" s="10"/>
    </row>
    <row r="259">
      <c r="A259" s="10"/>
      <c r="B259" s="10"/>
      <c r="C259" s="10"/>
      <c r="D259" s="10"/>
      <c r="E259" s="10"/>
      <c r="F259" s="10"/>
      <c r="H259" s="10"/>
      <c r="I259" s="10"/>
      <c r="J259" s="10"/>
      <c r="K259" s="10"/>
      <c r="L259" s="10"/>
      <c r="M259" s="11"/>
      <c r="N259" s="11"/>
      <c r="O259" s="11"/>
      <c r="R259" s="10"/>
    </row>
    <row r="260">
      <c r="A260" s="10"/>
      <c r="B260" s="10"/>
      <c r="C260" s="10"/>
      <c r="D260" s="10"/>
      <c r="E260" s="10"/>
      <c r="F260" s="10"/>
      <c r="H260" s="10"/>
      <c r="I260" s="10"/>
      <c r="J260" s="10"/>
      <c r="K260" s="10"/>
      <c r="L260" s="10"/>
      <c r="M260" s="11"/>
      <c r="N260" s="11"/>
      <c r="O260" s="11"/>
      <c r="R260" s="10"/>
    </row>
    <row r="261">
      <c r="A261" s="10"/>
      <c r="B261" s="10"/>
      <c r="C261" s="10"/>
      <c r="D261" s="10"/>
      <c r="E261" s="10"/>
      <c r="F261" s="10"/>
      <c r="H261" s="10"/>
      <c r="I261" s="10"/>
      <c r="J261" s="10"/>
      <c r="K261" s="10"/>
      <c r="L261" s="10"/>
      <c r="M261" s="11"/>
      <c r="N261" s="11"/>
      <c r="O261" s="11"/>
      <c r="R261" s="10"/>
    </row>
    <row r="262">
      <c r="A262" s="10"/>
      <c r="B262" s="10"/>
      <c r="C262" s="10"/>
      <c r="D262" s="10"/>
      <c r="E262" s="10"/>
      <c r="F262" s="10"/>
      <c r="H262" s="10"/>
      <c r="I262" s="10"/>
      <c r="K262" s="10"/>
      <c r="L262" s="10"/>
      <c r="M262" s="11"/>
      <c r="N262" s="11"/>
      <c r="O262" s="11"/>
      <c r="R262" s="10"/>
    </row>
    <row r="263">
      <c r="A263" s="10"/>
      <c r="B263" s="10"/>
      <c r="C263" s="10"/>
      <c r="D263" s="10"/>
      <c r="E263" s="10"/>
      <c r="F263" s="10"/>
      <c r="H263" s="10"/>
      <c r="I263" s="10"/>
      <c r="J263" s="10"/>
      <c r="K263" s="10"/>
      <c r="L263" s="10"/>
      <c r="M263" s="11"/>
      <c r="N263" s="11"/>
      <c r="O263" s="11"/>
      <c r="R263" s="10"/>
    </row>
    <row r="264">
      <c r="A264" s="10"/>
      <c r="B264" s="10"/>
      <c r="C264" s="10"/>
      <c r="D264" s="10"/>
      <c r="E264" s="10"/>
      <c r="F264" s="10"/>
      <c r="H264" s="10"/>
      <c r="I264" s="10"/>
      <c r="J264" s="10"/>
      <c r="K264" s="10"/>
      <c r="L264" s="10"/>
      <c r="M264" s="11"/>
      <c r="N264" s="11"/>
      <c r="O264" s="11"/>
      <c r="R264" s="10"/>
    </row>
    <row r="265">
      <c r="A265" s="10"/>
      <c r="B265" s="10"/>
      <c r="C265" s="10"/>
      <c r="D265" s="10"/>
      <c r="E265" s="10"/>
      <c r="F265" s="10"/>
      <c r="H265" s="10"/>
      <c r="I265" s="10"/>
      <c r="J265" s="10"/>
      <c r="K265" s="10"/>
      <c r="L265" s="10"/>
      <c r="M265" s="11"/>
      <c r="N265" s="11"/>
      <c r="O265" s="11"/>
      <c r="R265" s="10"/>
    </row>
    <row r="266">
      <c r="A266" s="10"/>
      <c r="B266" s="10"/>
      <c r="C266" s="10"/>
      <c r="D266" s="10"/>
      <c r="E266" s="10"/>
      <c r="F266" s="10"/>
      <c r="H266" s="10"/>
      <c r="I266" s="10"/>
      <c r="J266" s="10"/>
      <c r="K266" s="10"/>
      <c r="L266" s="10"/>
      <c r="M266" s="11"/>
      <c r="N266" s="11"/>
      <c r="O266" s="11"/>
      <c r="R266" s="10"/>
    </row>
    <row r="267">
      <c r="A267" s="10"/>
      <c r="B267" s="10"/>
      <c r="C267" s="10"/>
      <c r="D267" s="10"/>
      <c r="E267" s="10"/>
      <c r="F267" s="10"/>
      <c r="H267" s="10"/>
      <c r="I267" s="10"/>
      <c r="K267" s="10"/>
      <c r="L267" s="10"/>
      <c r="M267" s="11"/>
      <c r="N267" s="11"/>
      <c r="O267" s="11"/>
      <c r="R267" s="10"/>
    </row>
    <row r="268">
      <c r="A268" s="10"/>
      <c r="B268" s="10"/>
      <c r="C268" s="10"/>
      <c r="D268" s="10"/>
      <c r="E268" s="10"/>
      <c r="F268" s="10"/>
      <c r="H268" s="10"/>
      <c r="I268" s="10"/>
      <c r="K268" s="10"/>
      <c r="L268" s="10"/>
      <c r="M268" s="11"/>
      <c r="N268" s="11"/>
      <c r="O268" s="11"/>
      <c r="R268" s="10"/>
    </row>
    <row r="269">
      <c r="A269" s="10"/>
      <c r="B269" s="10"/>
      <c r="C269" s="10"/>
      <c r="D269" s="10"/>
      <c r="E269" s="10"/>
      <c r="F269" s="10"/>
      <c r="H269" s="10"/>
      <c r="I269" s="10"/>
      <c r="J269" s="10"/>
      <c r="K269" s="10"/>
      <c r="L269" s="10"/>
      <c r="M269" s="11"/>
      <c r="N269" s="11"/>
      <c r="O269" s="11"/>
      <c r="R269" s="10"/>
    </row>
    <row r="270">
      <c r="A270" s="10"/>
      <c r="B270" s="10"/>
      <c r="C270" s="10"/>
      <c r="D270" s="10"/>
      <c r="E270" s="10"/>
      <c r="F270" s="10"/>
      <c r="H270" s="10"/>
      <c r="I270" s="10"/>
      <c r="K270" s="10"/>
      <c r="L270" s="10"/>
      <c r="M270" s="11"/>
      <c r="N270" s="11"/>
      <c r="O270" s="11"/>
      <c r="R270" s="10"/>
    </row>
    <row r="271">
      <c r="A271" s="10"/>
      <c r="B271" s="10"/>
      <c r="C271" s="10"/>
      <c r="D271" s="10"/>
      <c r="E271" s="10"/>
      <c r="F271" s="10"/>
      <c r="H271" s="10"/>
      <c r="I271" s="10"/>
      <c r="J271" s="10"/>
      <c r="K271" s="10"/>
      <c r="L271" s="10"/>
      <c r="M271" s="11"/>
      <c r="N271" s="11"/>
      <c r="O271" s="11"/>
      <c r="R271" s="10"/>
    </row>
    <row r="272">
      <c r="A272" s="10"/>
      <c r="B272" s="10"/>
      <c r="C272" s="10"/>
      <c r="D272" s="10"/>
      <c r="E272" s="10"/>
      <c r="F272" s="10"/>
      <c r="H272" s="10"/>
      <c r="I272" s="10"/>
      <c r="K272" s="10"/>
      <c r="L272" s="10"/>
      <c r="M272" s="11"/>
      <c r="N272" s="11"/>
      <c r="O272" s="11"/>
      <c r="R272" s="10"/>
    </row>
    <row r="273">
      <c r="A273" s="10"/>
      <c r="B273" s="10"/>
      <c r="C273" s="10"/>
      <c r="D273" s="10"/>
      <c r="E273" s="10"/>
      <c r="F273" s="10"/>
      <c r="H273" s="10"/>
      <c r="I273" s="10"/>
      <c r="K273" s="10"/>
      <c r="L273" s="10"/>
      <c r="M273" s="11"/>
      <c r="N273" s="11"/>
      <c r="O273" s="11"/>
      <c r="R273" s="10"/>
    </row>
    <row r="274">
      <c r="A274" s="10"/>
      <c r="B274" s="10"/>
      <c r="C274" s="10"/>
      <c r="D274" s="10"/>
      <c r="E274" s="10"/>
      <c r="F274" s="10"/>
      <c r="H274" s="10"/>
      <c r="I274" s="10"/>
      <c r="J274" s="10"/>
      <c r="K274" s="10"/>
      <c r="L274" s="10"/>
      <c r="M274" s="11"/>
      <c r="N274" s="11"/>
      <c r="O274" s="11"/>
      <c r="R274" s="10"/>
    </row>
    <row r="275">
      <c r="A275" s="10"/>
      <c r="B275" s="10"/>
      <c r="C275" s="10"/>
      <c r="D275" s="10"/>
      <c r="E275" s="10"/>
      <c r="F275" s="10"/>
      <c r="H275" s="10"/>
      <c r="I275" s="10"/>
      <c r="J275" s="10"/>
      <c r="K275" s="10"/>
      <c r="L275" s="10"/>
      <c r="M275" s="11"/>
      <c r="N275" s="11"/>
      <c r="O275" s="11"/>
      <c r="R275" s="10"/>
    </row>
    <row r="276">
      <c r="A276" s="10"/>
      <c r="B276" s="10"/>
      <c r="C276" s="10"/>
      <c r="D276" s="10"/>
      <c r="E276" s="10"/>
      <c r="F276" s="10"/>
      <c r="H276" s="10"/>
      <c r="I276" s="10"/>
      <c r="J276" s="10"/>
      <c r="K276" s="10"/>
      <c r="L276" s="10"/>
      <c r="M276" s="11"/>
      <c r="N276" s="11"/>
      <c r="O276" s="11"/>
      <c r="R276" s="10"/>
    </row>
    <row r="277">
      <c r="A277" s="10"/>
      <c r="B277" s="10"/>
      <c r="C277" s="10"/>
      <c r="D277" s="10"/>
      <c r="E277" s="10"/>
      <c r="F277" s="10"/>
      <c r="H277" s="10"/>
      <c r="I277" s="10"/>
      <c r="K277" s="10"/>
      <c r="L277" s="10"/>
      <c r="M277" s="11"/>
      <c r="N277" s="11"/>
      <c r="O277" s="11"/>
      <c r="R277" s="10"/>
    </row>
    <row r="278">
      <c r="A278" s="10"/>
      <c r="B278" s="10"/>
      <c r="C278" s="10"/>
      <c r="D278" s="10"/>
      <c r="E278" s="10"/>
      <c r="F278" s="10"/>
      <c r="H278" s="10"/>
      <c r="I278" s="10"/>
      <c r="K278" s="10"/>
      <c r="L278" s="10"/>
      <c r="M278" s="11"/>
      <c r="N278" s="11"/>
      <c r="O278" s="11"/>
      <c r="R278" s="10"/>
    </row>
    <row r="279">
      <c r="A279" s="10"/>
      <c r="B279" s="10"/>
      <c r="C279" s="10"/>
      <c r="D279" s="10"/>
      <c r="E279" s="10"/>
      <c r="F279" s="10"/>
      <c r="H279" s="10"/>
      <c r="I279" s="10"/>
      <c r="J279" s="10"/>
      <c r="K279" s="10"/>
      <c r="L279" s="10"/>
      <c r="M279" s="11"/>
      <c r="N279" s="11"/>
      <c r="O279" s="11"/>
      <c r="R279" s="10"/>
    </row>
    <row r="280">
      <c r="A280" s="10"/>
      <c r="B280" s="10"/>
      <c r="C280" s="10"/>
      <c r="D280" s="10"/>
      <c r="E280" s="10"/>
      <c r="F280" s="10"/>
      <c r="H280" s="10"/>
      <c r="I280" s="10"/>
      <c r="K280" s="10"/>
      <c r="L280" s="10"/>
      <c r="M280" s="11"/>
      <c r="N280" s="11"/>
      <c r="O280" s="11"/>
      <c r="R280" s="10"/>
    </row>
    <row r="281">
      <c r="A281" s="10"/>
      <c r="B281" s="10"/>
      <c r="C281" s="10"/>
      <c r="D281" s="10"/>
      <c r="E281" s="10"/>
      <c r="F281" s="10"/>
      <c r="H281" s="15"/>
      <c r="I281" s="10"/>
      <c r="J281" s="10"/>
      <c r="K281" s="10"/>
      <c r="L281" s="10"/>
      <c r="M281" s="11"/>
      <c r="N281" s="11"/>
      <c r="O281" s="11"/>
      <c r="R281" s="10"/>
    </row>
    <row r="282">
      <c r="A282" s="10"/>
      <c r="B282" s="10"/>
      <c r="C282" s="10"/>
      <c r="D282" s="10"/>
      <c r="E282" s="10"/>
      <c r="F282" s="10"/>
      <c r="H282" s="15"/>
      <c r="I282" s="10"/>
      <c r="J282" s="10"/>
      <c r="K282" s="10"/>
      <c r="L282" s="10"/>
      <c r="M282" s="11"/>
      <c r="N282" s="11"/>
      <c r="O282" s="11"/>
      <c r="R282" s="10"/>
    </row>
    <row r="283">
      <c r="A283" s="10"/>
      <c r="B283" s="10"/>
      <c r="C283" s="10"/>
      <c r="D283" s="10"/>
      <c r="E283" s="10"/>
      <c r="F283" s="10"/>
      <c r="H283" s="10"/>
      <c r="I283" s="10"/>
      <c r="J283" s="10"/>
      <c r="K283" s="10"/>
      <c r="L283" s="10"/>
      <c r="M283" s="11"/>
      <c r="N283" s="11"/>
      <c r="O283" s="11"/>
      <c r="R283" s="10"/>
    </row>
    <row r="284">
      <c r="A284" s="10"/>
      <c r="B284" s="10"/>
      <c r="C284" s="10"/>
      <c r="D284" s="10"/>
      <c r="E284" s="10"/>
      <c r="F284" s="10"/>
      <c r="H284" s="10"/>
      <c r="I284" s="10"/>
      <c r="J284" s="10"/>
      <c r="K284" s="10"/>
      <c r="L284" s="10"/>
      <c r="M284" s="11"/>
      <c r="N284" s="11"/>
      <c r="O284" s="11"/>
      <c r="R284" s="10"/>
    </row>
    <row r="285">
      <c r="A285" s="10"/>
      <c r="B285" s="10"/>
      <c r="C285" s="10"/>
      <c r="D285" s="10"/>
      <c r="E285" s="10"/>
      <c r="F285" s="10"/>
      <c r="H285" s="10"/>
      <c r="I285" s="10"/>
      <c r="J285" s="10"/>
      <c r="K285" s="10"/>
      <c r="L285" s="10"/>
      <c r="M285" s="11"/>
      <c r="N285" s="11"/>
      <c r="O285" s="11"/>
      <c r="R285" s="10"/>
    </row>
    <row r="286">
      <c r="A286" s="10"/>
      <c r="B286" s="10"/>
      <c r="C286" s="10"/>
      <c r="D286" s="10"/>
      <c r="E286" s="10"/>
      <c r="F286" s="10"/>
      <c r="I286" s="10"/>
      <c r="K286" s="10"/>
      <c r="L286" s="10"/>
      <c r="M286" s="11"/>
      <c r="N286" s="11"/>
      <c r="O286" s="11"/>
      <c r="R286" s="10"/>
    </row>
    <row r="287">
      <c r="A287" s="10"/>
      <c r="B287" s="10"/>
      <c r="C287" s="10"/>
      <c r="D287" s="10"/>
      <c r="E287" s="10"/>
      <c r="F287" s="10"/>
      <c r="H287" s="10"/>
      <c r="I287" s="10"/>
      <c r="J287" s="10"/>
      <c r="K287" s="10"/>
      <c r="L287" s="10"/>
      <c r="M287" s="11"/>
      <c r="N287" s="11"/>
      <c r="O287" s="11"/>
      <c r="R287" s="10"/>
    </row>
    <row r="288">
      <c r="A288" s="10"/>
      <c r="B288" s="10"/>
      <c r="C288" s="10"/>
      <c r="D288" s="10"/>
      <c r="E288" s="10"/>
      <c r="F288" s="10"/>
      <c r="H288" s="10"/>
      <c r="I288" s="10"/>
      <c r="K288" s="10"/>
      <c r="L288" s="10"/>
      <c r="M288" s="11"/>
      <c r="N288" s="11"/>
      <c r="O288" s="11"/>
      <c r="R288" s="10"/>
    </row>
    <row r="289">
      <c r="A289" s="10"/>
      <c r="B289" s="10"/>
      <c r="C289" s="10"/>
      <c r="D289" s="10"/>
      <c r="E289" s="10"/>
      <c r="F289" s="10"/>
      <c r="H289" s="10"/>
      <c r="I289" s="10"/>
      <c r="J289" s="10"/>
      <c r="K289" s="10"/>
      <c r="L289" s="10"/>
      <c r="M289" s="11"/>
      <c r="N289" s="11"/>
      <c r="O289" s="11"/>
      <c r="R289" s="10"/>
    </row>
    <row r="290">
      <c r="A290" s="10"/>
      <c r="B290" s="10"/>
      <c r="C290" s="10"/>
      <c r="D290" s="10"/>
      <c r="E290" s="10"/>
      <c r="F290" s="10"/>
      <c r="H290" s="10"/>
      <c r="I290" s="10"/>
      <c r="J290" s="10"/>
      <c r="K290" s="10"/>
      <c r="L290" s="10"/>
      <c r="M290" s="11"/>
      <c r="N290" s="11"/>
      <c r="O290" s="11"/>
      <c r="R290" s="10"/>
    </row>
    <row r="291">
      <c r="A291" s="10"/>
      <c r="B291" s="10"/>
      <c r="C291" s="10"/>
      <c r="D291" s="10"/>
      <c r="E291" s="10"/>
      <c r="F291" s="10"/>
      <c r="I291" s="10"/>
      <c r="K291" s="10"/>
      <c r="L291" s="10"/>
      <c r="M291" s="11"/>
      <c r="N291" s="11"/>
      <c r="O291" s="11"/>
      <c r="R291" s="10"/>
    </row>
    <row r="292">
      <c r="A292" s="10"/>
      <c r="B292" s="10"/>
      <c r="C292" s="10"/>
      <c r="D292" s="10"/>
      <c r="E292" s="10"/>
      <c r="F292" s="10"/>
      <c r="H292" s="10"/>
      <c r="I292" s="10"/>
      <c r="J292" s="10"/>
      <c r="K292" s="10"/>
      <c r="L292" s="10"/>
      <c r="M292" s="11"/>
      <c r="N292" s="11"/>
      <c r="O292" s="11"/>
      <c r="R292" s="10"/>
    </row>
    <row r="293">
      <c r="A293" s="10"/>
      <c r="B293" s="10"/>
      <c r="C293" s="10"/>
      <c r="D293" s="10"/>
      <c r="E293" s="10"/>
      <c r="F293" s="10"/>
      <c r="H293" s="10"/>
      <c r="I293" s="10"/>
      <c r="J293" s="10"/>
      <c r="K293" s="10"/>
      <c r="L293" s="10"/>
      <c r="M293" s="11"/>
      <c r="N293" s="11"/>
      <c r="O293" s="11"/>
      <c r="R293" s="10"/>
    </row>
    <row r="294">
      <c r="A294" s="10"/>
      <c r="B294" s="10"/>
      <c r="C294" s="10"/>
      <c r="D294" s="10"/>
      <c r="E294" s="10"/>
      <c r="F294" s="10"/>
      <c r="H294" s="10"/>
      <c r="I294" s="10"/>
      <c r="K294" s="10"/>
      <c r="L294" s="10"/>
      <c r="M294" s="11"/>
      <c r="N294" s="11"/>
      <c r="O294" s="11"/>
      <c r="R294" s="10"/>
    </row>
    <row r="295">
      <c r="A295" s="10"/>
      <c r="B295" s="10"/>
      <c r="C295" s="10"/>
      <c r="D295" s="10"/>
      <c r="E295" s="10"/>
      <c r="F295" s="10"/>
      <c r="H295" s="10"/>
      <c r="I295" s="10"/>
      <c r="J295" s="10"/>
      <c r="K295" s="10"/>
      <c r="L295" s="10"/>
      <c r="M295" s="11"/>
      <c r="N295" s="11"/>
      <c r="O295" s="11"/>
      <c r="R295" s="10"/>
    </row>
    <row r="296">
      <c r="A296" s="10"/>
      <c r="B296" s="10"/>
      <c r="C296" s="10"/>
      <c r="D296" s="10"/>
      <c r="E296" s="10"/>
      <c r="F296" s="10"/>
      <c r="H296" s="10"/>
      <c r="I296" s="10"/>
      <c r="K296" s="10"/>
      <c r="L296" s="10"/>
      <c r="M296" s="11"/>
      <c r="N296" s="11"/>
      <c r="O296" s="11"/>
      <c r="R296" s="10"/>
    </row>
    <row r="297">
      <c r="A297" s="10"/>
      <c r="B297" s="10"/>
      <c r="C297" s="10"/>
      <c r="D297" s="10"/>
      <c r="E297" s="10"/>
      <c r="F297" s="10"/>
      <c r="H297" s="10"/>
      <c r="I297" s="10"/>
      <c r="K297" s="10"/>
      <c r="L297" s="10"/>
      <c r="M297" s="11"/>
      <c r="N297" s="11"/>
      <c r="O297" s="11"/>
      <c r="R297" s="10"/>
    </row>
    <row r="298">
      <c r="A298" s="10"/>
      <c r="B298" s="10"/>
      <c r="C298" s="10"/>
      <c r="D298" s="10"/>
      <c r="E298" s="10"/>
      <c r="F298" s="10"/>
      <c r="H298" s="10"/>
      <c r="I298" s="10"/>
      <c r="K298" s="10"/>
      <c r="L298" s="10"/>
      <c r="M298" s="11"/>
      <c r="N298" s="11"/>
      <c r="O298" s="11"/>
      <c r="R298" s="10"/>
    </row>
    <row r="299">
      <c r="A299" s="10"/>
      <c r="B299" s="10"/>
      <c r="C299" s="10"/>
      <c r="D299" s="10"/>
      <c r="E299" s="10"/>
      <c r="F299" s="10"/>
      <c r="H299" s="10"/>
      <c r="I299" s="10"/>
      <c r="K299" s="10"/>
      <c r="L299" s="10"/>
      <c r="M299" s="11"/>
      <c r="N299" s="11"/>
      <c r="O299" s="11"/>
      <c r="R299" s="10"/>
    </row>
    <row r="300">
      <c r="A300" s="10"/>
      <c r="B300" s="10"/>
      <c r="C300" s="10"/>
      <c r="D300" s="10"/>
      <c r="E300" s="10"/>
      <c r="F300" s="10"/>
      <c r="I300" s="10"/>
      <c r="K300" s="10"/>
      <c r="L300" s="10"/>
      <c r="M300" s="11"/>
      <c r="N300" s="11"/>
      <c r="O300" s="11"/>
      <c r="R300" s="10"/>
    </row>
    <row r="301">
      <c r="A301" s="10"/>
      <c r="B301" s="10"/>
      <c r="C301" s="10"/>
      <c r="D301" s="10"/>
      <c r="E301" s="10"/>
      <c r="F301" s="10"/>
      <c r="H301" s="10"/>
      <c r="I301" s="10"/>
      <c r="J301" s="10"/>
      <c r="K301" s="10"/>
      <c r="L301" s="10"/>
      <c r="M301" s="11"/>
      <c r="N301" s="11"/>
      <c r="O301" s="11"/>
      <c r="R301" s="10"/>
    </row>
    <row r="302">
      <c r="A302" s="10"/>
      <c r="B302" s="10"/>
      <c r="C302" s="10"/>
      <c r="D302" s="10"/>
      <c r="E302" s="10"/>
      <c r="F302" s="10"/>
      <c r="I302" s="10"/>
      <c r="J302" s="10"/>
      <c r="K302" s="10"/>
      <c r="L302" s="10"/>
      <c r="M302" s="11"/>
      <c r="N302" s="11"/>
      <c r="O302" s="11"/>
      <c r="R302" s="10"/>
    </row>
    <row r="303">
      <c r="A303" s="10"/>
      <c r="B303" s="10"/>
      <c r="C303" s="10"/>
      <c r="D303" s="10"/>
      <c r="E303" s="10"/>
      <c r="F303" s="10"/>
      <c r="H303" s="10"/>
      <c r="I303" s="10"/>
      <c r="J303" s="10"/>
      <c r="K303" s="10"/>
      <c r="L303" s="10"/>
      <c r="M303" s="11"/>
      <c r="N303" s="11"/>
      <c r="O303" s="11"/>
      <c r="R303" s="10"/>
    </row>
    <row r="304">
      <c r="A304" s="10"/>
      <c r="B304" s="10"/>
      <c r="C304" s="10"/>
      <c r="D304" s="10"/>
      <c r="E304" s="10"/>
      <c r="F304" s="10"/>
      <c r="H304" s="10"/>
      <c r="I304" s="10"/>
      <c r="J304" s="10"/>
      <c r="K304" s="10"/>
      <c r="L304" s="10"/>
      <c r="M304" s="11"/>
      <c r="N304" s="11"/>
      <c r="O304" s="11"/>
      <c r="R304" s="10"/>
    </row>
    <row r="305">
      <c r="A305" s="10"/>
      <c r="B305" s="10"/>
      <c r="C305" s="10"/>
      <c r="D305" s="10"/>
      <c r="E305" s="10"/>
      <c r="F305" s="10"/>
      <c r="H305" s="10"/>
      <c r="I305" s="10"/>
      <c r="J305" s="10"/>
      <c r="K305" s="10"/>
      <c r="L305" s="10"/>
      <c r="M305" s="11"/>
      <c r="N305" s="11"/>
      <c r="O305" s="11"/>
      <c r="R305" s="10"/>
    </row>
    <row r="306">
      <c r="A306" s="10"/>
      <c r="B306" s="10"/>
      <c r="C306" s="10"/>
      <c r="D306" s="10"/>
      <c r="E306" s="10"/>
      <c r="F306" s="10"/>
      <c r="H306" s="10"/>
      <c r="I306" s="10"/>
      <c r="J306" s="10"/>
      <c r="K306" s="10"/>
      <c r="L306" s="10"/>
      <c r="M306" s="11"/>
      <c r="N306" s="11"/>
      <c r="O306" s="11"/>
      <c r="R306" s="10"/>
    </row>
    <row r="307">
      <c r="A307" s="10"/>
      <c r="B307" s="10"/>
      <c r="C307" s="10"/>
      <c r="D307" s="10"/>
      <c r="E307" s="10"/>
      <c r="F307" s="10"/>
      <c r="H307" s="10"/>
      <c r="I307" s="10"/>
      <c r="J307" s="10"/>
      <c r="K307" s="10"/>
      <c r="L307" s="10"/>
      <c r="M307" s="11"/>
      <c r="N307" s="11"/>
      <c r="O307" s="11"/>
      <c r="R307" s="10"/>
    </row>
    <row r="308">
      <c r="A308" s="10"/>
      <c r="B308" s="10"/>
      <c r="C308" s="10"/>
      <c r="D308" s="10"/>
      <c r="E308" s="10"/>
      <c r="F308" s="10"/>
      <c r="H308" s="10"/>
      <c r="I308" s="10"/>
      <c r="J308" s="10"/>
      <c r="K308" s="10"/>
      <c r="L308" s="10"/>
      <c r="M308" s="11"/>
      <c r="N308" s="11"/>
      <c r="O308" s="11"/>
      <c r="R308" s="10"/>
    </row>
    <row r="309">
      <c r="A309" s="10"/>
      <c r="B309" s="10"/>
      <c r="C309" s="10"/>
      <c r="D309" s="10"/>
      <c r="E309" s="10"/>
      <c r="F309" s="10"/>
      <c r="H309" s="10"/>
      <c r="I309" s="10"/>
      <c r="K309" s="10"/>
      <c r="L309" s="10"/>
      <c r="M309" s="11"/>
      <c r="N309" s="11"/>
      <c r="O309" s="11"/>
      <c r="R309" s="10"/>
    </row>
    <row r="310">
      <c r="A310" s="10"/>
      <c r="B310" s="10"/>
      <c r="C310" s="10"/>
      <c r="D310" s="10"/>
      <c r="E310" s="10"/>
      <c r="F310" s="10"/>
      <c r="H310" s="10"/>
      <c r="I310" s="10"/>
      <c r="J310" s="10"/>
      <c r="K310" s="10"/>
      <c r="L310" s="10"/>
      <c r="M310" s="11"/>
      <c r="N310" s="11"/>
      <c r="O310" s="11"/>
      <c r="R310" s="10"/>
    </row>
    <row r="311">
      <c r="A311" s="10"/>
      <c r="B311" s="10"/>
      <c r="C311" s="10"/>
      <c r="D311" s="10"/>
      <c r="E311" s="10"/>
      <c r="F311" s="10"/>
      <c r="I311" s="10"/>
      <c r="K311" s="10"/>
      <c r="L311" s="10"/>
      <c r="M311" s="11"/>
      <c r="N311" s="11"/>
      <c r="O311" s="11"/>
      <c r="R311" s="10"/>
    </row>
    <row r="312">
      <c r="A312" s="10"/>
      <c r="B312" s="10"/>
      <c r="C312" s="10"/>
      <c r="D312" s="10"/>
      <c r="E312" s="10"/>
      <c r="F312" s="10"/>
      <c r="H312" s="10"/>
      <c r="I312" s="10"/>
      <c r="J312" s="10"/>
      <c r="K312" s="10"/>
      <c r="L312" s="10"/>
      <c r="M312" s="11"/>
      <c r="N312" s="11"/>
      <c r="O312" s="11"/>
      <c r="R312" s="10"/>
    </row>
    <row r="313">
      <c r="A313" s="10"/>
      <c r="B313" s="10"/>
      <c r="C313" s="10"/>
      <c r="D313" s="10"/>
      <c r="E313" s="10"/>
      <c r="F313" s="10"/>
      <c r="H313" s="10"/>
      <c r="I313" s="10"/>
      <c r="J313" s="10"/>
      <c r="K313" s="10"/>
      <c r="L313" s="10"/>
      <c r="M313" s="11"/>
      <c r="N313" s="11"/>
      <c r="O313" s="11"/>
      <c r="R313" s="10"/>
    </row>
    <row r="314">
      <c r="A314" s="10"/>
      <c r="B314" s="10"/>
      <c r="C314" s="10"/>
      <c r="D314" s="10"/>
      <c r="E314" s="10"/>
      <c r="F314" s="10"/>
      <c r="H314" s="10"/>
      <c r="I314" s="10"/>
      <c r="J314" s="10"/>
      <c r="K314" s="10"/>
      <c r="L314" s="10"/>
      <c r="M314" s="11"/>
      <c r="N314" s="11"/>
      <c r="O314" s="11"/>
      <c r="R314" s="10"/>
    </row>
    <row r="315">
      <c r="A315" s="10"/>
      <c r="B315" s="10"/>
      <c r="C315" s="10"/>
      <c r="D315" s="10"/>
      <c r="E315" s="10"/>
      <c r="F315" s="10"/>
      <c r="H315" s="10"/>
      <c r="I315" s="10"/>
      <c r="K315" s="10"/>
      <c r="L315" s="10"/>
      <c r="M315" s="11"/>
      <c r="N315" s="11"/>
      <c r="O315" s="11"/>
      <c r="R315" s="10"/>
    </row>
    <row r="316">
      <c r="A316" s="10"/>
      <c r="B316" s="10"/>
      <c r="C316" s="10"/>
      <c r="D316" s="10"/>
      <c r="E316" s="10"/>
      <c r="F316" s="10"/>
      <c r="H316" s="10"/>
      <c r="I316" s="10"/>
      <c r="K316" s="10"/>
      <c r="L316" s="10"/>
      <c r="M316" s="11"/>
      <c r="N316" s="11"/>
      <c r="O316" s="11"/>
      <c r="R316" s="10"/>
    </row>
    <row r="317" ht="16.5" customHeight="1">
      <c r="A317" s="10"/>
      <c r="B317" s="10"/>
      <c r="C317" s="10"/>
      <c r="D317" s="10"/>
      <c r="E317" s="10"/>
      <c r="F317" s="10"/>
      <c r="H317" s="10"/>
      <c r="I317" s="10"/>
      <c r="J317" s="10"/>
      <c r="K317" s="10"/>
      <c r="L317" s="10"/>
      <c r="M317" s="11"/>
      <c r="N317" s="11"/>
      <c r="O317" s="11"/>
      <c r="R317" s="10"/>
    </row>
    <row r="318">
      <c r="A318" s="10"/>
      <c r="B318" s="10"/>
      <c r="C318" s="10"/>
      <c r="D318" s="10"/>
      <c r="E318" s="10"/>
      <c r="F318" s="10"/>
      <c r="H318" s="10"/>
      <c r="I318" s="10"/>
      <c r="J318" s="10"/>
      <c r="K318" s="10"/>
      <c r="L318" s="10"/>
      <c r="M318" s="11"/>
      <c r="N318" s="11"/>
      <c r="O318" s="11"/>
      <c r="R318" s="10"/>
    </row>
    <row r="319">
      <c r="A319" s="10"/>
      <c r="B319" s="10"/>
      <c r="C319" s="10"/>
      <c r="D319" s="10"/>
      <c r="E319" s="10"/>
      <c r="F319" s="10"/>
      <c r="H319" s="10"/>
      <c r="I319" s="10"/>
      <c r="J319" s="10"/>
      <c r="K319" s="10"/>
      <c r="L319" s="10"/>
      <c r="M319" s="11"/>
      <c r="N319" s="11"/>
      <c r="O319" s="11"/>
      <c r="R319" s="10"/>
    </row>
    <row r="320">
      <c r="A320" s="10"/>
      <c r="B320" s="10"/>
      <c r="C320" s="10"/>
      <c r="D320" s="10"/>
      <c r="E320" s="10"/>
      <c r="F320" s="10"/>
      <c r="H320" s="10"/>
      <c r="I320" s="10"/>
      <c r="K320" s="10"/>
      <c r="L320" s="10"/>
      <c r="M320" s="11"/>
      <c r="N320" s="11"/>
      <c r="O320" s="11"/>
      <c r="R320" s="10"/>
    </row>
    <row r="321">
      <c r="A321" s="10"/>
      <c r="B321" s="10"/>
      <c r="C321" s="10"/>
      <c r="D321" s="10"/>
      <c r="E321" s="10"/>
      <c r="F321" s="10"/>
      <c r="H321" s="10"/>
      <c r="I321" s="10"/>
      <c r="J321" s="10"/>
      <c r="K321" s="10"/>
      <c r="L321" s="10"/>
      <c r="M321" s="11"/>
      <c r="N321" s="11"/>
      <c r="O321" s="11"/>
      <c r="R321" s="10"/>
    </row>
    <row r="322">
      <c r="A322" s="10"/>
      <c r="B322" s="10"/>
      <c r="C322" s="10"/>
      <c r="D322" s="10"/>
      <c r="E322" s="10"/>
      <c r="F322" s="10"/>
      <c r="H322" s="10"/>
      <c r="I322" s="10"/>
      <c r="J322" s="10"/>
      <c r="K322" s="10"/>
      <c r="L322" s="10"/>
      <c r="M322" s="11"/>
      <c r="N322" s="11"/>
      <c r="O322" s="11"/>
      <c r="R322" s="10"/>
    </row>
    <row r="323">
      <c r="A323" s="10"/>
      <c r="B323" s="10"/>
      <c r="C323" s="10"/>
      <c r="D323" s="10"/>
      <c r="E323" s="10"/>
      <c r="F323" s="10"/>
      <c r="H323" s="10"/>
      <c r="I323" s="10"/>
      <c r="J323" s="10"/>
      <c r="K323" s="10"/>
      <c r="L323" s="10"/>
      <c r="M323" s="11"/>
      <c r="N323" s="11"/>
      <c r="O323" s="11"/>
      <c r="R323" s="10"/>
    </row>
    <row r="324">
      <c r="A324" s="10"/>
      <c r="B324" s="10"/>
      <c r="C324" s="10"/>
      <c r="D324" s="10"/>
      <c r="E324" s="10"/>
      <c r="F324" s="10"/>
      <c r="H324" s="10"/>
      <c r="I324" s="10"/>
      <c r="K324" s="10"/>
      <c r="L324" s="10"/>
      <c r="M324" s="11"/>
      <c r="N324" s="11"/>
      <c r="O324" s="11"/>
      <c r="P324" s="11"/>
      <c r="R324" s="10"/>
    </row>
    <row r="325">
      <c r="A325" s="10"/>
      <c r="B325" s="10"/>
      <c r="C325" s="10"/>
      <c r="D325" s="10"/>
      <c r="E325" s="10"/>
      <c r="F325" s="10"/>
      <c r="H325" s="10"/>
      <c r="I325" s="10"/>
      <c r="J325" s="10"/>
      <c r="K325" s="10"/>
      <c r="L325" s="10"/>
      <c r="M325" s="11"/>
      <c r="N325" s="11"/>
      <c r="O325" s="11"/>
      <c r="R325" s="10"/>
    </row>
    <row r="326">
      <c r="A326" s="10"/>
      <c r="B326" s="10"/>
      <c r="C326" s="10"/>
      <c r="D326" s="10"/>
      <c r="E326" s="10"/>
      <c r="F326" s="10"/>
      <c r="H326" s="10"/>
      <c r="I326" s="10"/>
      <c r="J326" s="10"/>
      <c r="K326" s="10"/>
      <c r="L326" s="10"/>
      <c r="M326" s="11"/>
      <c r="N326" s="11"/>
      <c r="O326" s="11"/>
      <c r="R326" s="10"/>
    </row>
    <row r="327">
      <c r="A327" s="10"/>
      <c r="B327" s="10"/>
      <c r="C327" s="10"/>
      <c r="D327" s="10"/>
      <c r="E327" s="10"/>
      <c r="F327" s="10"/>
      <c r="H327" s="10"/>
      <c r="I327" s="10"/>
      <c r="J327" s="10"/>
      <c r="K327" s="10"/>
      <c r="L327" s="10"/>
      <c r="M327" s="11"/>
      <c r="N327" s="11"/>
      <c r="O327" s="11"/>
      <c r="R327" s="10"/>
    </row>
    <row r="328">
      <c r="A328" s="10"/>
      <c r="B328" s="10"/>
      <c r="C328" s="10"/>
      <c r="D328" s="10"/>
      <c r="E328" s="10"/>
      <c r="F328" s="10"/>
      <c r="H328" s="10"/>
      <c r="I328" s="10"/>
      <c r="J328" s="10"/>
      <c r="K328" s="10"/>
      <c r="L328" s="10"/>
      <c r="M328" s="11"/>
      <c r="N328" s="11"/>
      <c r="O328" s="11"/>
      <c r="R328" s="10"/>
    </row>
    <row r="329">
      <c r="A329" s="10"/>
      <c r="B329" s="10"/>
      <c r="C329" s="10"/>
      <c r="D329" s="10"/>
      <c r="E329" s="10"/>
      <c r="F329" s="10"/>
      <c r="H329" s="10"/>
      <c r="I329" s="10"/>
      <c r="J329" s="10"/>
      <c r="K329" s="10"/>
      <c r="L329" s="10"/>
      <c r="M329" s="11"/>
      <c r="N329" s="11"/>
      <c r="O329" s="11"/>
      <c r="R329" s="10"/>
    </row>
    <row r="330">
      <c r="A330" s="10"/>
      <c r="B330" s="10"/>
      <c r="C330" s="10"/>
      <c r="D330" s="10"/>
      <c r="E330" s="10"/>
      <c r="F330" s="10"/>
      <c r="H330" s="10"/>
      <c r="I330" s="10"/>
      <c r="J330" s="10"/>
      <c r="K330" s="10"/>
      <c r="L330" s="10"/>
      <c r="M330" s="11"/>
      <c r="N330" s="11"/>
      <c r="O330" s="11"/>
      <c r="R330" s="10"/>
    </row>
    <row r="331">
      <c r="A331" s="10"/>
      <c r="B331" s="10"/>
      <c r="C331" s="10"/>
      <c r="D331" s="10"/>
      <c r="E331" s="10"/>
      <c r="F331" s="10"/>
      <c r="H331" s="10"/>
      <c r="I331" s="10"/>
      <c r="J331" s="10"/>
      <c r="K331" s="10"/>
      <c r="L331" s="10"/>
      <c r="M331" s="11"/>
      <c r="N331" s="11"/>
      <c r="O331" s="11"/>
      <c r="R331" s="10"/>
    </row>
    <row r="332">
      <c r="A332" s="10"/>
      <c r="B332" s="10"/>
      <c r="C332" s="10"/>
      <c r="D332" s="10"/>
      <c r="E332" s="10"/>
      <c r="F332" s="10"/>
      <c r="H332" s="10"/>
      <c r="I332" s="10"/>
      <c r="J332" s="10"/>
      <c r="K332" s="10"/>
      <c r="L332" s="10"/>
      <c r="M332" s="11"/>
      <c r="N332" s="11"/>
      <c r="O332" s="11"/>
      <c r="R332" s="10"/>
    </row>
    <row r="333">
      <c r="A333" s="10"/>
      <c r="B333" s="10"/>
      <c r="C333" s="10"/>
      <c r="D333" s="10"/>
      <c r="E333" s="10"/>
      <c r="F333" s="10"/>
      <c r="H333" s="10"/>
      <c r="I333" s="10"/>
      <c r="K333" s="10"/>
      <c r="L333" s="10"/>
      <c r="M333" s="11"/>
      <c r="N333" s="11"/>
      <c r="O333" s="11"/>
      <c r="R333" s="10"/>
    </row>
    <row r="334">
      <c r="A334" s="10"/>
      <c r="B334" s="10"/>
      <c r="C334" s="10"/>
      <c r="D334" s="10"/>
      <c r="E334" s="10"/>
      <c r="F334" s="10"/>
      <c r="H334" s="10"/>
      <c r="I334" s="10"/>
      <c r="J334" s="10"/>
      <c r="K334" s="10"/>
      <c r="L334" s="10"/>
      <c r="M334" s="11"/>
      <c r="N334" s="11"/>
      <c r="O334" s="11"/>
      <c r="R334" s="10"/>
    </row>
    <row r="335">
      <c r="A335" s="10"/>
      <c r="B335" s="10"/>
      <c r="C335" s="10"/>
      <c r="D335" s="10"/>
      <c r="E335" s="10"/>
      <c r="F335" s="10"/>
      <c r="H335" s="10"/>
      <c r="I335" s="10"/>
      <c r="K335" s="10"/>
      <c r="L335" s="10"/>
      <c r="M335" s="11"/>
      <c r="N335" s="11"/>
      <c r="O335" s="11"/>
      <c r="R335" s="10"/>
    </row>
    <row r="336" ht="19.5" customHeight="1">
      <c r="A336" s="10"/>
      <c r="B336" s="10"/>
      <c r="C336" s="10"/>
      <c r="D336" s="10"/>
      <c r="E336" s="10"/>
      <c r="F336" s="10"/>
      <c r="H336" s="10"/>
      <c r="I336" s="10"/>
      <c r="K336" s="10"/>
      <c r="L336" s="10"/>
      <c r="M336" s="11"/>
      <c r="N336" s="11"/>
      <c r="O336" s="11"/>
      <c r="R336" s="10"/>
    </row>
    <row r="337" ht="18.0" customHeight="1">
      <c r="A337" s="10"/>
      <c r="B337" s="10"/>
      <c r="C337" s="10"/>
      <c r="D337" s="10"/>
      <c r="E337" s="10"/>
      <c r="F337" s="10"/>
      <c r="H337" s="10"/>
      <c r="I337" s="10"/>
      <c r="K337" s="10"/>
      <c r="L337" s="10"/>
      <c r="M337" s="11"/>
      <c r="N337" s="11"/>
      <c r="O337" s="11"/>
      <c r="R337" s="10"/>
    </row>
    <row r="338">
      <c r="A338" s="10"/>
      <c r="B338" s="10"/>
      <c r="C338" s="10"/>
      <c r="D338" s="10"/>
      <c r="E338" s="10"/>
      <c r="F338" s="10"/>
      <c r="H338" s="10"/>
      <c r="I338" s="10"/>
      <c r="K338" s="10"/>
      <c r="L338" s="10"/>
      <c r="M338" s="11"/>
      <c r="N338" s="11"/>
      <c r="O338" s="11"/>
      <c r="R338" s="10"/>
    </row>
    <row r="339">
      <c r="A339" s="10"/>
      <c r="B339" s="10"/>
      <c r="C339" s="10"/>
      <c r="D339" s="10"/>
      <c r="E339" s="10"/>
      <c r="F339" s="10"/>
      <c r="H339" s="10"/>
      <c r="I339" s="10"/>
      <c r="K339" s="10"/>
      <c r="L339" s="10"/>
      <c r="M339" s="11"/>
      <c r="N339" s="11"/>
      <c r="O339" s="11"/>
      <c r="R339" s="10"/>
    </row>
    <row r="340">
      <c r="A340" s="10"/>
      <c r="B340" s="10"/>
      <c r="C340" s="10"/>
      <c r="D340" s="10"/>
      <c r="E340" s="10"/>
      <c r="F340" s="10"/>
      <c r="H340" s="10"/>
      <c r="I340" s="10"/>
      <c r="K340" s="10"/>
      <c r="L340" s="10"/>
      <c r="M340" s="11"/>
      <c r="N340" s="11"/>
      <c r="O340" s="11"/>
      <c r="R340" s="10"/>
    </row>
    <row r="341">
      <c r="A341" s="10"/>
      <c r="B341" s="10"/>
      <c r="C341" s="10"/>
      <c r="D341" s="10"/>
      <c r="E341" s="10"/>
      <c r="F341" s="10"/>
      <c r="H341" s="10"/>
      <c r="I341" s="10"/>
      <c r="K341" s="10"/>
      <c r="L341" s="10"/>
      <c r="M341" s="11"/>
      <c r="N341" s="11"/>
      <c r="O341" s="11"/>
      <c r="R341" s="10"/>
    </row>
    <row r="342">
      <c r="A342" s="10"/>
      <c r="B342" s="10"/>
      <c r="C342" s="10"/>
      <c r="D342" s="10"/>
      <c r="E342" s="10"/>
      <c r="F342" s="10"/>
      <c r="H342" s="10"/>
      <c r="I342" s="10"/>
      <c r="J342" s="10"/>
      <c r="K342" s="10"/>
      <c r="L342" s="10"/>
      <c r="M342" s="11"/>
      <c r="N342" s="11"/>
      <c r="O342" s="11"/>
      <c r="R342" s="10"/>
    </row>
    <row r="343">
      <c r="A343" s="10"/>
      <c r="B343" s="10"/>
      <c r="C343" s="10"/>
      <c r="D343" s="10"/>
      <c r="E343" s="10"/>
      <c r="F343" s="10"/>
      <c r="H343" s="10"/>
      <c r="I343" s="10"/>
      <c r="K343" s="10"/>
      <c r="L343" s="10"/>
      <c r="M343" s="11"/>
      <c r="N343" s="11"/>
      <c r="O343" s="11"/>
      <c r="R343" s="10"/>
    </row>
    <row r="344">
      <c r="A344" s="10"/>
      <c r="B344" s="10"/>
      <c r="C344" s="10"/>
      <c r="D344" s="10"/>
      <c r="E344" s="10"/>
      <c r="F344" s="10"/>
      <c r="H344" s="10"/>
      <c r="I344" s="10"/>
      <c r="J344" s="10"/>
      <c r="K344" s="10"/>
      <c r="L344" s="10"/>
      <c r="M344" s="11"/>
      <c r="N344" s="11"/>
      <c r="O344" s="11"/>
      <c r="R344" s="10"/>
    </row>
    <row r="345">
      <c r="A345" s="10"/>
      <c r="B345" s="10"/>
      <c r="C345" s="10"/>
      <c r="D345" s="10"/>
      <c r="E345" s="10"/>
      <c r="F345" s="10"/>
      <c r="H345" s="10"/>
      <c r="I345" s="10"/>
      <c r="J345" s="10"/>
      <c r="K345" s="10"/>
      <c r="L345" s="10"/>
      <c r="M345" s="11"/>
      <c r="N345" s="11"/>
      <c r="O345" s="11"/>
      <c r="R345" s="10"/>
    </row>
    <row r="346">
      <c r="A346" s="10"/>
      <c r="B346" s="10"/>
      <c r="C346" s="10"/>
      <c r="D346" s="10"/>
      <c r="E346" s="10"/>
      <c r="F346" s="10"/>
      <c r="H346" s="10"/>
      <c r="I346" s="10"/>
      <c r="K346" s="10"/>
      <c r="L346" s="10"/>
      <c r="M346" s="11"/>
      <c r="N346" s="11"/>
      <c r="O346" s="11"/>
      <c r="R346" s="10"/>
    </row>
    <row r="347">
      <c r="A347" s="10"/>
      <c r="B347" s="10"/>
      <c r="C347" s="10"/>
      <c r="D347" s="10"/>
      <c r="E347" s="10"/>
      <c r="F347" s="10"/>
      <c r="H347" s="10"/>
      <c r="I347" s="10"/>
      <c r="J347" s="10"/>
      <c r="K347" s="10"/>
      <c r="L347" s="10"/>
      <c r="M347" s="11"/>
      <c r="N347" s="11"/>
      <c r="O347" s="11"/>
      <c r="R347" s="10"/>
    </row>
    <row r="348" ht="16.5" customHeight="1">
      <c r="A348" s="10"/>
      <c r="B348" s="10"/>
      <c r="C348" s="10"/>
      <c r="D348" s="10"/>
      <c r="E348" s="10"/>
      <c r="F348" s="10"/>
      <c r="H348" s="10"/>
      <c r="I348" s="10"/>
      <c r="J348" s="10"/>
      <c r="K348" s="10"/>
      <c r="L348" s="10"/>
      <c r="M348" s="11"/>
      <c r="N348" s="11"/>
      <c r="O348" s="11"/>
      <c r="R348" s="10"/>
    </row>
    <row r="349" ht="25.5" customHeight="1">
      <c r="A349" s="10"/>
      <c r="B349" s="10"/>
      <c r="C349" s="10"/>
      <c r="D349" s="10"/>
      <c r="E349" s="10"/>
      <c r="F349" s="10"/>
      <c r="H349" s="10"/>
      <c r="I349" s="10"/>
      <c r="K349" s="10"/>
      <c r="L349" s="10"/>
      <c r="M349" s="11"/>
      <c r="N349" s="11"/>
      <c r="O349" s="11"/>
      <c r="R349" s="10"/>
    </row>
    <row r="350">
      <c r="A350" s="10"/>
      <c r="B350" s="10"/>
      <c r="C350" s="10"/>
      <c r="D350" s="10"/>
      <c r="E350" s="10"/>
      <c r="F350" s="10"/>
      <c r="H350" s="10"/>
      <c r="I350" s="10"/>
      <c r="K350" s="10"/>
      <c r="L350" s="10"/>
      <c r="M350" s="11"/>
      <c r="N350" s="11"/>
      <c r="O350" s="11"/>
      <c r="R350" s="10"/>
    </row>
    <row r="351">
      <c r="A351" s="10"/>
      <c r="B351" s="10"/>
      <c r="C351" s="10"/>
      <c r="D351" s="10"/>
      <c r="E351" s="10"/>
      <c r="F351" s="10"/>
      <c r="H351" s="10"/>
      <c r="I351" s="10"/>
      <c r="J351" s="10"/>
      <c r="K351" s="10"/>
      <c r="L351" s="10"/>
      <c r="M351" s="11"/>
      <c r="N351" s="11"/>
      <c r="O351" s="11"/>
      <c r="R351" s="10"/>
    </row>
    <row r="352">
      <c r="A352" s="10"/>
      <c r="B352" s="10"/>
      <c r="C352" s="10"/>
      <c r="D352" s="10"/>
      <c r="E352" s="10"/>
      <c r="F352" s="10"/>
      <c r="H352" s="10"/>
      <c r="I352" s="10"/>
      <c r="K352" s="10"/>
      <c r="L352" s="10"/>
      <c r="M352" s="11"/>
      <c r="N352" s="11"/>
      <c r="O352" s="11"/>
      <c r="R352" s="10"/>
    </row>
    <row r="353">
      <c r="A353" s="10"/>
      <c r="B353" s="10"/>
      <c r="C353" s="10"/>
      <c r="D353" s="10"/>
      <c r="E353" s="10"/>
      <c r="F353" s="10"/>
      <c r="I353" s="10"/>
      <c r="K353" s="10"/>
      <c r="L353" s="10"/>
      <c r="M353" s="11"/>
      <c r="N353" s="11"/>
      <c r="O353" s="11"/>
      <c r="R353" s="10"/>
    </row>
    <row r="354">
      <c r="A354" s="10"/>
      <c r="B354" s="10"/>
      <c r="C354" s="10"/>
      <c r="D354" s="10"/>
      <c r="E354" s="10"/>
      <c r="F354" s="10"/>
      <c r="I354" s="10"/>
      <c r="K354" s="10"/>
      <c r="L354" s="10"/>
      <c r="M354" s="11"/>
      <c r="N354" s="11"/>
      <c r="O354" s="11"/>
      <c r="R354" s="10"/>
    </row>
    <row r="355">
      <c r="M355" s="9"/>
      <c r="N355" s="9"/>
      <c r="O355" s="9"/>
    </row>
    <row r="356">
      <c r="M356" s="9"/>
      <c r="N356" s="9"/>
      <c r="O356" s="9"/>
    </row>
    <row r="357">
      <c r="M357" s="9"/>
      <c r="N357" s="11"/>
      <c r="O357" s="11"/>
    </row>
    <row r="358">
      <c r="M358" s="9"/>
      <c r="N358" s="9"/>
      <c r="O358" s="9"/>
    </row>
    <row r="359">
      <c r="M359" s="9"/>
      <c r="N359" s="11"/>
      <c r="O359" s="11"/>
    </row>
    <row r="360">
      <c r="M360" s="9"/>
      <c r="N360" s="9"/>
      <c r="O360" s="9"/>
    </row>
    <row r="361">
      <c r="M361" s="9"/>
      <c r="N361" s="11"/>
      <c r="O361" s="9"/>
    </row>
    <row r="362">
      <c r="M362" s="9"/>
      <c r="N362" s="9"/>
      <c r="O362" s="11"/>
    </row>
    <row r="363">
      <c r="M363" s="9"/>
      <c r="N363" s="9"/>
      <c r="O363" s="11"/>
    </row>
    <row r="364">
      <c r="M364" s="9"/>
      <c r="N364" s="9"/>
      <c r="O364" s="11"/>
    </row>
    <row r="365">
      <c r="M365" s="9"/>
      <c r="N365" s="11"/>
      <c r="O365" s="9"/>
    </row>
    <row r="366">
      <c r="M366" s="9"/>
      <c r="N366" s="11"/>
      <c r="O366" s="11"/>
    </row>
    <row r="367">
      <c r="M367" s="9"/>
      <c r="N367" s="11"/>
      <c r="O367" s="11"/>
    </row>
    <row r="368">
      <c r="M368" s="9"/>
      <c r="N368" s="11"/>
      <c r="O368" s="9"/>
    </row>
    <row r="369">
      <c r="M369" s="9"/>
      <c r="N369" s="11"/>
      <c r="O369" s="9"/>
    </row>
    <row r="370">
      <c r="M370" s="9"/>
      <c r="N370" s="11"/>
      <c r="O370" s="11"/>
    </row>
    <row r="371">
      <c r="M371" s="9"/>
      <c r="N371" s="11"/>
      <c r="O371" s="11"/>
    </row>
    <row r="372">
      <c r="M372" s="9"/>
      <c r="N372" s="11"/>
      <c r="O372" s="11"/>
    </row>
    <row r="373">
      <c r="M373" s="9"/>
      <c r="N373" s="11"/>
      <c r="O373" s="11"/>
    </row>
    <row r="374">
      <c r="M374" s="9"/>
      <c r="N374" s="11"/>
      <c r="O374" s="11"/>
    </row>
    <row r="375">
      <c r="M375" s="9"/>
      <c r="N375" s="11"/>
      <c r="O375" s="11"/>
    </row>
    <row r="376">
      <c r="M376" s="9"/>
      <c r="N376" s="11"/>
      <c r="O376" s="9"/>
    </row>
    <row r="377">
      <c r="M377" s="9"/>
      <c r="N377" s="11"/>
      <c r="O377" s="11"/>
    </row>
    <row r="378">
      <c r="M378" s="9"/>
      <c r="N378" s="11"/>
      <c r="O378" s="9"/>
    </row>
    <row r="379">
      <c r="M379" s="9"/>
      <c r="N379" s="11"/>
      <c r="O379" s="9"/>
    </row>
    <row r="380">
      <c r="M380" s="9"/>
      <c r="N380" s="11"/>
      <c r="O380" s="9"/>
    </row>
    <row r="381">
      <c r="M381" s="9"/>
      <c r="N381" s="11"/>
      <c r="O381" s="11"/>
    </row>
    <row r="382">
      <c r="M382" s="9"/>
      <c r="N382" s="11"/>
      <c r="O382" s="11"/>
    </row>
    <row r="383">
      <c r="M383" s="9"/>
      <c r="N383" s="11"/>
      <c r="O383" s="11"/>
    </row>
    <row r="384">
      <c r="M384" s="9"/>
      <c r="N384" s="11"/>
      <c r="O384" s="11"/>
    </row>
    <row r="385">
      <c r="M385" s="9"/>
      <c r="N385" s="11"/>
      <c r="O385" s="11"/>
    </row>
    <row r="386">
      <c r="M386" s="9"/>
      <c r="N386" s="11"/>
      <c r="O386" s="11"/>
    </row>
    <row r="387">
      <c r="M387" s="9"/>
      <c r="N387" s="11"/>
      <c r="O387" s="11"/>
    </row>
    <row r="388">
      <c r="M388" s="9"/>
      <c r="N388" s="11"/>
      <c r="O388" s="9"/>
    </row>
    <row r="389">
      <c r="M389" s="9"/>
      <c r="N389" s="11"/>
      <c r="O389" s="11"/>
    </row>
    <row r="390">
      <c r="M390" s="9"/>
      <c r="N390" s="11"/>
      <c r="O390" s="11"/>
    </row>
    <row r="391">
      <c r="M391" s="9"/>
      <c r="N391" s="11"/>
      <c r="O391" s="9"/>
    </row>
    <row r="392">
      <c r="M392" s="9"/>
      <c r="N392" s="11"/>
      <c r="O392" s="9"/>
    </row>
    <row r="393">
      <c r="M393" s="9"/>
      <c r="N393" s="11"/>
      <c r="O393" s="9"/>
    </row>
    <row r="394">
      <c r="M394" s="9"/>
      <c r="N394" s="9"/>
      <c r="O394" s="11"/>
    </row>
    <row r="395">
      <c r="M395" s="9"/>
      <c r="N395" s="9"/>
      <c r="O395" s="11"/>
    </row>
    <row r="396">
      <c r="M396" s="9"/>
      <c r="N396" s="9"/>
      <c r="O396" s="11"/>
    </row>
    <row r="397">
      <c r="M397" s="9"/>
      <c r="N397" s="9"/>
      <c r="O397" s="9"/>
    </row>
    <row r="398">
      <c r="M398" s="9"/>
      <c r="N398" s="11"/>
      <c r="O398" s="9"/>
    </row>
    <row r="399">
      <c r="M399" s="9"/>
      <c r="N399" s="11"/>
      <c r="O399" s="9"/>
    </row>
    <row r="400">
      <c r="M400" s="9"/>
      <c r="N400" s="9"/>
      <c r="O400" s="11"/>
    </row>
    <row r="401">
      <c r="M401" s="9"/>
      <c r="N401" s="9"/>
      <c r="O401" s="11"/>
    </row>
    <row r="402">
      <c r="M402" s="9"/>
      <c r="N402" s="9"/>
      <c r="O402" s="11"/>
    </row>
    <row r="403">
      <c r="M403" s="9"/>
      <c r="N403" s="9"/>
      <c r="O403" s="11"/>
    </row>
    <row r="404">
      <c r="M404" s="9"/>
      <c r="N404" s="9"/>
      <c r="O404" s="9"/>
    </row>
    <row r="405">
      <c r="M405" s="9"/>
      <c r="N405" s="11"/>
      <c r="O405" s="9"/>
    </row>
    <row r="406">
      <c r="M406" s="9"/>
      <c r="N406" s="11"/>
      <c r="O406" s="9"/>
    </row>
    <row r="407">
      <c r="M407" s="9"/>
      <c r="N407" s="11"/>
      <c r="O407" s="9"/>
    </row>
    <row r="408">
      <c r="M408" s="9"/>
      <c r="N408" s="11"/>
      <c r="O408" s="9"/>
    </row>
    <row r="409">
      <c r="M409" s="9"/>
      <c r="N409" s="11"/>
      <c r="O409" s="9"/>
    </row>
    <row r="410">
      <c r="M410" s="9"/>
      <c r="N410" s="11"/>
      <c r="O410" s="9"/>
    </row>
    <row r="411">
      <c r="M411" s="9"/>
      <c r="N411" s="11"/>
      <c r="O411" s="9"/>
    </row>
    <row r="412">
      <c r="M412" s="9"/>
      <c r="N412" s="11"/>
      <c r="O412" s="9"/>
    </row>
    <row r="413">
      <c r="M413" s="9"/>
      <c r="N413" s="11"/>
      <c r="O413" s="9"/>
    </row>
    <row r="414">
      <c r="M414" s="9"/>
      <c r="N414" s="11"/>
      <c r="O414" s="9"/>
    </row>
    <row r="415">
      <c r="M415" s="9"/>
      <c r="N415" s="11"/>
      <c r="O415" s="11"/>
    </row>
    <row r="416">
      <c r="M416" s="9"/>
      <c r="N416" s="11"/>
      <c r="O416" s="9"/>
    </row>
    <row r="417">
      <c r="M417" s="9"/>
      <c r="N417" s="11"/>
      <c r="O417" s="9"/>
    </row>
    <row r="418">
      <c r="M418" s="9"/>
      <c r="N418" s="11"/>
      <c r="O418" s="9"/>
    </row>
    <row r="419">
      <c r="M419" s="9"/>
      <c r="N419" s="11"/>
      <c r="O419" s="9"/>
    </row>
    <row r="420">
      <c r="M420" s="9"/>
      <c r="N420" s="11"/>
      <c r="O420" s="9"/>
    </row>
    <row r="421">
      <c r="M421" s="9"/>
      <c r="N421" s="11"/>
      <c r="O421" s="9"/>
    </row>
    <row r="422">
      <c r="M422" s="9"/>
      <c r="N422" s="11"/>
      <c r="O422" s="9"/>
    </row>
    <row r="423">
      <c r="M423" s="9"/>
      <c r="N423" s="9"/>
      <c r="O423" s="11"/>
    </row>
    <row r="424">
      <c r="M424" s="9"/>
      <c r="N424" s="11"/>
      <c r="O424" s="11"/>
    </row>
    <row r="425">
      <c r="M425" s="9"/>
      <c r="N425" s="11"/>
      <c r="O425" s="11"/>
    </row>
    <row r="426">
      <c r="M426" s="9"/>
      <c r="N426" s="11"/>
      <c r="O426" s="9"/>
    </row>
    <row r="427">
      <c r="M427" s="9"/>
      <c r="N427" s="11"/>
      <c r="O427" s="9"/>
    </row>
    <row r="428">
      <c r="M428" s="9"/>
      <c r="N428" s="11"/>
      <c r="O428" s="9"/>
    </row>
    <row r="429">
      <c r="M429" s="9"/>
      <c r="N429" s="11"/>
      <c r="O429" s="9"/>
    </row>
    <row r="430">
      <c r="M430" s="9"/>
      <c r="N430" s="11"/>
      <c r="O430" s="9"/>
    </row>
    <row r="431">
      <c r="M431" s="9"/>
      <c r="N431" s="11"/>
      <c r="O431" s="9"/>
    </row>
    <row r="432">
      <c r="M432" s="9"/>
      <c r="N432" s="11"/>
      <c r="O432" s="9"/>
    </row>
    <row r="433">
      <c r="M433" s="9"/>
      <c r="N433" s="11"/>
      <c r="O433" s="9"/>
    </row>
    <row r="434">
      <c r="M434" s="9"/>
      <c r="N434" s="11"/>
      <c r="O434" s="9"/>
    </row>
    <row r="435">
      <c r="M435" s="11"/>
      <c r="N435" s="11"/>
      <c r="O435" s="11"/>
    </row>
    <row r="436">
      <c r="M436" s="11"/>
      <c r="N436" s="11"/>
      <c r="O436" s="11"/>
    </row>
    <row r="437">
      <c r="M437" s="11"/>
      <c r="N437" s="11"/>
      <c r="O437" s="11"/>
    </row>
    <row r="438">
      <c r="M438" s="11"/>
      <c r="N438" s="11"/>
      <c r="O438" s="11"/>
    </row>
    <row r="439">
      <c r="M439" s="11"/>
      <c r="N439" s="11"/>
      <c r="O439" s="11"/>
    </row>
    <row r="440">
      <c r="M440" s="11"/>
      <c r="N440" s="11"/>
      <c r="O440" s="11"/>
    </row>
    <row r="441">
      <c r="M441" s="11"/>
      <c r="N441" s="11"/>
      <c r="O441" s="11"/>
    </row>
    <row r="442">
      <c r="M442" s="11"/>
      <c r="N442" s="11"/>
      <c r="O442" s="11"/>
    </row>
    <row r="443">
      <c r="M443" s="11"/>
      <c r="N443" s="11"/>
      <c r="O443" s="11"/>
    </row>
    <row r="444">
      <c r="M444" s="11"/>
      <c r="N444" s="11"/>
      <c r="O444" s="11"/>
    </row>
    <row r="445">
      <c r="M445" s="11"/>
      <c r="N445" s="11"/>
      <c r="O445" s="11"/>
    </row>
    <row r="446">
      <c r="M446" s="11"/>
      <c r="N446" s="11"/>
      <c r="O446" s="11"/>
    </row>
    <row r="447">
      <c r="M447" s="11"/>
      <c r="N447" s="11"/>
      <c r="O447" s="11"/>
    </row>
    <row r="448">
      <c r="M448" s="11"/>
      <c r="N448" s="11"/>
      <c r="O448" s="11"/>
    </row>
    <row r="449">
      <c r="M449" s="11"/>
      <c r="N449" s="11"/>
      <c r="O449" s="11"/>
    </row>
    <row r="450">
      <c r="M450" s="11"/>
      <c r="N450" s="11"/>
      <c r="O450" s="11"/>
    </row>
    <row r="451">
      <c r="M451" s="11"/>
      <c r="N451" s="11"/>
      <c r="O451" s="11"/>
    </row>
    <row r="452">
      <c r="M452" s="11"/>
      <c r="N452" s="11"/>
      <c r="O452" s="11"/>
    </row>
    <row r="453">
      <c r="M453" s="11"/>
      <c r="N453" s="11"/>
      <c r="O453" s="11"/>
    </row>
    <row r="454">
      <c r="M454" s="11"/>
      <c r="N454" s="11"/>
      <c r="O454" s="11"/>
    </row>
    <row r="455">
      <c r="M455" s="11"/>
      <c r="N455" s="11"/>
      <c r="O455" s="11"/>
    </row>
    <row r="456">
      <c r="M456" s="11"/>
      <c r="N456" s="11"/>
      <c r="O456" s="11"/>
    </row>
    <row r="457">
      <c r="M457" s="11"/>
      <c r="N457" s="11"/>
      <c r="O457" s="11"/>
    </row>
    <row r="458">
      <c r="M458" s="11"/>
      <c r="N458" s="11"/>
      <c r="O458" s="11"/>
    </row>
    <row r="459">
      <c r="M459" s="11"/>
      <c r="N459" s="11"/>
      <c r="O459" s="11"/>
    </row>
    <row r="460">
      <c r="M460" s="11"/>
      <c r="N460" s="11"/>
      <c r="O460" s="11"/>
    </row>
    <row r="461">
      <c r="M461" s="11"/>
      <c r="N461" s="11"/>
      <c r="O461" s="11"/>
    </row>
    <row r="462">
      <c r="M462" s="11"/>
      <c r="N462" s="11"/>
      <c r="O462" s="11"/>
    </row>
    <row r="463">
      <c r="M463" s="11"/>
      <c r="N463" s="11"/>
      <c r="O463" s="11"/>
    </row>
    <row r="464">
      <c r="M464" s="11"/>
      <c r="N464" s="11"/>
      <c r="O464" s="11"/>
    </row>
    <row r="465">
      <c r="M465" s="11"/>
      <c r="N465" s="11"/>
      <c r="O465" s="11"/>
    </row>
    <row r="466">
      <c r="M466" s="11"/>
      <c r="N466" s="11"/>
      <c r="O466" s="11"/>
    </row>
    <row r="467">
      <c r="M467" s="11"/>
      <c r="N467" s="11"/>
      <c r="O467" s="11"/>
    </row>
    <row r="468">
      <c r="M468" s="11"/>
      <c r="N468" s="11"/>
      <c r="O468" s="11"/>
    </row>
    <row r="469">
      <c r="M469" s="11"/>
      <c r="N469" s="11"/>
      <c r="O469" s="11"/>
    </row>
    <row r="470">
      <c r="M470" s="11"/>
      <c r="N470" s="11"/>
      <c r="O470" s="11"/>
    </row>
    <row r="471">
      <c r="M471" s="11"/>
      <c r="N471" s="11"/>
      <c r="O471" s="11"/>
    </row>
    <row r="472">
      <c r="M472" s="11"/>
      <c r="N472" s="11"/>
      <c r="O472" s="11"/>
    </row>
    <row r="473">
      <c r="M473" s="11"/>
      <c r="N473" s="11"/>
      <c r="O473" s="11"/>
    </row>
    <row r="474">
      <c r="M474" s="11"/>
      <c r="N474" s="11"/>
      <c r="O474" s="11"/>
    </row>
    <row r="475">
      <c r="M475" s="11"/>
      <c r="N475" s="11"/>
      <c r="O475" s="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9.25"/>
    <col customWidth="1" min="3" max="3" width="23.25"/>
    <col customWidth="1" min="4" max="4" width="11.0"/>
    <col customWidth="1" min="5" max="5" width="12.25"/>
    <col customWidth="1" min="6" max="6" width="11.0"/>
    <col customWidth="1" min="7" max="7" width="7.75"/>
    <col customWidth="1" min="8" max="8" width="18.13"/>
    <col customWidth="1" min="9" max="9" width="11.25"/>
    <col customWidth="1" min="10" max="10" width="9.25"/>
    <col customWidth="1" min="11" max="11" width="16.25"/>
    <col customWidth="1" min="12" max="12" width="10.38"/>
    <col customWidth="1" min="13" max="13" width="11.63"/>
    <col customWidth="1" min="14" max="14" width="14.25"/>
    <col customWidth="1" min="15" max="15" width="4.38"/>
    <col customWidth="1" min="16" max="16" width="24.75"/>
    <col customWidth="1" min="17" max="17" width="22.25"/>
    <col customWidth="1" min="18" max="18" width="124.25"/>
    <col customWidth="1" min="19" max="19" width="21.5"/>
    <col customWidth="1" min="20" max="20" width="13.5"/>
  </cols>
  <sheetData>
    <row r="1">
      <c r="A1" s="10" t="str">
        <f>IFERROR(__xludf.DUMMYFUNCTION("QUERY({GW_PartnerManagementActivities!A:Z;GW_TechOpsActivities!A2:Z999;GW_MarketingActivities!A2:Z999;GW_MarketplaceActivities!A2:Z999}, ""SELECT * WHERE Col1 IS NOT NULL"", 1)"),"Item Name")</f>
        <v>Item Name</v>
      </c>
      <c r="B1" s="10" t="str">
        <f>IFERROR(__xludf.DUMMYFUNCTION("""COMPUTED_VALUE"""),"Group")</f>
        <v>Group</v>
      </c>
      <c r="C1" s="10" t="str">
        <f>IFERROR(__xludf.DUMMYFUNCTION("""COMPUTED_VALUE"""),"Board Name")</f>
        <v>Board Name</v>
      </c>
      <c r="D1" s="10" t="str">
        <f>IFERROR(__xludf.DUMMYFUNCTION("""COMPUTED_VALUE"""),"Partner Name")</f>
        <v>Partner Name</v>
      </c>
      <c r="E1" s="10" t="str">
        <f>IFERROR(__xludf.DUMMYFUNCTION("""COMPUTED_VALUE"""),"Monday Item ID")</f>
        <v>Monday Item ID</v>
      </c>
      <c r="F1" s="10" t="str">
        <f>IFERROR(__xludf.DUMMYFUNCTION("""COMPUTED_VALUE"""),"Board ID")</f>
        <v>Board ID</v>
      </c>
      <c r="G1" s="10" t="str">
        <f>IFERROR(__xludf.DUMMYFUNCTION("""COMPUTED_VALUE"""),"Activity Status")</f>
        <v>Activity Status</v>
      </c>
      <c r="H1" s="10" t="str">
        <f>IFERROR(__xludf.DUMMYFUNCTION("""COMPUTED_VALUE"""),"Owner")</f>
        <v>Owner</v>
      </c>
      <c r="I1" s="10" t="str">
        <f>IFERROR(__xludf.DUMMYFUNCTION("""COMPUTED_VALUE"""),"Assigned To")</f>
        <v>Assigned To</v>
      </c>
      <c r="J1" s="10" t="str">
        <f>IFERROR(__xludf.DUMMYFUNCTION("""COMPUTED_VALUE"""),"Importance")</f>
        <v>Importance</v>
      </c>
      <c r="K1" s="10" t="str">
        <f>IFERROR(__xludf.DUMMYFUNCTION("""COMPUTED_VALUE"""),"Activity Type")</f>
        <v>Activity Type</v>
      </c>
      <c r="L1" s="10" t="str">
        <f>IFERROR(__xludf.DUMMYFUNCTION("""COMPUTED_VALUE"""),"Date Created")</f>
        <v>Date Created</v>
      </c>
      <c r="M1" s="10" t="str">
        <f>IFERROR(__xludf.DUMMYFUNCTION("""COMPUTED_VALUE"""),"Date Due")</f>
        <v>Date Due</v>
      </c>
      <c r="N1" s="10" t="str">
        <f>IFERROR(__xludf.DUMMYFUNCTION("""COMPUTED_VALUE"""),"Actual Completion")</f>
        <v>Actual Completion</v>
      </c>
      <c r="O1" s="10" t="str">
        <f>IFERROR(__xludf.DUMMYFUNCTION("""COMPUTED_VALUE"""),"Files")</f>
        <v>Files</v>
      </c>
      <c r="P1" s="10" t="str">
        <f>IFERROR(__xludf.DUMMYFUNCTION("""COMPUTED_VALUE"""),"Comments/Notes")</f>
        <v>Comments/Notes</v>
      </c>
      <c r="Q1" s="10" t="str">
        <f>IFERROR(__xludf.DUMMYFUNCTION("""COMPUTED_VALUE"""),"Subitems")</f>
        <v>Subitems</v>
      </c>
      <c r="R1" s="10" t="str">
        <f>IFERROR(__xludf.DUMMYFUNCTION("""COMPUTED_VALUE"""),"Tech Board Type")</f>
        <v>Tech Board Type</v>
      </c>
      <c r="S1" s="10" t="str">
        <f>IFERROR(__xludf.DUMMYFUNCTION("""COMPUTED_VALUE"""),"Alliance Manager")</f>
        <v>Alliance Manager</v>
      </c>
      <c r="T1" s="10" t="str">
        <f>IFERROR(__xludf.DUMMYFUNCTION("""COMPUTED_VALUE"""),"Alliance Manager")</f>
        <v>Alliance Manager</v>
      </c>
      <c r="U1" s="16" t="str">
        <f>IFERROR(__xludf.DUMMYFUNCTION("""COMPUTED_VALUE"""),"")</f>
        <v/>
      </c>
      <c r="V1" s="16" t="str">
        <f>IFERROR(__xludf.DUMMYFUNCTION("""COMPUTED_VALUE"""),"")</f>
        <v/>
      </c>
      <c r="W1" s="16" t="str">
        <f>IFERROR(__xludf.DUMMYFUNCTION("""COMPUTED_VALUE"""),"")</f>
        <v/>
      </c>
      <c r="X1" s="16" t="str">
        <f>IFERROR(__xludf.DUMMYFUNCTION("""COMPUTED_VALUE"""),"")</f>
        <v/>
      </c>
      <c r="Y1" s="16" t="str">
        <f>IFERROR(__xludf.DUMMYFUNCTION("""COMPUTED_VALUE"""),"")</f>
        <v/>
      </c>
      <c r="Z1" s="16" t="str">
        <f>IFERROR(__xludf.DUMMYFUNCTION("""COMPUTED_VALUE"""),"")</f>
        <v/>
      </c>
    </row>
    <row r="2">
      <c r="A2" s="10" t="str">
        <f>IFERROR(__xludf.DUMMYFUNCTION("""COMPUTED_VALUE"""),"another test again")</f>
        <v>another test again</v>
      </c>
      <c r="B2" s="10" t="str">
        <f>IFERROR(__xludf.DUMMYFUNCTION("""COMPUTED_VALUE"""),"Open Items")</f>
        <v>Open Items</v>
      </c>
      <c r="C2" s="10" t="str">
        <f>IFERROR(__xludf.DUMMYFUNCTION("""COMPUTED_VALUE"""),"Partner Management Activities")</f>
        <v>Partner Management Activities</v>
      </c>
      <c r="D2" s="10"/>
      <c r="E2" s="10">
        <f>IFERROR(__xludf.DUMMYFUNCTION("""COMPUTED_VALUE"""),1.1093054347E10)</f>
        <v>11093054347</v>
      </c>
      <c r="F2" s="10">
        <f>IFERROR(__xludf.DUMMYFUNCTION("""COMPUTED_VALUE"""),9.791255941E9)</f>
        <v>9791255941</v>
      </c>
      <c r="G2" s="16" t="str">
        <f>IFERROR(__xludf.DUMMYFUNCTION("""COMPUTED_VALUE"""),"In Progress")</f>
        <v>In Progress</v>
      </c>
      <c r="H2" s="10" t="str">
        <f>IFERROR(__xludf.DUMMYFUNCTION("""COMPUTED_VALUE"""),"Eric Apse")</f>
        <v>Eric Apse</v>
      </c>
      <c r="I2" s="10" t="str">
        <f>IFERROR(__xludf.DUMMYFUNCTION("""COMPUTED_VALUE"""),"Tim Kennedy")</f>
        <v>Tim Kennedy</v>
      </c>
      <c r="J2" s="10" t="str">
        <f>IFERROR(__xludf.DUMMYFUNCTION("""COMPUTED_VALUE"""),"1. Urgent")</f>
        <v>1. Urgent</v>
      </c>
      <c r="K2" s="10" t="str">
        <f>IFERROR(__xludf.DUMMYFUNCTION("""COMPUTED_VALUE"""),"Referal")</f>
        <v>Referal</v>
      </c>
      <c r="L2" s="11">
        <f>IFERROR(__xludf.DUMMYFUNCTION("""COMPUTED_VALUE"""),45698.0)</f>
        <v>45698</v>
      </c>
      <c r="M2" s="11">
        <f>IFERROR(__xludf.DUMMYFUNCTION("""COMPUTED_VALUE"""),46028.0)</f>
        <v>46028</v>
      </c>
      <c r="N2" s="16"/>
      <c r="O2" s="16"/>
      <c r="P2" s="10" t="str">
        <f>IFERROR(__xludf.DUMMYFUNCTION("""COMPUTED_VALUE"""),"just more test")</f>
        <v>just more test</v>
      </c>
      <c r="Q2" s="10"/>
      <c r="R2" s="10" t="str">
        <f>IFERROR(__xludf.DUMMYFUNCTION("""COMPUTED_VALUE"""),"Partner Management Activities")</f>
        <v>Partner Management Activities</v>
      </c>
      <c r="S2" s="16"/>
      <c r="T2" s="16"/>
      <c r="U2" s="16"/>
      <c r="V2" s="16"/>
      <c r="W2" s="16"/>
      <c r="X2" s="16"/>
      <c r="Y2" s="16"/>
      <c r="Z2" s="16"/>
    </row>
    <row r="3">
      <c r="A3" s="10" t="str">
        <f>IFERROR(__xludf.DUMMYFUNCTION("""COMPUTED_VALUE"""),"Make sure your parter is certified asap")</f>
        <v>Make sure your parter is certified asap</v>
      </c>
      <c r="B3" s="10" t="str">
        <f>IFERROR(__xludf.DUMMYFUNCTION("""COMPUTED_VALUE"""),"Open Items")</f>
        <v>Open Items</v>
      </c>
      <c r="C3" s="10" t="str">
        <f>IFERROR(__xludf.DUMMYFUNCTION("""COMPUTED_VALUE"""),"Partner Management Activities")</f>
        <v>Partner Management Activities</v>
      </c>
      <c r="D3" s="10"/>
      <c r="E3" s="10">
        <f>IFERROR(__xludf.DUMMYFUNCTION("""COMPUTED_VALUE"""),1.0941024281E10)</f>
        <v>10941024281</v>
      </c>
      <c r="F3" s="10">
        <f>IFERROR(__xludf.DUMMYFUNCTION("""COMPUTED_VALUE"""),9.791255941E9)</f>
        <v>9791255941</v>
      </c>
      <c r="G3" s="16" t="str">
        <f>IFERROR(__xludf.DUMMYFUNCTION("""COMPUTED_VALUE"""),"In Progress")</f>
        <v>In Progress</v>
      </c>
      <c r="H3" s="10" t="str">
        <f>IFERROR(__xludf.DUMMYFUNCTION("""COMPUTED_VALUE"""),"Eric Apse")</f>
        <v>Eric Apse</v>
      </c>
      <c r="I3" s="10" t="str">
        <f>IFERROR(__xludf.DUMMYFUNCTION("""COMPUTED_VALUE"""),"Tim Kennedy")</f>
        <v>Tim Kennedy</v>
      </c>
      <c r="J3" s="10" t="str">
        <f>IFERROR(__xludf.DUMMYFUNCTION("""COMPUTED_VALUE"""),"1. Urgent")</f>
        <v>1. Urgent</v>
      </c>
      <c r="K3" s="10" t="str">
        <f>IFERROR(__xludf.DUMMYFUNCTION("""COMPUTED_VALUE"""),"Partner Management")</f>
        <v>Partner Management</v>
      </c>
      <c r="L3" s="11">
        <f>IFERROR(__xludf.DUMMYFUNCTION("""COMPUTED_VALUE"""),45698.0)</f>
        <v>45698</v>
      </c>
      <c r="M3" s="11">
        <f>IFERROR(__xludf.DUMMYFUNCTION("""COMPUTED_VALUE"""),46036.0)</f>
        <v>46036</v>
      </c>
      <c r="N3" s="16"/>
      <c r="O3" s="16"/>
      <c r="P3" s="10"/>
      <c r="Q3" s="10"/>
      <c r="R3" s="10" t="str">
        <f>IFERROR(__xludf.DUMMYFUNCTION("""COMPUTED_VALUE"""),"Partner Management Activities")</f>
        <v>Partner Management Activities</v>
      </c>
      <c r="S3" s="16"/>
      <c r="T3" s="16"/>
      <c r="U3" s="16"/>
      <c r="V3" s="16"/>
      <c r="W3" s="16"/>
      <c r="X3" s="16"/>
      <c r="Y3" s="16"/>
      <c r="Z3" s="16"/>
    </row>
    <row r="4">
      <c r="A4" s="10" t="str">
        <f>IFERROR(__xludf.DUMMYFUNCTION("""COMPUTED_VALUE"""),"test")</f>
        <v>test</v>
      </c>
      <c r="B4" s="10" t="str">
        <f>IFERROR(__xludf.DUMMYFUNCTION("""COMPUTED_VALUE"""),"Open Items")</f>
        <v>Open Items</v>
      </c>
      <c r="C4" s="10" t="str">
        <f>IFERROR(__xludf.DUMMYFUNCTION("""COMPUTED_VALUE"""),"Partner Management Activities")</f>
        <v>Partner Management Activities</v>
      </c>
      <c r="D4" s="10"/>
      <c r="E4" s="10">
        <f>IFERROR(__xludf.DUMMYFUNCTION("""COMPUTED_VALUE"""),1.0809257698E10)</f>
        <v>10809257698</v>
      </c>
      <c r="F4" s="10">
        <f>IFERROR(__xludf.DUMMYFUNCTION("""COMPUTED_VALUE"""),9.791255941E9)</f>
        <v>9791255941</v>
      </c>
      <c r="G4" s="16" t="str">
        <f>IFERROR(__xludf.DUMMYFUNCTION("""COMPUTED_VALUE"""),"In Progress")</f>
        <v>In Progress</v>
      </c>
      <c r="H4" s="10" t="str">
        <f>IFERROR(__xludf.DUMMYFUNCTION("""COMPUTED_VALUE"""),"Eric Apse")</f>
        <v>Eric Apse</v>
      </c>
      <c r="I4" s="10" t="str">
        <f>IFERROR(__xludf.DUMMYFUNCTION("""COMPUTED_VALUE"""),"Tim Kennedy")</f>
        <v>Tim Kennedy</v>
      </c>
      <c r="J4" s="10" t="str">
        <f>IFERROR(__xludf.DUMMYFUNCTION("""COMPUTED_VALUE"""),"5. N/A")</f>
        <v>5. N/A</v>
      </c>
      <c r="K4" s="10" t="str">
        <f>IFERROR(__xludf.DUMMYFUNCTION("""COMPUTED_VALUE"""),"TechAll Marketing")</f>
        <v>TechAll Marketing</v>
      </c>
      <c r="L4" s="11">
        <f>IFERROR(__xludf.DUMMYFUNCTION("""COMPUTED_VALUE"""),45698.0)</f>
        <v>45698</v>
      </c>
      <c r="M4" s="11">
        <f>IFERROR(__xludf.DUMMYFUNCTION("""COMPUTED_VALUE"""),46037.0)</f>
        <v>46037</v>
      </c>
      <c r="N4" s="16"/>
      <c r="O4" s="16"/>
      <c r="P4" s="10"/>
      <c r="Q4" s="10"/>
      <c r="R4" s="10" t="str">
        <f>IFERROR(__xludf.DUMMYFUNCTION("""COMPUTED_VALUE"""),"Partner Management Activities")</f>
        <v>Partner Management Activities</v>
      </c>
      <c r="S4" s="16"/>
      <c r="T4" s="16"/>
      <c r="U4" s="16"/>
      <c r="V4" s="16"/>
      <c r="W4" s="16"/>
      <c r="X4" s="16"/>
      <c r="Y4" s="16"/>
      <c r="Z4" s="16"/>
    </row>
    <row r="5">
      <c r="A5" s="10" t="str">
        <f>IFERROR(__xludf.DUMMYFUNCTION("""COMPUTED_VALUE"""),"test 2")</f>
        <v>test 2</v>
      </c>
      <c r="B5" s="10" t="str">
        <f>IFERROR(__xludf.DUMMYFUNCTION("""COMPUTED_VALUE"""),"Open Items")</f>
        <v>Open Items</v>
      </c>
      <c r="C5" s="10" t="str">
        <f>IFERROR(__xludf.DUMMYFUNCTION("""COMPUTED_VALUE"""),"Partner Management Activities")</f>
        <v>Partner Management Activities</v>
      </c>
      <c r="D5" s="10"/>
      <c r="E5" s="10">
        <f>IFERROR(__xludf.DUMMYFUNCTION("""COMPUTED_VALUE"""),1.0813317258E10)</f>
        <v>10813317258</v>
      </c>
      <c r="F5" s="10">
        <f>IFERROR(__xludf.DUMMYFUNCTION("""COMPUTED_VALUE"""),9.791255941E9)</f>
        <v>9791255941</v>
      </c>
      <c r="G5" s="16" t="str">
        <f>IFERROR(__xludf.DUMMYFUNCTION("""COMPUTED_VALUE"""),"In Progress")</f>
        <v>In Progress</v>
      </c>
      <c r="H5" s="10" t="str">
        <f>IFERROR(__xludf.DUMMYFUNCTION("""COMPUTED_VALUE"""),"Eric Apse")</f>
        <v>Eric Apse</v>
      </c>
      <c r="I5" s="10" t="str">
        <f>IFERROR(__xludf.DUMMYFUNCTION("""COMPUTED_VALUE"""),"Tim Kennedy")</f>
        <v>Tim Kennedy</v>
      </c>
      <c r="J5" s="10" t="str">
        <f>IFERROR(__xludf.DUMMYFUNCTION("""COMPUTED_VALUE"""),"1. Urgent")</f>
        <v>1. Urgent</v>
      </c>
      <c r="K5" s="10" t="str">
        <f>IFERROR(__xludf.DUMMYFUNCTION("""COMPUTED_VALUE"""),"Marketplace")</f>
        <v>Marketplace</v>
      </c>
      <c r="L5" s="11">
        <f>IFERROR(__xludf.DUMMYFUNCTION("""COMPUTED_VALUE"""),45698.0)</f>
        <v>45698</v>
      </c>
      <c r="M5" s="11">
        <f>IFERROR(__xludf.DUMMYFUNCTION("""COMPUTED_VALUE"""),46033.0)</f>
        <v>46033</v>
      </c>
      <c r="N5" s="16"/>
      <c r="O5" s="16"/>
      <c r="P5" s="10"/>
      <c r="Q5" s="10"/>
      <c r="R5" s="10" t="str">
        <f>IFERROR(__xludf.DUMMYFUNCTION("""COMPUTED_VALUE"""),"Partner Management Activities")</f>
        <v>Partner Management Activities</v>
      </c>
      <c r="S5" s="16"/>
      <c r="T5" s="16"/>
      <c r="U5" s="16"/>
      <c r="V5" s="16"/>
      <c r="W5" s="16"/>
      <c r="X5" s="16"/>
      <c r="Y5" s="16"/>
      <c r="Z5" s="16"/>
    </row>
    <row r="6">
      <c r="A6" s="10" t="str">
        <f>IFERROR(__xludf.DUMMYFUNCTION("""COMPUTED_VALUE"""),"test 3")</f>
        <v>test 3</v>
      </c>
      <c r="B6" s="10" t="str">
        <f>IFERROR(__xludf.DUMMYFUNCTION("""COMPUTED_VALUE"""),"Open Items")</f>
        <v>Open Items</v>
      </c>
      <c r="C6" s="10" t="str">
        <f>IFERROR(__xludf.DUMMYFUNCTION("""COMPUTED_VALUE"""),"Partner Management Activities")</f>
        <v>Partner Management Activities</v>
      </c>
      <c r="D6" s="10"/>
      <c r="E6" s="10">
        <f>IFERROR(__xludf.DUMMYFUNCTION("""COMPUTED_VALUE"""),1.0813553846E10)</f>
        <v>10813553846</v>
      </c>
      <c r="F6" s="10">
        <f>IFERROR(__xludf.DUMMYFUNCTION("""COMPUTED_VALUE"""),9.791255941E9)</f>
        <v>9791255941</v>
      </c>
      <c r="G6" s="16" t="str">
        <f>IFERROR(__xludf.DUMMYFUNCTION("""COMPUTED_VALUE"""),"In Progress")</f>
        <v>In Progress</v>
      </c>
      <c r="H6" s="10" t="str">
        <f>IFERROR(__xludf.DUMMYFUNCTION("""COMPUTED_VALUE"""),"Eric Apse")</f>
        <v>Eric Apse</v>
      </c>
      <c r="I6" s="10" t="str">
        <f>IFERROR(__xludf.DUMMYFUNCTION("""COMPUTED_VALUE"""),"Tim Kennedy")</f>
        <v>Tim Kennedy</v>
      </c>
      <c r="J6" s="10" t="str">
        <f>IFERROR(__xludf.DUMMYFUNCTION("""COMPUTED_VALUE"""),"1. Urgent")</f>
        <v>1. Urgent</v>
      </c>
      <c r="K6" s="10" t="str">
        <f>IFERROR(__xludf.DUMMYFUNCTION("""COMPUTED_VALUE"""),"TechAll Marketing")</f>
        <v>TechAll Marketing</v>
      </c>
      <c r="L6" s="11">
        <f>IFERROR(__xludf.DUMMYFUNCTION("""COMPUTED_VALUE"""),45698.0)</f>
        <v>45698</v>
      </c>
      <c r="M6" s="11">
        <f>IFERROR(__xludf.DUMMYFUNCTION("""COMPUTED_VALUE"""),46038.0)</f>
        <v>46038</v>
      </c>
      <c r="N6" s="16"/>
      <c r="O6" s="16"/>
      <c r="P6" s="10"/>
      <c r="Q6" s="10"/>
      <c r="R6" s="10" t="str">
        <f>IFERROR(__xludf.DUMMYFUNCTION("""COMPUTED_VALUE"""),"Partner Management Activities")</f>
        <v>Partner Management Activities</v>
      </c>
      <c r="S6" s="16"/>
      <c r="T6" s="16"/>
      <c r="U6" s="16"/>
      <c r="V6" s="10"/>
      <c r="W6" s="16"/>
      <c r="X6" s="16"/>
      <c r="Y6" s="16"/>
      <c r="Z6" s="16"/>
    </row>
    <row r="7">
      <c r="A7" s="10" t="str">
        <f>IFERROR(__xludf.DUMMYFUNCTION("""COMPUTED_VALUE"""),"test3 new")</f>
        <v>test3 new</v>
      </c>
      <c r="B7" s="10" t="str">
        <f>IFERROR(__xludf.DUMMYFUNCTION("""COMPUTED_VALUE"""),"Open Items")</f>
        <v>Open Items</v>
      </c>
      <c r="C7" s="10" t="str">
        <f>IFERROR(__xludf.DUMMYFUNCTION("""COMPUTED_VALUE"""),"Partner Management Activities")</f>
        <v>Partner Management Activities</v>
      </c>
      <c r="D7" s="10"/>
      <c r="E7" s="10">
        <f>IFERROR(__xludf.DUMMYFUNCTION("""COMPUTED_VALUE"""),1.0813549497E10)</f>
        <v>10813549497</v>
      </c>
      <c r="F7" s="10">
        <f>IFERROR(__xludf.DUMMYFUNCTION("""COMPUTED_VALUE"""),9.791255941E9)</f>
        <v>9791255941</v>
      </c>
      <c r="G7" s="16" t="str">
        <f>IFERROR(__xludf.DUMMYFUNCTION("""COMPUTED_VALUE"""),"Halted")</f>
        <v>Halted</v>
      </c>
      <c r="H7" s="10" t="str">
        <f>IFERROR(__xludf.DUMMYFUNCTION("""COMPUTED_VALUE"""),"Eric Apse")</f>
        <v>Eric Apse</v>
      </c>
      <c r="I7" s="10" t="str">
        <f>IFERROR(__xludf.DUMMYFUNCTION("""COMPUTED_VALUE"""),"Tim Kennedy")</f>
        <v>Tim Kennedy</v>
      </c>
      <c r="J7" s="10" t="str">
        <f>IFERROR(__xludf.DUMMYFUNCTION("""COMPUTED_VALUE"""),"1. Urgent")</f>
        <v>1. Urgent</v>
      </c>
      <c r="K7" s="10" t="str">
        <f>IFERROR(__xludf.DUMMYFUNCTION("""COMPUTED_VALUE"""),"Marketplace")</f>
        <v>Marketplace</v>
      </c>
      <c r="L7" s="11">
        <f>IFERROR(__xludf.DUMMYFUNCTION("""COMPUTED_VALUE"""),45698.0)</f>
        <v>45698</v>
      </c>
      <c r="M7" s="11">
        <f>IFERROR(__xludf.DUMMYFUNCTION("""COMPUTED_VALUE"""),46038.0)</f>
        <v>46038</v>
      </c>
      <c r="N7" s="16"/>
      <c r="O7" s="16"/>
      <c r="P7" s="10"/>
      <c r="Q7" s="10"/>
      <c r="R7" s="10" t="str">
        <f>IFERROR(__xludf.DUMMYFUNCTION("""COMPUTED_VALUE"""),"Partner Management Activities")</f>
        <v>Partner Management Activities</v>
      </c>
      <c r="S7" s="16"/>
      <c r="T7" s="16"/>
      <c r="U7" s="16"/>
      <c r="V7" s="16"/>
      <c r="W7" s="16"/>
      <c r="X7" s="16"/>
      <c r="Y7" s="16"/>
      <c r="Z7" s="16"/>
    </row>
    <row r="8">
      <c r="A8" s="10" t="str">
        <f>IFERROR(__xludf.DUMMYFUNCTION("""COMPUTED_VALUE"""),"tim test")</f>
        <v>tim test</v>
      </c>
      <c r="B8" s="10" t="str">
        <f>IFERROR(__xludf.DUMMYFUNCTION("""COMPUTED_VALUE"""),"Open Items")</f>
        <v>Open Items</v>
      </c>
      <c r="C8" s="10" t="str">
        <f>IFERROR(__xludf.DUMMYFUNCTION("""COMPUTED_VALUE"""),"Partner Management Activities")</f>
        <v>Partner Management Activities</v>
      </c>
      <c r="D8" s="10"/>
      <c r="E8" s="10">
        <f>IFERROR(__xludf.DUMMYFUNCTION("""COMPUTED_VALUE"""),1.0819625182E10)</f>
        <v>10819625182</v>
      </c>
      <c r="F8" s="10">
        <f>IFERROR(__xludf.DUMMYFUNCTION("""COMPUTED_VALUE"""),9.791255941E9)</f>
        <v>9791255941</v>
      </c>
      <c r="G8" s="16" t="str">
        <f>IFERROR(__xludf.DUMMYFUNCTION("""COMPUTED_VALUE"""),"Blockers")</f>
        <v>Blockers</v>
      </c>
      <c r="H8" s="10" t="str">
        <f>IFERROR(__xludf.DUMMYFUNCTION("""COMPUTED_VALUE"""),"Tim Kennedy")</f>
        <v>Tim Kennedy</v>
      </c>
      <c r="I8" s="10" t="str">
        <f>IFERROR(__xludf.DUMMYFUNCTION("""COMPUTED_VALUE"""),"Tim Kennedy")</f>
        <v>Tim Kennedy</v>
      </c>
      <c r="J8" s="10" t="str">
        <f>IFERROR(__xludf.DUMMYFUNCTION("""COMPUTED_VALUE"""),"1. Urgent")</f>
        <v>1. Urgent</v>
      </c>
      <c r="K8" s="10" t="str">
        <f>IFERROR(__xludf.DUMMYFUNCTION("""COMPUTED_VALUE"""),"Partner Management")</f>
        <v>Partner Management</v>
      </c>
      <c r="L8" s="11">
        <f>IFERROR(__xludf.DUMMYFUNCTION("""COMPUTED_VALUE"""),45698.0)</f>
        <v>45698</v>
      </c>
      <c r="M8" s="11">
        <f>IFERROR(__xludf.DUMMYFUNCTION("""COMPUTED_VALUE"""),46029.0)</f>
        <v>46029</v>
      </c>
      <c r="N8" s="16"/>
      <c r="O8" s="16"/>
      <c r="P8" s="10" t="str">
        <f>IFERROR(__xludf.DUMMYFUNCTION("""COMPUTED_VALUE"""),"none")</f>
        <v>none</v>
      </c>
      <c r="Q8" s="10"/>
      <c r="R8" s="10" t="str">
        <f>IFERROR(__xludf.DUMMYFUNCTION("""COMPUTED_VALUE"""),"Partner Management Activities")</f>
        <v>Partner Management Activities</v>
      </c>
      <c r="S8" s="16"/>
      <c r="T8" s="16"/>
      <c r="U8" s="16"/>
      <c r="V8" s="16"/>
      <c r="W8" s="16"/>
      <c r="X8" s="16"/>
      <c r="Y8" s="16"/>
      <c r="Z8" s="16"/>
    </row>
    <row r="9">
      <c r="A9" s="10" t="str">
        <f>IFERROR(__xludf.DUMMYFUNCTION("""COMPUTED_VALUE"""),"test")</f>
        <v>test</v>
      </c>
      <c r="B9" s="10" t="str">
        <f>IFERROR(__xludf.DUMMYFUNCTION("""COMPUTED_VALUE"""),"Open Items")</f>
        <v>Open Items</v>
      </c>
      <c r="C9" s="10" t="str">
        <f>IFERROR(__xludf.DUMMYFUNCTION("""COMPUTED_VALUE"""),"Tech Ops Activities")</f>
        <v>Tech Ops Activities</v>
      </c>
      <c r="D9" s="10"/>
      <c r="E9" s="10">
        <f>IFERROR(__xludf.DUMMYFUNCTION("""COMPUTED_VALUE"""),1.0813055615E10)</f>
        <v>10813055615</v>
      </c>
      <c r="F9" s="10">
        <f>IFERROR(__xludf.DUMMYFUNCTION("""COMPUTED_VALUE"""),9.79127239E9)</f>
        <v>9791272390</v>
      </c>
      <c r="G9" s="16" t="str">
        <f>IFERROR(__xludf.DUMMYFUNCTION("""COMPUTED_VALUE"""),"In Progress")</f>
        <v>In Progress</v>
      </c>
      <c r="H9" s="10" t="str">
        <f>IFERROR(__xludf.DUMMYFUNCTION("""COMPUTED_VALUE"""),"Kayla Page")</f>
        <v>Kayla Page</v>
      </c>
      <c r="I9" s="10" t="str">
        <f>IFERROR(__xludf.DUMMYFUNCTION("""COMPUTED_VALUE"""),"Tim Kennedy")</f>
        <v>Tim Kennedy</v>
      </c>
      <c r="J9" s="10" t="str">
        <f>IFERROR(__xludf.DUMMYFUNCTION("""COMPUTED_VALUE"""),"1. Urgent")</f>
        <v>1. Urgent</v>
      </c>
      <c r="K9" s="10" t="str">
        <f>IFERROR(__xludf.DUMMYFUNCTION("""COMPUTED_VALUE"""),"Validation")</f>
        <v>Validation</v>
      </c>
      <c r="L9" s="11">
        <f>IFERROR(__xludf.DUMMYFUNCTION("""COMPUTED_VALUE"""),45698.0)</f>
        <v>45698</v>
      </c>
      <c r="M9" s="11">
        <f>IFERROR(__xludf.DUMMYFUNCTION("""COMPUTED_VALUE"""),46052.0)</f>
        <v>46052</v>
      </c>
      <c r="N9" s="16"/>
      <c r="O9" s="16"/>
      <c r="P9" s="10" t="str">
        <f>IFERROR(__xludf.DUMMYFUNCTION("""COMPUTED_VALUE"""),"none")</f>
        <v>none</v>
      </c>
      <c r="Q9" s="10"/>
      <c r="R9" s="10" t="str">
        <f>IFERROR(__xludf.DUMMYFUNCTION("""COMPUTED_VALUE"""),"Tech Ops Activities")</f>
        <v>Tech Ops Activities</v>
      </c>
      <c r="S9" s="16"/>
      <c r="T9" s="16"/>
      <c r="U9" s="16"/>
      <c r="V9" s="16"/>
      <c r="W9" s="16"/>
      <c r="X9" s="16"/>
      <c r="Y9" s="16"/>
      <c r="Z9" s="16"/>
    </row>
    <row r="10">
      <c r="A10" s="10" t="str">
        <f>IFERROR(__xludf.DUMMYFUNCTION("""COMPUTED_VALUE"""),"Test")</f>
        <v>Test</v>
      </c>
      <c r="B10" s="10" t="str">
        <f>IFERROR(__xludf.DUMMYFUNCTION("""COMPUTED_VALUE"""),"Open Items")</f>
        <v>Open Items</v>
      </c>
      <c r="C10" s="10" t="str">
        <f>IFERROR(__xludf.DUMMYFUNCTION("""COMPUTED_VALUE"""),"Marketplace Activities")</f>
        <v>Marketplace Activities</v>
      </c>
      <c r="D10" s="10"/>
      <c r="E10" s="10">
        <f>IFERROR(__xludf.DUMMYFUNCTION("""COMPUTED_VALUE"""),1.1092783913E10)</f>
        <v>11092783913</v>
      </c>
      <c r="F10" s="10">
        <f>IFERROR(__xludf.DUMMYFUNCTION("""COMPUTED_VALUE"""),1.837501336E10)</f>
        <v>18375013360</v>
      </c>
      <c r="G10" s="16" t="str">
        <f>IFERROR(__xludf.DUMMYFUNCTION("""COMPUTED_VALUE"""),"In Progress")</f>
        <v>In Progress</v>
      </c>
      <c r="H10" s="10" t="str">
        <f>IFERROR(__xludf.DUMMYFUNCTION("""COMPUTED_VALUE"""),"Richard Pauly")</f>
        <v>Richard Pauly</v>
      </c>
      <c r="I10" s="10" t="str">
        <f>IFERROR(__xludf.DUMMYFUNCTION("""COMPUTED_VALUE"""),"Tim Kennedy")</f>
        <v>Tim Kennedy</v>
      </c>
      <c r="J10" s="10" t="str">
        <f>IFERROR(__xludf.DUMMYFUNCTION("""COMPUTED_VALUE"""),"1. Urgent")</f>
        <v>1. Urgent</v>
      </c>
      <c r="K10" s="10" t="str">
        <f>IFERROR(__xludf.DUMMYFUNCTION("""COMPUTED_VALUE"""),"Partner Management")</f>
        <v>Partner Management</v>
      </c>
      <c r="L10" s="11">
        <f>IFERROR(__xludf.DUMMYFUNCTION("""COMPUTED_VALUE"""),45698.0)</f>
        <v>45698</v>
      </c>
      <c r="M10" s="11">
        <f>IFERROR(__xludf.DUMMYFUNCTION("""COMPUTED_VALUE"""),46052.0)</f>
        <v>46052</v>
      </c>
      <c r="N10" s="16"/>
      <c r="O10" s="16"/>
      <c r="P10" s="10" t="str">
        <f>IFERROR(__xludf.DUMMYFUNCTION("""COMPUTED_VALUE"""),"test")</f>
        <v>test</v>
      </c>
      <c r="Q10" s="10"/>
      <c r="R10" s="10" t="str">
        <f>IFERROR(__xludf.DUMMYFUNCTION("""COMPUTED_VALUE"""),"Marketplace Activities")</f>
        <v>Marketplace Activities</v>
      </c>
      <c r="S10" s="16"/>
      <c r="T10" s="16"/>
      <c r="U10" s="16"/>
      <c r="V10" s="16"/>
      <c r="W10" s="16"/>
      <c r="X10" s="16"/>
      <c r="Y10" s="16"/>
      <c r="Z10" s="16"/>
    </row>
    <row r="11">
      <c r="A11" s="10"/>
      <c r="B11" s="10"/>
      <c r="C11" s="10"/>
      <c r="D11" s="10"/>
      <c r="E11" s="10"/>
      <c r="F11" s="10"/>
      <c r="H11" s="10"/>
      <c r="I11" s="10"/>
      <c r="J11" s="10"/>
      <c r="K11" s="10"/>
      <c r="L11" s="11"/>
      <c r="M11" s="11"/>
      <c r="N11" s="11"/>
      <c r="O11" s="11"/>
      <c r="P11" s="10"/>
      <c r="Q11" s="10"/>
      <c r="R11" s="10"/>
    </row>
    <row r="12">
      <c r="A12" s="10"/>
      <c r="B12" s="10"/>
      <c r="C12" s="10"/>
      <c r="D12" s="10"/>
      <c r="E12" s="10"/>
      <c r="F12" s="10"/>
      <c r="H12" s="10"/>
      <c r="I12" s="10"/>
      <c r="J12" s="10"/>
      <c r="K12" s="10"/>
      <c r="L12" s="11"/>
      <c r="M12" s="11"/>
      <c r="P12" s="10"/>
      <c r="Q12" s="10"/>
      <c r="R12" s="10"/>
    </row>
    <row r="13">
      <c r="A13" s="10"/>
      <c r="B13" s="10"/>
      <c r="C13" s="10"/>
      <c r="D13" s="10"/>
      <c r="E13" s="10"/>
      <c r="F13" s="10"/>
      <c r="H13" s="10"/>
      <c r="I13" s="10"/>
      <c r="J13" s="10"/>
      <c r="K13" s="10"/>
      <c r="L13" s="11"/>
      <c r="M13" s="11"/>
      <c r="N13" s="11"/>
      <c r="O13" s="11"/>
      <c r="P13" s="10"/>
      <c r="Q13" s="10"/>
      <c r="R13" s="10"/>
    </row>
    <row r="15">
      <c r="A15" s="10"/>
      <c r="B15" s="10"/>
      <c r="C15" s="10"/>
      <c r="D15" s="10"/>
      <c r="E15" s="10"/>
      <c r="F15" s="10"/>
      <c r="H15" s="10"/>
      <c r="I15" s="10"/>
      <c r="J15" s="10"/>
      <c r="K15" s="10"/>
      <c r="L15" s="11"/>
      <c r="M15" s="11"/>
      <c r="P15" s="10"/>
      <c r="Q15" s="10"/>
      <c r="R15" s="10"/>
    </row>
    <row r="16">
      <c r="A16" s="10"/>
      <c r="B16" s="10"/>
      <c r="C16" s="10"/>
      <c r="D16" s="10"/>
      <c r="E16" s="10"/>
      <c r="F16" s="10"/>
      <c r="H16" s="10"/>
      <c r="I16" s="10"/>
      <c r="J16" s="10"/>
      <c r="K16" s="10"/>
      <c r="L16" s="11"/>
      <c r="M16" s="11"/>
      <c r="N16" s="11"/>
      <c r="O16" s="11"/>
      <c r="P16" s="10"/>
      <c r="Q16" s="10"/>
      <c r="R16" s="10"/>
      <c r="T16" s="10"/>
    </row>
    <row r="17">
      <c r="A17" s="10"/>
      <c r="B17" s="10"/>
      <c r="C17" s="10"/>
      <c r="D17" s="10"/>
      <c r="E17" s="10"/>
      <c r="F17" s="10"/>
      <c r="H17" s="10"/>
      <c r="I17" s="10"/>
      <c r="J17" s="10"/>
      <c r="K17" s="10"/>
      <c r="L17" s="11"/>
      <c r="M17" s="11"/>
      <c r="P17" s="10"/>
      <c r="Q17" s="10"/>
      <c r="R17" s="10"/>
    </row>
    <row r="28">
      <c r="AA28" s="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9.25"/>
    <col customWidth="1" min="3" max="3" width="16.88"/>
    <col customWidth="1" min="4" max="4" width="11.0"/>
    <col customWidth="1" min="5" max="5" width="12.25"/>
    <col customWidth="1" min="6" max="6" width="11.0"/>
    <col customWidth="1" min="7" max="7" width="11.25"/>
    <col customWidth="1" min="8" max="8" width="10.75"/>
    <col customWidth="1" min="9" max="9" width="10.38"/>
    <col customWidth="1" min="10" max="10" width="9.25"/>
    <col customWidth="1" min="11" max="11" width="16.25"/>
    <col customWidth="1" min="12" max="12" width="10.38"/>
    <col customWidth="1" min="13" max="13" width="9.13"/>
    <col customWidth="1" min="14" max="14" width="14.25"/>
    <col customWidth="1" min="15" max="15" width="4.38"/>
    <col customWidth="1" min="16" max="16" width="13.88"/>
    <col customWidth="1" min="17" max="17" width="7.75"/>
    <col customWidth="1" min="18" max="18" width="16.88"/>
    <col customWidth="1" min="19" max="19" width="13.5"/>
  </cols>
  <sheetData>
    <row r="1">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row>
    <row r="2">
      <c r="A2" s="1" t="s">
        <v>52</v>
      </c>
      <c r="B2" s="1" t="s">
        <v>29</v>
      </c>
      <c r="C2" s="1" t="s">
        <v>687</v>
      </c>
      <c r="E2" s="1">
        <v>1.1092783913E10</v>
      </c>
      <c r="F2" s="1">
        <v>1.837501336E10</v>
      </c>
      <c r="G2" s="1" t="s">
        <v>31</v>
      </c>
      <c r="H2" s="1" t="s">
        <v>54</v>
      </c>
      <c r="I2" s="1" t="s">
        <v>5</v>
      </c>
      <c r="J2" s="1" t="s">
        <v>33</v>
      </c>
      <c r="K2" s="1" t="s">
        <v>37</v>
      </c>
      <c r="L2" s="9">
        <v>45698.0</v>
      </c>
      <c r="M2" s="9">
        <v>46052.0</v>
      </c>
      <c r="P2" s="1" t="s">
        <v>38</v>
      </c>
      <c r="R2" s="1" t="s">
        <v>687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4" max="4" width="18.13"/>
  </cols>
  <sheetData>
    <row r="1">
      <c r="A1" s="1" t="s">
        <v>9</v>
      </c>
      <c r="B1" s="1" t="s">
        <v>10</v>
      </c>
      <c r="C1" s="1" t="s">
        <v>11</v>
      </c>
      <c r="D1" s="1" t="s">
        <v>12</v>
      </c>
      <c r="E1" s="1" t="s">
        <v>13</v>
      </c>
      <c r="F1" s="1" t="s">
        <v>14</v>
      </c>
      <c r="G1" s="1" t="s">
        <v>25</v>
      </c>
      <c r="H1" s="1" t="s">
        <v>55</v>
      </c>
      <c r="I1" s="1" t="s">
        <v>688</v>
      </c>
      <c r="J1" s="1" t="s">
        <v>62</v>
      </c>
      <c r="K1" s="1" t="s">
        <v>72</v>
      </c>
      <c r="L1" s="1" t="s">
        <v>75</v>
      </c>
      <c r="M1" s="1" t="s">
        <v>76</v>
      </c>
      <c r="N1" s="1" t="s">
        <v>89</v>
      </c>
      <c r="O1" s="1" t="s">
        <v>689</v>
      </c>
      <c r="P1" s="1" t="s">
        <v>690</v>
      </c>
      <c r="Q1" s="1" t="s">
        <v>691</v>
      </c>
      <c r="R1" s="1" t="s">
        <v>692</v>
      </c>
      <c r="S1" s="1" t="s">
        <v>693</v>
      </c>
      <c r="T1" s="1" t="s">
        <v>694</v>
      </c>
      <c r="U1" s="1" t="s">
        <v>695</v>
      </c>
      <c r="V1" s="1" t="s">
        <v>696</v>
      </c>
      <c r="W1" s="1" t="s">
        <v>697</v>
      </c>
      <c r="X1" s="1" t="s">
        <v>698</v>
      </c>
      <c r="Y1" s="1" t="s">
        <v>699</v>
      </c>
      <c r="Z1" s="1" t="s">
        <v>116</v>
      </c>
      <c r="AA1" s="1" t="s">
        <v>118</v>
      </c>
      <c r="AB1" s="1" t="s">
        <v>27</v>
      </c>
      <c r="AC1" s="1" t="s">
        <v>700</v>
      </c>
      <c r="AD1" s="1" t="s">
        <v>701</v>
      </c>
      <c r="AE1" s="1" t="s">
        <v>702</v>
      </c>
      <c r="AF1" s="1" t="s">
        <v>703</v>
      </c>
      <c r="AG1" s="1" t="s">
        <v>118</v>
      </c>
      <c r="AH1" s="1" t="s">
        <v>27</v>
      </c>
    </row>
    <row r="2">
      <c r="A2" s="1" t="s">
        <v>704</v>
      </c>
      <c r="B2" s="1" t="s">
        <v>120</v>
      </c>
      <c r="C2" s="1" t="s">
        <v>705</v>
      </c>
      <c r="D2" s="1" t="s">
        <v>122</v>
      </c>
      <c r="E2" s="1">
        <v>9.759595231E9</v>
      </c>
      <c r="F2" s="1">
        <v>9.710279044E9</v>
      </c>
      <c r="H2" s="10"/>
      <c r="I2" s="1" t="s">
        <v>706</v>
      </c>
      <c r="J2" s="1" t="s">
        <v>125</v>
      </c>
      <c r="K2" s="1" t="s">
        <v>127</v>
      </c>
      <c r="L2" s="1" t="s">
        <v>5</v>
      </c>
      <c r="M2" s="1" t="s">
        <v>517</v>
      </c>
      <c r="N2" s="1" t="s">
        <v>37</v>
      </c>
      <c r="O2" s="1">
        <v>20000.0</v>
      </c>
      <c r="P2" s="1" t="s">
        <v>707</v>
      </c>
      <c r="Q2" s="9">
        <v>46280.0</v>
      </c>
      <c r="R2" s="1" t="s">
        <v>708</v>
      </c>
      <c r="S2" s="1" t="s">
        <v>709</v>
      </c>
      <c r="T2" s="1">
        <v>4.0</v>
      </c>
      <c r="U2" s="1">
        <v>300.0</v>
      </c>
      <c r="V2" s="1">
        <v>300.0</v>
      </c>
      <c r="W2" s="1" t="s">
        <v>710</v>
      </c>
      <c r="X2" s="10"/>
      <c r="Y2" s="1" t="s">
        <v>711</v>
      </c>
      <c r="AA2" s="11"/>
      <c r="AB2" s="10"/>
      <c r="AD2" s="10"/>
    </row>
    <row r="3">
      <c r="A3" s="1" t="s">
        <v>712</v>
      </c>
      <c r="B3" s="1" t="s">
        <v>120</v>
      </c>
      <c r="C3" s="1" t="s">
        <v>705</v>
      </c>
      <c r="D3" s="1" t="s">
        <v>122</v>
      </c>
      <c r="E3" s="1">
        <v>9.779348217E9</v>
      </c>
      <c r="F3" s="1">
        <v>9.710279044E9</v>
      </c>
      <c r="H3" s="10"/>
      <c r="I3" s="1" t="s">
        <v>706</v>
      </c>
      <c r="J3" s="1" t="s">
        <v>125</v>
      </c>
      <c r="K3" s="1" t="s">
        <v>713</v>
      </c>
      <c r="L3" s="10"/>
      <c r="M3" s="11"/>
      <c r="N3" s="1" t="s">
        <v>37</v>
      </c>
      <c r="O3" s="1">
        <v>10000.0</v>
      </c>
      <c r="P3" s="11"/>
      <c r="Q3" s="10"/>
      <c r="R3" s="1" t="s">
        <v>708</v>
      </c>
      <c r="S3" s="1" t="s">
        <v>709</v>
      </c>
      <c r="T3" s="10"/>
      <c r="U3" s="10"/>
      <c r="V3" s="10"/>
      <c r="W3" s="10"/>
      <c r="X3" s="11"/>
      <c r="Y3" s="11"/>
      <c r="Z3" s="9">
        <v>45877.0</v>
      </c>
    </row>
    <row r="4">
      <c r="A4" s="1" t="s">
        <v>714</v>
      </c>
      <c r="B4" s="1" t="s">
        <v>120</v>
      </c>
      <c r="C4" s="1" t="s">
        <v>705</v>
      </c>
      <c r="D4" s="1" t="s">
        <v>122</v>
      </c>
      <c r="E4" s="1">
        <v>9.766632601E9</v>
      </c>
      <c r="F4" s="1">
        <v>9.710279044E9</v>
      </c>
      <c r="H4" s="2" t="s">
        <v>715</v>
      </c>
      <c r="I4" s="1" t="s">
        <v>706</v>
      </c>
      <c r="J4" s="1" t="s">
        <v>125</v>
      </c>
      <c r="K4" s="1" t="s">
        <v>713</v>
      </c>
      <c r="L4" s="1" t="s">
        <v>431</v>
      </c>
      <c r="M4" s="1" t="s">
        <v>714</v>
      </c>
      <c r="N4" s="1" t="s">
        <v>37</v>
      </c>
      <c r="O4" s="1">
        <v>14000.0</v>
      </c>
      <c r="P4" s="1" t="s">
        <v>716</v>
      </c>
      <c r="Q4" s="9">
        <v>45753.0</v>
      </c>
      <c r="R4" s="1" t="s">
        <v>708</v>
      </c>
      <c r="S4" s="1" t="s">
        <v>709</v>
      </c>
      <c r="T4" s="1" t="s">
        <v>717</v>
      </c>
      <c r="U4" s="1" t="s">
        <v>718</v>
      </c>
      <c r="V4" s="1">
        <v>300.0</v>
      </c>
      <c r="W4" s="1" t="s">
        <v>710</v>
      </c>
      <c r="X4" s="10"/>
      <c r="Y4" s="1" t="s">
        <v>719</v>
      </c>
      <c r="AA4" s="11"/>
      <c r="AD4" s="10"/>
    </row>
    <row r="5">
      <c r="A5" s="1" t="s">
        <v>720</v>
      </c>
      <c r="B5" s="1" t="s">
        <v>120</v>
      </c>
      <c r="C5" s="1" t="s">
        <v>705</v>
      </c>
      <c r="D5" s="1" t="s">
        <v>122</v>
      </c>
      <c r="E5" s="1">
        <v>9.766632719E9</v>
      </c>
      <c r="F5" s="1">
        <v>9.710279044E9</v>
      </c>
      <c r="H5" s="10"/>
      <c r="I5" s="1" t="s">
        <v>706</v>
      </c>
      <c r="J5" s="1" t="s">
        <v>125</v>
      </c>
      <c r="K5" s="1" t="s">
        <v>713</v>
      </c>
      <c r="L5" s="1" t="s">
        <v>721</v>
      </c>
      <c r="M5" s="11"/>
      <c r="N5" s="1" t="s">
        <v>231</v>
      </c>
      <c r="O5" s="1">
        <v>6050.0</v>
      </c>
      <c r="P5" s="11"/>
      <c r="Q5" s="10"/>
      <c r="R5" s="1" t="s">
        <v>708</v>
      </c>
      <c r="S5" s="1" t="s">
        <v>709</v>
      </c>
      <c r="T5" s="10"/>
      <c r="U5" s="10"/>
      <c r="V5" s="10"/>
      <c r="W5" s="10"/>
      <c r="Y5" s="11"/>
      <c r="AA5" s="11"/>
      <c r="AB5" s="10"/>
      <c r="AD5" s="10"/>
    </row>
    <row r="6">
      <c r="A6" s="1" t="s">
        <v>722</v>
      </c>
      <c r="B6" s="1" t="s">
        <v>120</v>
      </c>
      <c r="C6" s="1" t="s">
        <v>705</v>
      </c>
      <c r="D6" s="1" t="s">
        <v>122</v>
      </c>
      <c r="E6" s="1">
        <v>9.766632803E9</v>
      </c>
      <c r="F6" s="1">
        <v>9.710279044E9</v>
      </c>
      <c r="I6" s="1" t="s">
        <v>706</v>
      </c>
      <c r="J6" s="1" t="s">
        <v>125</v>
      </c>
      <c r="K6" s="1" t="s">
        <v>713</v>
      </c>
      <c r="L6" s="1" t="s">
        <v>32</v>
      </c>
      <c r="M6" s="11"/>
      <c r="N6" s="1" t="s">
        <v>231</v>
      </c>
      <c r="O6" s="1">
        <v>25000.0</v>
      </c>
      <c r="P6" s="17">
        <v>40368.0</v>
      </c>
      <c r="Q6" s="9">
        <v>45847.0</v>
      </c>
      <c r="R6" s="1" t="s">
        <v>708</v>
      </c>
      <c r="S6" s="1" t="s">
        <v>709</v>
      </c>
      <c r="Y6" s="11"/>
      <c r="AA6" s="11"/>
      <c r="AB6" s="10"/>
      <c r="AD6" s="10"/>
    </row>
    <row r="7">
      <c r="A7" s="1" t="s">
        <v>723</v>
      </c>
      <c r="B7" s="1" t="s">
        <v>120</v>
      </c>
      <c r="C7" s="1" t="s">
        <v>705</v>
      </c>
      <c r="D7" s="1" t="s">
        <v>122</v>
      </c>
      <c r="E7" s="1">
        <v>9.766632873E9</v>
      </c>
      <c r="F7" s="1">
        <v>9.710279044E9</v>
      </c>
      <c r="H7" s="10"/>
      <c r="I7" s="1" t="s">
        <v>706</v>
      </c>
      <c r="J7" s="1" t="s">
        <v>125</v>
      </c>
      <c r="K7" s="1" t="s">
        <v>713</v>
      </c>
      <c r="L7" s="1" t="s">
        <v>721</v>
      </c>
      <c r="M7" s="1" t="s">
        <v>724</v>
      </c>
      <c r="N7" s="1" t="s">
        <v>37</v>
      </c>
      <c r="O7" s="1">
        <v>22000.0</v>
      </c>
      <c r="P7" s="11"/>
      <c r="Q7" s="10"/>
      <c r="R7" s="1" t="s">
        <v>708</v>
      </c>
      <c r="S7" s="1" t="s">
        <v>709</v>
      </c>
      <c r="Y7" s="11"/>
      <c r="AA7" s="11"/>
      <c r="AB7" s="10"/>
      <c r="AD7" s="10"/>
    </row>
    <row r="8">
      <c r="A8" s="1" t="s">
        <v>725</v>
      </c>
      <c r="B8" s="1" t="s">
        <v>120</v>
      </c>
      <c r="C8" s="1" t="s">
        <v>705</v>
      </c>
      <c r="D8" s="1" t="s">
        <v>122</v>
      </c>
      <c r="E8" s="1">
        <v>9.766632936E9</v>
      </c>
      <c r="F8" s="1">
        <v>9.710279044E9</v>
      </c>
      <c r="H8" s="10"/>
      <c r="I8" s="1" t="s">
        <v>706</v>
      </c>
      <c r="J8" s="1" t="s">
        <v>125</v>
      </c>
      <c r="K8" s="1" t="s">
        <v>713</v>
      </c>
      <c r="L8" s="10"/>
      <c r="M8" s="11"/>
      <c r="N8" s="10"/>
      <c r="O8" s="1">
        <v>0.0</v>
      </c>
      <c r="P8" s="11"/>
      <c r="Q8" s="10"/>
      <c r="R8" s="1" t="s">
        <v>708</v>
      </c>
      <c r="S8" s="1" t="s">
        <v>709</v>
      </c>
      <c r="Y8" s="11"/>
      <c r="AB8" s="10"/>
    </row>
    <row r="9">
      <c r="A9" s="1" t="s">
        <v>726</v>
      </c>
      <c r="B9" s="1" t="s">
        <v>120</v>
      </c>
      <c r="C9" s="1" t="s">
        <v>705</v>
      </c>
      <c r="D9" s="1" t="s">
        <v>122</v>
      </c>
      <c r="E9" s="1">
        <v>9.766633017E9</v>
      </c>
      <c r="F9" s="1">
        <v>9.710279044E9</v>
      </c>
      <c r="H9" s="1" t="s">
        <v>727</v>
      </c>
      <c r="I9" s="1" t="s">
        <v>706</v>
      </c>
      <c r="J9" s="1" t="s">
        <v>125</v>
      </c>
      <c r="K9" s="1" t="s">
        <v>713</v>
      </c>
      <c r="L9" s="1" t="s">
        <v>5</v>
      </c>
      <c r="M9" s="1" t="s">
        <v>281</v>
      </c>
      <c r="N9" s="1" t="s">
        <v>37</v>
      </c>
      <c r="O9" s="1">
        <v>5000.0</v>
      </c>
      <c r="P9" s="1" t="s">
        <v>728</v>
      </c>
      <c r="Q9" s="9">
        <v>45973.0</v>
      </c>
      <c r="R9" s="1" t="s">
        <v>708</v>
      </c>
      <c r="S9" s="1" t="s">
        <v>709</v>
      </c>
      <c r="T9" s="10"/>
      <c r="U9" s="10"/>
      <c r="V9" s="10"/>
      <c r="W9" s="10"/>
      <c r="AA9" s="11"/>
      <c r="AB9" s="11"/>
      <c r="AD9" s="10"/>
      <c r="AE9" s="10"/>
    </row>
    <row r="10">
      <c r="A10" s="1" t="s">
        <v>729</v>
      </c>
      <c r="B10" s="1" t="s">
        <v>120</v>
      </c>
      <c r="C10" s="1" t="s">
        <v>705</v>
      </c>
      <c r="D10" s="1" t="s">
        <v>122</v>
      </c>
      <c r="E10" s="1">
        <v>9.766633088E9</v>
      </c>
      <c r="F10" s="1">
        <v>9.710279044E9</v>
      </c>
      <c r="H10" s="1" t="s">
        <v>510</v>
      </c>
      <c r="I10" s="1" t="s">
        <v>706</v>
      </c>
      <c r="J10" s="1" t="s">
        <v>125</v>
      </c>
      <c r="K10" s="1" t="s">
        <v>713</v>
      </c>
      <c r="L10" s="1" t="s">
        <v>5</v>
      </c>
      <c r="M10" s="1" t="s">
        <v>510</v>
      </c>
      <c r="N10" s="1" t="s">
        <v>37</v>
      </c>
      <c r="O10" s="1">
        <v>16000.0</v>
      </c>
      <c r="P10" s="1" t="s">
        <v>730</v>
      </c>
      <c r="Q10" s="9">
        <v>45739.0</v>
      </c>
      <c r="R10" s="1" t="s">
        <v>708</v>
      </c>
      <c r="S10" s="1" t="s">
        <v>709</v>
      </c>
      <c r="T10" s="10"/>
      <c r="U10" s="1" t="s">
        <v>731</v>
      </c>
      <c r="V10" s="1">
        <v>1200.0</v>
      </c>
      <c r="W10" s="1" t="s">
        <v>732</v>
      </c>
      <c r="X10" s="10"/>
      <c r="Y10" s="1" t="s">
        <v>733</v>
      </c>
      <c r="Z10" s="11"/>
      <c r="AB10" s="10"/>
      <c r="AC10" s="10"/>
    </row>
    <row r="11">
      <c r="A11" s="1" t="s">
        <v>734</v>
      </c>
      <c r="B11" s="1" t="s">
        <v>120</v>
      </c>
      <c r="C11" s="1" t="s">
        <v>705</v>
      </c>
      <c r="D11" s="1" t="s">
        <v>122</v>
      </c>
      <c r="E11" s="1">
        <v>9.766633185E9</v>
      </c>
      <c r="F11" s="1">
        <v>9.710279044E9</v>
      </c>
      <c r="H11" s="10"/>
      <c r="I11" s="1" t="s">
        <v>706</v>
      </c>
      <c r="J11" s="1" t="s">
        <v>125</v>
      </c>
      <c r="K11" s="1" t="s">
        <v>713</v>
      </c>
      <c r="L11" s="10"/>
      <c r="M11" s="11"/>
      <c r="N11" s="1" t="s">
        <v>42</v>
      </c>
      <c r="O11" s="1">
        <v>80000.0</v>
      </c>
      <c r="P11" s="11"/>
      <c r="Q11" s="10"/>
      <c r="R11" s="1" t="s">
        <v>708</v>
      </c>
      <c r="S11" s="1" t="s">
        <v>709</v>
      </c>
      <c r="T11" s="10"/>
      <c r="U11" s="10"/>
      <c r="V11" s="10"/>
      <c r="W11" s="10"/>
      <c r="AA11" s="11"/>
      <c r="AB11" s="11"/>
      <c r="AD11" s="10"/>
      <c r="AE11" s="10"/>
    </row>
    <row r="12">
      <c r="A12" s="1" t="s">
        <v>517</v>
      </c>
      <c r="B12" s="1" t="s">
        <v>120</v>
      </c>
      <c r="C12" s="1" t="s">
        <v>705</v>
      </c>
      <c r="D12" s="1" t="s">
        <v>122</v>
      </c>
      <c r="E12" s="1">
        <v>9.766633269E9</v>
      </c>
      <c r="F12" s="1">
        <v>9.710279044E9</v>
      </c>
      <c r="H12" s="2" t="s">
        <v>735</v>
      </c>
      <c r="I12" s="1" t="s">
        <v>706</v>
      </c>
      <c r="J12" s="1" t="s">
        <v>125</v>
      </c>
      <c r="K12" s="1" t="s">
        <v>713</v>
      </c>
      <c r="L12" s="1" t="s">
        <v>5</v>
      </c>
      <c r="M12" s="1" t="s">
        <v>517</v>
      </c>
      <c r="N12" s="1" t="s">
        <v>37</v>
      </c>
      <c r="O12" s="1">
        <v>25000.0</v>
      </c>
      <c r="P12" s="1" t="s">
        <v>736</v>
      </c>
      <c r="Q12" s="9">
        <v>45925.0</v>
      </c>
      <c r="R12" s="1" t="s">
        <v>708</v>
      </c>
      <c r="S12" s="1" t="s">
        <v>709</v>
      </c>
      <c r="T12" s="10"/>
      <c r="U12" s="1" t="s">
        <v>737</v>
      </c>
      <c r="V12" s="1">
        <v>500.0</v>
      </c>
      <c r="W12" s="1" t="s">
        <v>738</v>
      </c>
      <c r="X12" s="10"/>
      <c r="Y12" s="1" t="s">
        <v>739</v>
      </c>
      <c r="Z12" s="11"/>
      <c r="AA12" s="11"/>
      <c r="AB12" s="10"/>
      <c r="AC12" s="10"/>
    </row>
    <row r="13">
      <c r="A13" s="1" t="s">
        <v>740</v>
      </c>
      <c r="B13" s="1" t="s">
        <v>120</v>
      </c>
      <c r="C13" s="1" t="s">
        <v>705</v>
      </c>
      <c r="D13" s="1" t="s">
        <v>122</v>
      </c>
      <c r="E13" s="1">
        <v>9.766633364E9</v>
      </c>
      <c r="F13" s="1">
        <v>9.710279044E9</v>
      </c>
      <c r="H13" s="10"/>
      <c r="I13" s="1" t="s">
        <v>741</v>
      </c>
      <c r="J13" s="1" t="s">
        <v>125</v>
      </c>
      <c r="K13" s="1" t="s">
        <v>713</v>
      </c>
      <c r="L13" s="1" t="s">
        <v>5</v>
      </c>
      <c r="M13" s="1" t="s">
        <v>271</v>
      </c>
      <c r="N13" s="1" t="s">
        <v>37</v>
      </c>
      <c r="O13" s="1">
        <v>0.0</v>
      </c>
      <c r="P13" s="1" t="s">
        <v>742</v>
      </c>
      <c r="Q13" s="9">
        <v>45809.0</v>
      </c>
      <c r="R13" s="1" t="s">
        <v>708</v>
      </c>
      <c r="S13" s="1" t="s">
        <v>709</v>
      </c>
      <c r="T13" s="10"/>
      <c r="U13" s="10"/>
      <c r="V13" s="1">
        <v>500.0</v>
      </c>
      <c r="W13" s="1" t="s">
        <v>710</v>
      </c>
      <c r="X13" s="10"/>
      <c r="Y13" s="1" t="s">
        <v>124</v>
      </c>
      <c r="AC13" s="11"/>
    </row>
    <row r="14">
      <c r="A14" s="1" t="s">
        <v>743</v>
      </c>
      <c r="B14" s="1" t="s">
        <v>120</v>
      </c>
      <c r="C14" s="1" t="s">
        <v>705</v>
      </c>
      <c r="D14" s="1" t="s">
        <v>122</v>
      </c>
      <c r="E14" s="1">
        <v>9.766633444E9</v>
      </c>
      <c r="F14" s="1">
        <v>9.710279044E9</v>
      </c>
      <c r="H14" s="10"/>
      <c r="I14" s="1" t="s">
        <v>706</v>
      </c>
      <c r="J14" s="1" t="s">
        <v>125</v>
      </c>
      <c r="K14" s="1" t="s">
        <v>713</v>
      </c>
      <c r="L14" s="1" t="s">
        <v>32</v>
      </c>
      <c r="M14" s="11"/>
      <c r="N14" s="1" t="s">
        <v>231</v>
      </c>
      <c r="O14" s="1">
        <v>20000.0</v>
      </c>
      <c r="P14" s="1" t="s">
        <v>744</v>
      </c>
      <c r="Q14" s="9">
        <v>45834.0</v>
      </c>
      <c r="R14" s="1" t="s">
        <v>708</v>
      </c>
      <c r="S14" s="1" t="s">
        <v>709</v>
      </c>
      <c r="U14" s="10"/>
      <c r="V14" s="10"/>
      <c r="W14" s="10"/>
      <c r="AA14" s="11"/>
    </row>
    <row r="15">
      <c r="A15" s="1" t="s">
        <v>745</v>
      </c>
      <c r="B15" s="1" t="s">
        <v>120</v>
      </c>
      <c r="C15" s="1" t="s">
        <v>705</v>
      </c>
      <c r="D15" s="1" t="s">
        <v>122</v>
      </c>
      <c r="E15" s="1">
        <v>9.766633524E9</v>
      </c>
      <c r="F15" s="1">
        <v>9.710279044E9</v>
      </c>
      <c r="H15" s="10"/>
      <c r="I15" s="1" t="s">
        <v>706</v>
      </c>
      <c r="J15" s="1" t="s">
        <v>125</v>
      </c>
      <c r="K15" s="1" t="s">
        <v>713</v>
      </c>
      <c r="L15" s="10"/>
      <c r="M15" s="11"/>
      <c r="N15" s="1" t="s">
        <v>231</v>
      </c>
      <c r="O15" s="1">
        <v>0.0</v>
      </c>
      <c r="P15" s="11"/>
      <c r="Q15" s="10"/>
      <c r="R15" s="1" t="s">
        <v>708</v>
      </c>
      <c r="S15" s="1" t="s">
        <v>709</v>
      </c>
      <c r="T15" s="10"/>
      <c r="U15" s="10"/>
      <c r="V15" s="10"/>
      <c r="W15" s="10"/>
      <c r="AB15" s="11"/>
      <c r="AC15" s="11"/>
      <c r="AE15" s="10"/>
    </row>
    <row r="16">
      <c r="A16" s="1" t="s">
        <v>746</v>
      </c>
      <c r="B16" s="1" t="s">
        <v>120</v>
      </c>
      <c r="C16" s="1" t="s">
        <v>705</v>
      </c>
      <c r="D16" s="1" t="s">
        <v>122</v>
      </c>
      <c r="E16" s="1">
        <v>9.766633594E9</v>
      </c>
      <c r="F16" s="1">
        <v>9.710279044E9</v>
      </c>
      <c r="H16" s="2" t="s">
        <v>747</v>
      </c>
      <c r="I16" s="1" t="s">
        <v>706</v>
      </c>
      <c r="J16" s="1" t="s">
        <v>125</v>
      </c>
      <c r="K16" s="1" t="s">
        <v>713</v>
      </c>
      <c r="L16" s="1" t="s">
        <v>748</v>
      </c>
      <c r="M16" s="1" t="s">
        <v>521</v>
      </c>
      <c r="N16" s="1" t="s">
        <v>37</v>
      </c>
      <c r="O16" s="1">
        <v>5000.0</v>
      </c>
      <c r="P16" s="1" t="s">
        <v>749</v>
      </c>
      <c r="Q16" s="9">
        <v>45722.0</v>
      </c>
      <c r="R16" s="1" t="s">
        <v>708</v>
      </c>
      <c r="S16" s="1" t="s">
        <v>709</v>
      </c>
      <c r="T16" s="1" t="s">
        <v>750</v>
      </c>
      <c r="U16" s="1" t="s">
        <v>751</v>
      </c>
      <c r="V16" s="1" t="s">
        <v>752</v>
      </c>
      <c r="W16" s="1" t="s">
        <v>753</v>
      </c>
      <c r="X16" s="10"/>
      <c r="Y16" s="1" t="s">
        <v>754</v>
      </c>
      <c r="Z16" s="11"/>
      <c r="AA16" s="11"/>
      <c r="AC16" s="10"/>
    </row>
    <row r="17">
      <c r="A17" s="1" t="s">
        <v>746</v>
      </c>
      <c r="B17" s="1" t="s">
        <v>120</v>
      </c>
      <c r="C17" s="1" t="s">
        <v>705</v>
      </c>
      <c r="D17" s="1" t="s">
        <v>122</v>
      </c>
      <c r="E17" s="1">
        <v>9.766633661E9</v>
      </c>
      <c r="F17" s="1">
        <v>9.710279044E9</v>
      </c>
      <c r="H17" s="2" t="s">
        <v>755</v>
      </c>
      <c r="I17" s="1" t="s">
        <v>706</v>
      </c>
      <c r="J17" s="1" t="s">
        <v>125</v>
      </c>
      <c r="K17" s="1" t="s">
        <v>713</v>
      </c>
      <c r="L17" s="1" t="s">
        <v>748</v>
      </c>
      <c r="M17" s="1" t="s">
        <v>521</v>
      </c>
      <c r="N17" s="1" t="s">
        <v>37</v>
      </c>
      <c r="O17" s="1">
        <v>5000.0</v>
      </c>
      <c r="P17" s="1" t="s">
        <v>756</v>
      </c>
      <c r="Q17" s="9">
        <v>45789.0</v>
      </c>
      <c r="R17" s="1" t="s">
        <v>708</v>
      </c>
      <c r="S17" s="1" t="s">
        <v>709</v>
      </c>
      <c r="T17" s="1" t="s">
        <v>750</v>
      </c>
      <c r="U17" s="1" t="s">
        <v>751</v>
      </c>
      <c r="V17" s="1" t="s">
        <v>752</v>
      </c>
      <c r="W17" s="1" t="s">
        <v>753</v>
      </c>
      <c r="X17" s="10"/>
      <c r="Y17" s="1" t="s">
        <v>754</v>
      </c>
    </row>
    <row r="18">
      <c r="A18" s="1" t="s">
        <v>746</v>
      </c>
      <c r="B18" s="1" t="s">
        <v>120</v>
      </c>
      <c r="C18" s="1" t="s">
        <v>705</v>
      </c>
      <c r="D18" s="1" t="s">
        <v>122</v>
      </c>
      <c r="E18" s="1">
        <v>9.766633725E9</v>
      </c>
      <c r="F18" s="1">
        <v>9.710279044E9</v>
      </c>
      <c r="H18" s="10"/>
      <c r="I18" s="1" t="s">
        <v>706</v>
      </c>
      <c r="J18" s="1" t="s">
        <v>125</v>
      </c>
      <c r="K18" s="1" t="s">
        <v>713</v>
      </c>
      <c r="L18" s="1" t="s">
        <v>748</v>
      </c>
      <c r="M18" s="1" t="s">
        <v>521</v>
      </c>
      <c r="N18" s="1" t="s">
        <v>37</v>
      </c>
      <c r="O18" s="1">
        <v>5000.0</v>
      </c>
      <c r="P18" s="1" t="s">
        <v>757</v>
      </c>
      <c r="Q18" s="10"/>
      <c r="R18" s="1" t="s">
        <v>708</v>
      </c>
      <c r="S18" s="1" t="s">
        <v>709</v>
      </c>
      <c r="T18" s="1" t="s">
        <v>750</v>
      </c>
      <c r="U18" s="1" t="s">
        <v>751</v>
      </c>
      <c r="V18" s="1" t="s">
        <v>758</v>
      </c>
      <c r="W18" s="10"/>
      <c r="AA18" s="11"/>
    </row>
    <row r="19">
      <c r="A19" s="1" t="s">
        <v>759</v>
      </c>
      <c r="B19" s="1" t="s">
        <v>120</v>
      </c>
      <c r="C19" s="1" t="s">
        <v>705</v>
      </c>
      <c r="D19" s="1" t="s">
        <v>122</v>
      </c>
      <c r="E19" s="1">
        <v>9.766633791E9</v>
      </c>
      <c r="F19" s="1">
        <v>9.710279044E9</v>
      </c>
      <c r="H19" s="10"/>
      <c r="I19" s="1" t="s">
        <v>706</v>
      </c>
      <c r="J19" s="1" t="s">
        <v>125</v>
      </c>
      <c r="K19" s="1" t="s">
        <v>713</v>
      </c>
      <c r="L19" s="10"/>
      <c r="M19" s="11"/>
      <c r="N19" s="1" t="s">
        <v>231</v>
      </c>
      <c r="O19" s="1">
        <v>0.0</v>
      </c>
      <c r="P19" s="11"/>
      <c r="Q19" s="9">
        <v>45736.0</v>
      </c>
      <c r="R19" s="1" t="s">
        <v>708</v>
      </c>
      <c r="S19" s="1" t="s">
        <v>709</v>
      </c>
      <c r="T19" s="10"/>
      <c r="U19" s="10"/>
      <c r="Y19" s="11"/>
      <c r="AB19" s="11"/>
      <c r="AC19" s="11"/>
      <c r="AE19" s="10"/>
    </row>
    <row r="20">
      <c r="A20" s="1" t="s">
        <v>760</v>
      </c>
      <c r="B20" s="1" t="s">
        <v>120</v>
      </c>
      <c r="C20" s="1" t="s">
        <v>705</v>
      </c>
      <c r="D20" s="1" t="s">
        <v>122</v>
      </c>
      <c r="E20" s="1">
        <v>9.766633845E9</v>
      </c>
      <c r="F20" s="1">
        <v>9.710279044E9</v>
      </c>
      <c r="H20" s="10"/>
      <c r="I20" s="1" t="s">
        <v>706</v>
      </c>
      <c r="J20" s="1" t="s">
        <v>125</v>
      </c>
      <c r="K20" s="1" t="s">
        <v>713</v>
      </c>
      <c r="L20" s="1" t="s">
        <v>748</v>
      </c>
      <c r="M20" s="1" t="s">
        <v>462</v>
      </c>
      <c r="N20" s="1" t="s">
        <v>37</v>
      </c>
      <c r="O20" s="1">
        <v>5000.0</v>
      </c>
      <c r="P20" s="1" t="s">
        <v>761</v>
      </c>
      <c r="Q20" s="10"/>
      <c r="R20" s="1" t="s">
        <v>708</v>
      </c>
      <c r="S20" s="1" t="s">
        <v>709</v>
      </c>
      <c r="T20" s="10"/>
      <c r="U20" s="10"/>
      <c r="V20" s="10"/>
      <c r="W20" s="10"/>
      <c r="Z20" s="11"/>
      <c r="AA20" s="11"/>
      <c r="AC20" s="10"/>
    </row>
    <row r="21">
      <c r="A21" s="1" t="s">
        <v>762</v>
      </c>
      <c r="B21" s="1" t="s">
        <v>120</v>
      </c>
      <c r="C21" s="1" t="s">
        <v>705</v>
      </c>
      <c r="D21" s="1" t="s">
        <v>122</v>
      </c>
      <c r="E21" s="1">
        <v>9.766633917E9</v>
      </c>
      <c r="F21" s="1">
        <v>9.710279044E9</v>
      </c>
      <c r="H21" s="2" t="s">
        <v>763</v>
      </c>
      <c r="I21" s="1" t="s">
        <v>706</v>
      </c>
      <c r="J21" s="1" t="s">
        <v>125</v>
      </c>
      <c r="K21" s="1" t="s">
        <v>713</v>
      </c>
      <c r="L21" s="1" t="s">
        <v>748</v>
      </c>
      <c r="M21" s="1" t="s">
        <v>462</v>
      </c>
      <c r="N21" s="1" t="s">
        <v>37</v>
      </c>
      <c r="O21" s="1">
        <v>20000.0</v>
      </c>
      <c r="P21" s="1" t="s">
        <v>764</v>
      </c>
      <c r="Q21" s="9">
        <v>45908.0</v>
      </c>
      <c r="R21" s="1" t="s">
        <v>708</v>
      </c>
      <c r="S21" s="1" t="s">
        <v>709</v>
      </c>
      <c r="T21" s="10"/>
      <c r="U21" s="1" t="s">
        <v>751</v>
      </c>
      <c r="V21" s="1" t="s">
        <v>765</v>
      </c>
      <c r="W21" s="1" t="s">
        <v>766</v>
      </c>
      <c r="X21" s="10"/>
      <c r="Y21" s="1" t="s">
        <v>767</v>
      </c>
      <c r="AB21" s="11"/>
    </row>
    <row r="22">
      <c r="A22" s="1" t="s">
        <v>768</v>
      </c>
      <c r="B22" s="1" t="s">
        <v>120</v>
      </c>
      <c r="C22" s="1" t="s">
        <v>705</v>
      </c>
      <c r="D22" s="1" t="s">
        <v>122</v>
      </c>
      <c r="E22" s="1">
        <v>9.766633969E9</v>
      </c>
      <c r="F22" s="1">
        <v>9.710279044E9</v>
      </c>
      <c r="H22" s="10"/>
      <c r="I22" s="1" t="s">
        <v>706</v>
      </c>
      <c r="J22" s="1" t="s">
        <v>125</v>
      </c>
      <c r="K22" s="1" t="s">
        <v>713</v>
      </c>
      <c r="L22" s="1" t="s">
        <v>32</v>
      </c>
      <c r="M22" s="10"/>
      <c r="N22" s="1" t="s">
        <v>37</v>
      </c>
      <c r="O22" s="1">
        <v>30000.0</v>
      </c>
      <c r="P22" s="11"/>
      <c r="Q22" s="10"/>
      <c r="R22" s="1" t="s">
        <v>708</v>
      </c>
      <c r="S22" s="1" t="s">
        <v>709</v>
      </c>
      <c r="T22" s="10"/>
      <c r="U22" s="10"/>
      <c r="V22" s="10"/>
      <c r="W22" s="10"/>
      <c r="Z22" s="11"/>
    </row>
    <row r="23">
      <c r="A23" s="1" t="s">
        <v>769</v>
      </c>
      <c r="B23" s="1" t="s">
        <v>120</v>
      </c>
      <c r="C23" s="1" t="s">
        <v>705</v>
      </c>
      <c r="D23" s="1" t="s">
        <v>122</v>
      </c>
      <c r="E23" s="1">
        <v>9.76663406E9</v>
      </c>
      <c r="F23" s="1">
        <v>9.710279044E9</v>
      </c>
      <c r="I23" s="1" t="s">
        <v>706</v>
      </c>
      <c r="J23" s="1" t="s">
        <v>125</v>
      </c>
      <c r="K23" s="1" t="s">
        <v>713</v>
      </c>
      <c r="L23" s="1" t="s">
        <v>32</v>
      </c>
      <c r="M23" s="10"/>
      <c r="N23" s="1" t="s">
        <v>37</v>
      </c>
      <c r="O23" s="1">
        <v>5000.0</v>
      </c>
      <c r="Q23" s="10"/>
      <c r="R23" s="1" t="s">
        <v>708</v>
      </c>
      <c r="S23" s="1" t="s">
        <v>709</v>
      </c>
    </row>
    <row r="24">
      <c r="A24" s="1" t="s">
        <v>770</v>
      </c>
      <c r="B24" s="1" t="s">
        <v>120</v>
      </c>
      <c r="C24" s="1" t="s">
        <v>705</v>
      </c>
      <c r="D24" s="1" t="s">
        <v>122</v>
      </c>
      <c r="E24" s="1">
        <v>9.766632612E9</v>
      </c>
      <c r="F24" s="1">
        <v>9.710279044E9</v>
      </c>
      <c r="I24" s="1" t="s">
        <v>706</v>
      </c>
      <c r="J24" s="1" t="s">
        <v>125</v>
      </c>
      <c r="K24" s="1" t="s">
        <v>713</v>
      </c>
      <c r="L24" s="10"/>
      <c r="M24" s="10"/>
      <c r="N24" s="1" t="s">
        <v>231</v>
      </c>
      <c r="Q24" s="10"/>
      <c r="R24" s="1" t="s">
        <v>708</v>
      </c>
      <c r="S24" s="1" t="s">
        <v>709</v>
      </c>
    </row>
    <row r="25">
      <c r="A25" s="1" t="s">
        <v>771</v>
      </c>
      <c r="B25" s="1" t="s">
        <v>120</v>
      </c>
      <c r="C25" s="1" t="s">
        <v>705</v>
      </c>
      <c r="D25" s="1" t="s">
        <v>122</v>
      </c>
      <c r="E25" s="1">
        <v>9.766632692E9</v>
      </c>
      <c r="F25" s="1">
        <v>9.710279044E9</v>
      </c>
      <c r="I25" s="1" t="s">
        <v>706</v>
      </c>
      <c r="J25" s="1" t="s">
        <v>125</v>
      </c>
      <c r="K25" s="1" t="s">
        <v>713</v>
      </c>
      <c r="L25" s="1" t="s">
        <v>32</v>
      </c>
      <c r="M25" s="10"/>
      <c r="N25" s="1" t="s">
        <v>231</v>
      </c>
      <c r="O25" s="18"/>
      <c r="P25" s="11"/>
      <c r="Q25" s="10"/>
      <c r="R25" s="1" t="s">
        <v>708</v>
      </c>
      <c r="S25" s="1" t="s">
        <v>709</v>
      </c>
    </row>
    <row r="26">
      <c r="A26" s="1" t="s">
        <v>772</v>
      </c>
      <c r="B26" s="1" t="s">
        <v>120</v>
      </c>
      <c r="C26" s="1" t="s">
        <v>705</v>
      </c>
      <c r="D26" s="1" t="s">
        <v>122</v>
      </c>
      <c r="E26" s="1">
        <v>9.766632771E9</v>
      </c>
      <c r="F26" s="1">
        <v>9.710279044E9</v>
      </c>
      <c r="H26" s="10"/>
      <c r="I26" s="1" t="s">
        <v>706</v>
      </c>
      <c r="J26" s="1" t="s">
        <v>125</v>
      </c>
      <c r="K26" s="1" t="s">
        <v>713</v>
      </c>
      <c r="L26" s="1" t="s">
        <v>504</v>
      </c>
      <c r="M26" s="10"/>
      <c r="N26" s="1" t="s">
        <v>37</v>
      </c>
      <c r="O26" s="1">
        <v>15000.0</v>
      </c>
      <c r="P26" s="19">
        <v>46249.791666666664</v>
      </c>
      <c r="Q26" s="9">
        <v>45884.0</v>
      </c>
      <c r="R26" s="1" t="s">
        <v>708</v>
      </c>
      <c r="S26" s="1" t="s">
        <v>709</v>
      </c>
      <c r="T26" s="1" t="s">
        <v>773</v>
      </c>
    </row>
    <row r="27">
      <c r="A27" s="1" t="s">
        <v>774</v>
      </c>
      <c r="B27" s="1" t="s">
        <v>120</v>
      </c>
      <c r="C27" s="1" t="s">
        <v>705</v>
      </c>
      <c r="D27" s="1" t="s">
        <v>122</v>
      </c>
      <c r="E27" s="1">
        <v>9.766632892E9</v>
      </c>
      <c r="F27" s="1">
        <v>9.710279044E9</v>
      </c>
      <c r="H27" s="2" t="s">
        <v>775</v>
      </c>
      <c r="I27" s="1" t="s">
        <v>706</v>
      </c>
      <c r="J27" s="1" t="s">
        <v>125</v>
      </c>
      <c r="K27" s="1" t="s">
        <v>713</v>
      </c>
      <c r="L27" s="1" t="s">
        <v>776</v>
      </c>
      <c r="M27" s="10"/>
      <c r="N27" s="1" t="s">
        <v>231</v>
      </c>
      <c r="O27" s="1">
        <v>44295.0</v>
      </c>
      <c r="P27" s="1" t="s">
        <v>777</v>
      </c>
      <c r="Q27" s="9">
        <v>45945.0</v>
      </c>
      <c r="R27" s="1" t="s">
        <v>708</v>
      </c>
      <c r="S27" s="1" t="s">
        <v>709</v>
      </c>
      <c r="T27" s="1" t="s">
        <v>778</v>
      </c>
    </row>
    <row r="28">
      <c r="A28" s="1" t="s">
        <v>779</v>
      </c>
      <c r="B28" s="1" t="s">
        <v>120</v>
      </c>
      <c r="C28" s="1" t="s">
        <v>705</v>
      </c>
      <c r="D28" s="1" t="s">
        <v>122</v>
      </c>
      <c r="E28" s="1">
        <v>9.766632957E9</v>
      </c>
      <c r="F28" s="1">
        <v>9.710279044E9</v>
      </c>
      <c r="H28" s="1" t="s">
        <v>780</v>
      </c>
      <c r="I28" s="1" t="s">
        <v>706</v>
      </c>
      <c r="J28" s="1" t="s">
        <v>125</v>
      </c>
      <c r="K28" s="1" t="s">
        <v>713</v>
      </c>
      <c r="L28" s="1" t="s">
        <v>748</v>
      </c>
      <c r="M28" s="1" t="s">
        <v>493</v>
      </c>
      <c r="N28" s="1" t="s">
        <v>37</v>
      </c>
      <c r="O28" s="1">
        <v>5000.0</v>
      </c>
      <c r="P28" s="1" t="s">
        <v>781</v>
      </c>
      <c r="Q28" s="9">
        <v>45792.0</v>
      </c>
      <c r="R28" s="1" t="s">
        <v>708</v>
      </c>
      <c r="S28" s="1" t="s">
        <v>709</v>
      </c>
      <c r="T28" s="1" t="s">
        <v>782</v>
      </c>
      <c r="U28" s="1" t="s">
        <v>783</v>
      </c>
    </row>
    <row r="29">
      <c r="A29" s="1" t="s">
        <v>784</v>
      </c>
      <c r="B29" s="1" t="s">
        <v>120</v>
      </c>
      <c r="C29" s="1" t="s">
        <v>705</v>
      </c>
      <c r="D29" s="1" t="s">
        <v>122</v>
      </c>
      <c r="E29" s="1">
        <v>9.766633051E9</v>
      </c>
      <c r="F29" s="1">
        <v>9.710279044E9</v>
      </c>
      <c r="H29" s="10"/>
      <c r="I29" s="1" t="s">
        <v>706</v>
      </c>
      <c r="J29" s="1" t="s">
        <v>125</v>
      </c>
      <c r="K29" s="1" t="s">
        <v>713</v>
      </c>
      <c r="L29" s="10"/>
      <c r="M29" s="10"/>
      <c r="N29" s="1" t="s">
        <v>42</v>
      </c>
      <c r="O29" s="10"/>
      <c r="P29" s="11"/>
      <c r="Q29" s="10"/>
      <c r="R29" s="1" t="s">
        <v>708</v>
      </c>
      <c r="S29" s="1" t="s">
        <v>709</v>
      </c>
      <c r="T29" s="10"/>
    </row>
    <row r="30">
      <c r="A30" s="1" t="s">
        <v>785</v>
      </c>
      <c r="B30" s="1" t="s">
        <v>120</v>
      </c>
      <c r="C30" s="1" t="s">
        <v>705</v>
      </c>
      <c r="D30" s="1" t="s">
        <v>122</v>
      </c>
      <c r="E30" s="1">
        <v>9.766633144E9</v>
      </c>
      <c r="F30" s="1">
        <v>9.710279044E9</v>
      </c>
      <c r="I30" s="1" t="s">
        <v>706</v>
      </c>
      <c r="J30" s="1" t="s">
        <v>125</v>
      </c>
      <c r="K30" s="1" t="s">
        <v>713</v>
      </c>
      <c r="L30" s="1" t="s">
        <v>442</v>
      </c>
      <c r="M30" s="1" t="s">
        <v>533</v>
      </c>
      <c r="N30" s="1" t="s">
        <v>37</v>
      </c>
      <c r="O30" s="1">
        <v>50000.0</v>
      </c>
      <c r="P30" s="1" t="s">
        <v>786</v>
      </c>
      <c r="Q30" s="9">
        <v>45784.0</v>
      </c>
      <c r="R30" s="1" t="s">
        <v>708</v>
      </c>
      <c r="S30" s="1" t="s">
        <v>709</v>
      </c>
      <c r="T30" s="10"/>
      <c r="U30" s="10"/>
      <c r="V30" s="10"/>
    </row>
    <row r="31">
      <c r="A31" s="1" t="s">
        <v>787</v>
      </c>
      <c r="B31" s="1" t="s">
        <v>120</v>
      </c>
      <c r="C31" s="1" t="s">
        <v>705</v>
      </c>
      <c r="D31" s="1" t="s">
        <v>122</v>
      </c>
      <c r="E31" s="1">
        <v>9.766633218E9</v>
      </c>
      <c r="F31" s="1">
        <v>9.710279044E9</v>
      </c>
      <c r="I31" s="1" t="s">
        <v>706</v>
      </c>
      <c r="J31" s="1" t="s">
        <v>125</v>
      </c>
      <c r="K31" s="1" t="s">
        <v>713</v>
      </c>
      <c r="L31" s="1" t="s">
        <v>442</v>
      </c>
      <c r="M31" s="1" t="s">
        <v>533</v>
      </c>
      <c r="N31" s="1" t="s">
        <v>37</v>
      </c>
      <c r="O31" s="1">
        <v>74950.0</v>
      </c>
      <c r="P31" s="1" t="s">
        <v>788</v>
      </c>
      <c r="Q31" s="9">
        <v>45754.0</v>
      </c>
      <c r="R31" s="1" t="s">
        <v>708</v>
      </c>
      <c r="S31" s="1" t="s">
        <v>709</v>
      </c>
      <c r="T31" s="10"/>
      <c r="U31" s="1" t="s">
        <v>789</v>
      </c>
      <c r="V31" s="1" t="s">
        <v>790</v>
      </c>
      <c r="W31" s="1" t="s">
        <v>791</v>
      </c>
    </row>
    <row r="32">
      <c r="A32" s="1" t="s">
        <v>792</v>
      </c>
      <c r="B32" s="1" t="s">
        <v>120</v>
      </c>
      <c r="C32" s="1" t="s">
        <v>705</v>
      </c>
      <c r="D32" s="1" t="s">
        <v>122</v>
      </c>
      <c r="E32" s="1">
        <v>9.766633323E9</v>
      </c>
      <c r="F32" s="1">
        <v>9.710279044E9</v>
      </c>
      <c r="I32" s="1" t="s">
        <v>706</v>
      </c>
      <c r="J32" s="1" t="s">
        <v>125</v>
      </c>
      <c r="K32" s="1" t="s">
        <v>713</v>
      </c>
      <c r="L32" s="1" t="s">
        <v>513</v>
      </c>
      <c r="M32" s="10"/>
      <c r="N32" s="1" t="s">
        <v>37</v>
      </c>
      <c r="O32" s="10"/>
      <c r="P32" s="11"/>
      <c r="Q32" s="10"/>
      <c r="R32" s="1" t="s">
        <v>708</v>
      </c>
      <c r="S32" s="1" t="s">
        <v>709</v>
      </c>
      <c r="T32" s="10"/>
      <c r="U32" s="10"/>
      <c r="V32" s="10"/>
    </row>
    <row r="33">
      <c r="A33" s="1" t="s">
        <v>793</v>
      </c>
      <c r="B33" s="1" t="s">
        <v>120</v>
      </c>
      <c r="C33" s="1" t="s">
        <v>705</v>
      </c>
      <c r="D33" s="1" t="s">
        <v>122</v>
      </c>
      <c r="E33" s="1">
        <v>9.766633397E9</v>
      </c>
      <c r="F33" s="1">
        <v>9.710279044E9</v>
      </c>
      <c r="H33" s="10"/>
      <c r="I33" s="1" t="s">
        <v>706</v>
      </c>
      <c r="J33" s="1" t="s">
        <v>125</v>
      </c>
      <c r="K33" s="1" t="s">
        <v>713</v>
      </c>
      <c r="L33" s="1" t="s">
        <v>513</v>
      </c>
      <c r="M33" s="10"/>
      <c r="N33" s="1" t="s">
        <v>37</v>
      </c>
      <c r="O33" s="10"/>
      <c r="P33" s="11"/>
      <c r="Q33" s="10"/>
      <c r="R33" s="1" t="s">
        <v>708</v>
      </c>
      <c r="S33" s="1" t="s">
        <v>709</v>
      </c>
      <c r="T33" s="10"/>
      <c r="V33" s="10"/>
      <c r="W33" s="10"/>
    </row>
    <row r="34">
      <c r="A34" s="1" t="s">
        <v>794</v>
      </c>
      <c r="B34" s="1" t="s">
        <v>120</v>
      </c>
      <c r="C34" s="1" t="s">
        <v>705</v>
      </c>
      <c r="D34" s="1" t="s">
        <v>122</v>
      </c>
      <c r="E34" s="1">
        <v>9.766633454E9</v>
      </c>
      <c r="F34" s="1">
        <v>9.710279044E9</v>
      </c>
      <c r="H34" s="2" t="s">
        <v>795</v>
      </c>
      <c r="I34" s="1" t="s">
        <v>706</v>
      </c>
      <c r="J34" s="1" t="s">
        <v>125</v>
      </c>
      <c r="K34" s="1" t="s">
        <v>713</v>
      </c>
      <c r="L34" s="1" t="s">
        <v>442</v>
      </c>
      <c r="M34" s="1" t="s">
        <v>539</v>
      </c>
      <c r="N34" s="1" t="s">
        <v>37</v>
      </c>
      <c r="O34" s="1">
        <v>10000.0</v>
      </c>
      <c r="P34" s="1" t="s">
        <v>796</v>
      </c>
      <c r="Q34" s="9">
        <v>45770.0</v>
      </c>
      <c r="R34" s="1" t="s">
        <v>708</v>
      </c>
      <c r="S34" s="1" t="s">
        <v>709</v>
      </c>
      <c r="T34" s="1">
        <v>12.0</v>
      </c>
      <c r="U34" s="1">
        <v>150.0</v>
      </c>
      <c r="V34" s="10"/>
      <c r="W34" s="1" t="s">
        <v>797</v>
      </c>
      <c r="X34" s="10"/>
      <c r="Y34" s="1" t="s">
        <v>798</v>
      </c>
    </row>
    <row r="35">
      <c r="A35" s="1" t="s">
        <v>799</v>
      </c>
      <c r="B35" s="1" t="s">
        <v>120</v>
      </c>
      <c r="C35" s="1" t="s">
        <v>705</v>
      </c>
      <c r="D35" s="1" t="s">
        <v>122</v>
      </c>
      <c r="E35" s="1">
        <v>9.766633506E9</v>
      </c>
      <c r="F35" s="1">
        <v>9.710279044E9</v>
      </c>
      <c r="H35" s="10"/>
      <c r="I35" s="1" t="s">
        <v>706</v>
      </c>
      <c r="J35" s="1" t="s">
        <v>125</v>
      </c>
      <c r="K35" s="1" t="s">
        <v>713</v>
      </c>
      <c r="L35" s="1" t="s">
        <v>442</v>
      </c>
      <c r="M35" s="1" t="s">
        <v>539</v>
      </c>
      <c r="N35" s="1" t="s">
        <v>37</v>
      </c>
      <c r="O35" s="10"/>
      <c r="P35" s="11"/>
      <c r="Q35" s="10"/>
      <c r="R35" s="1" t="s">
        <v>708</v>
      </c>
      <c r="S35" s="1" t="s">
        <v>709</v>
      </c>
      <c r="T35" s="10"/>
      <c r="V35" s="10"/>
      <c r="W35" s="10"/>
    </row>
    <row r="36">
      <c r="A36" s="1" t="s">
        <v>800</v>
      </c>
      <c r="B36" s="1" t="s">
        <v>120</v>
      </c>
      <c r="C36" s="1" t="s">
        <v>705</v>
      </c>
      <c r="D36" s="1" t="s">
        <v>122</v>
      </c>
      <c r="E36" s="1">
        <v>9.766633578E9</v>
      </c>
      <c r="F36" s="1">
        <v>9.710279044E9</v>
      </c>
      <c r="I36" s="1" t="s">
        <v>706</v>
      </c>
      <c r="J36" s="1" t="s">
        <v>125</v>
      </c>
      <c r="K36" s="1" t="s">
        <v>713</v>
      </c>
      <c r="L36" s="1" t="s">
        <v>442</v>
      </c>
      <c r="M36" s="1" t="s">
        <v>539</v>
      </c>
      <c r="N36" s="1" t="s">
        <v>37</v>
      </c>
      <c r="O36" s="1">
        <v>4625.0</v>
      </c>
      <c r="P36" s="1" t="s">
        <v>801</v>
      </c>
      <c r="Q36" s="9">
        <v>45901.0</v>
      </c>
      <c r="R36" s="1" t="s">
        <v>708</v>
      </c>
      <c r="S36" s="1" t="s">
        <v>709</v>
      </c>
    </row>
    <row r="37">
      <c r="A37" s="1" t="s">
        <v>802</v>
      </c>
      <c r="B37" s="1" t="s">
        <v>120</v>
      </c>
      <c r="C37" s="1" t="s">
        <v>705</v>
      </c>
      <c r="D37" s="1" t="s">
        <v>122</v>
      </c>
      <c r="E37" s="1">
        <v>9.766633658E9</v>
      </c>
      <c r="F37" s="1">
        <v>9.710279044E9</v>
      </c>
      <c r="H37" s="10"/>
      <c r="I37" s="1" t="s">
        <v>706</v>
      </c>
      <c r="J37" s="1" t="s">
        <v>125</v>
      </c>
      <c r="K37" s="1" t="s">
        <v>713</v>
      </c>
      <c r="L37" s="10"/>
      <c r="M37" s="10"/>
      <c r="N37" s="1" t="s">
        <v>231</v>
      </c>
      <c r="O37" s="10"/>
      <c r="P37" s="11"/>
      <c r="Q37" s="10"/>
      <c r="R37" s="1" t="s">
        <v>708</v>
      </c>
      <c r="S37" s="1" t="s">
        <v>709</v>
      </c>
      <c r="T37" s="10"/>
      <c r="U37" s="10"/>
      <c r="V37" s="10"/>
      <c r="W37" s="10"/>
    </row>
    <row r="38">
      <c r="A38" s="1" t="s">
        <v>803</v>
      </c>
      <c r="B38" s="1" t="s">
        <v>120</v>
      </c>
      <c r="C38" s="1" t="s">
        <v>705</v>
      </c>
      <c r="D38" s="1" t="s">
        <v>122</v>
      </c>
      <c r="E38" s="1">
        <v>9.766633718E9</v>
      </c>
      <c r="F38" s="1">
        <v>9.710279044E9</v>
      </c>
      <c r="H38" s="2" t="s">
        <v>804</v>
      </c>
      <c r="I38" s="1" t="s">
        <v>706</v>
      </c>
      <c r="J38" s="1" t="s">
        <v>125</v>
      </c>
      <c r="K38" s="1" t="s">
        <v>713</v>
      </c>
      <c r="L38" s="1" t="s">
        <v>5</v>
      </c>
      <c r="M38" s="1" t="s">
        <v>239</v>
      </c>
      <c r="N38" s="1" t="s">
        <v>37</v>
      </c>
      <c r="O38" s="1">
        <v>15000.0</v>
      </c>
      <c r="P38" s="1" t="s">
        <v>805</v>
      </c>
      <c r="Q38" s="9">
        <v>45694.0</v>
      </c>
      <c r="R38" s="1" t="s">
        <v>708</v>
      </c>
      <c r="S38" s="1" t="s">
        <v>709</v>
      </c>
      <c r="T38" s="10"/>
      <c r="U38" s="1" t="s">
        <v>806</v>
      </c>
      <c r="V38" s="1">
        <v>800.0</v>
      </c>
      <c r="W38" s="1" t="s">
        <v>48</v>
      </c>
      <c r="X38" s="10"/>
      <c r="Y38" s="1" t="s">
        <v>807</v>
      </c>
    </row>
    <row r="39">
      <c r="A39" s="1" t="s">
        <v>808</v>
      </c>
      <c r="B39" s="1" t="s">
        <v>120</v>
      </c>
      <c r="C39" s="1" t="s">
        <v>705</v>
      </c>
      <c r="D39" s="1" t="s">
        <v>122</v>
      </c>
      <c r="E39" s="1">
        <v>9.766633768E9</v>
      </c>
      <c r="F39" s="1">
        <v>9.710279044E9</v>
      </c>
      <c r="H39" s="2" t="s">
        <v>809</v>
      </c>
      <c r="I39" s="1" t="s">
        <v>706</v>
      </c>
      <c r="J39" s="1" t="s">
        <v>125</v>
      </c>
      <c r="K39" s="1" t="s">
        <v>713</v>
      </c>
      <c r="L39" s="1" t="s">
        <v>721</v>
      </c>
      <c r="M39" s="10"/>
      <c r="N39" s="1" t="s">
        <v>231</v>
      </c>
      <c r="O39" s="10"/>
      <c r="P39" s="1" t="s">
        <v>810</v>
      </c>
      <c r="Q39" s="10"/>
      <c r="R39" s="1" t="s">
        <v>708</v>
      </c>
      <c r="S39" s="1" t="s">
        <v>709</v>
      </c>
      <c r="T39" s="10"/>
      <c r="U39" s="1" t="s">
        <v>811</v>
      </c>
      <c r="V39" s="10"/>
      <c r="W39" s="1" t="s">
        <v>812</v>
      </c>
      <c r="X39" s="10"/>
      <c r="Y39" s="1" t="s">
        <v>813</v>
      </c>
    </row>
    <row r="40">
      <c r="A40" s="1" t="s">
        <v>814</v>
      </c>
      <c r="B40" s="1" t="s">
        <v>120</v>
      </c>
      <c r="C40" s="1" t="s">
        <v>705</v>
      </c>
      <c r="D40" s="1" t="s">
        <v>122</v>
      </c>
      <c r="E40" s="1">
        <v>9.766633833E9</v>
      </c>
      <c r="F40" s="1">
        <v>9.710279044E9</v>
      </c>
      <c r="H40" s="10"/>
      <c r="I40" s="1" t="s">
        <v>815</v>
      </c>
      <c r="J40" s="1" t="s">
        <v>125</v>
      </c>
      <c r="K40" s="1" t="s">
        <v>713</v>
      </c>
      <c r="L40" s="1" t="s">
        <v>748</v>
      </c>
      <c r="M40" s="1" t="s">
        <v>503</v>
      </c>
      <c r="N40" s="1" t="s">
        <v>37</v>
      </c>
      <c r="O40" s="1">
        <v>15000.0</v>
      </c>
      <c r="P40" s="1" t="s">
        <v>816</v>
      </c>
      <c r="Q40" s="9">
        <v>45790.0</v>
      </c>
      <c r="R40" s="1" t="s">
        <v>708</v>
      </c>
      <c r="S40" s="1" t="s">
        <v>709</v>
      </c>
      <c r="T40" s="10"/>
      <c r="U40" s="1" t="s">
        <v>731</v>
      </c>
      <c r="V40" s="1">
        <v>2000.0</v>
      </c>
      <c r="W40" s="1" t="s">
        <v>817</v>
      </c>
      <c r="X40" s="10"/>
      <c r="Y40" s="1" t="s">
        <v>733</v>
      </c>
    </row>
    <row r="41">
      <c r="A41" s="1" t="s">
        <v>818</v>
      </c>
      <c r="B41" s="1" t="s">
        <v>120</v>
      </c>
      <c r="C41" s="1" t="s">
        <v>705</v>
      </c>
      <c r="D41" s="1" t="s">
        <v>122</v>
      </c>
      <c r="E41" s="1">
        <v>9.766633885E9</v>
      </c>
      <c r="F41" s="1">
        <v>9.710279044E9</v>
      </c>
      <c r="I41" s="1" t="s">
        <v>815</v>
      </c>
      <c r="J41" s="1" t="s">
        <v>125</v>
      </c>
      <c r="K41" s="1" t="s">
        <v>713</v>
      </c>
      <c r="L41" s="10"/>
      <c r="M41" s="10"/>
      <c r="N41" s="1" t="s">
        <v>231</v>
      </c>
      <c r="O41" s="10"/>
      <c r="P41" s="11"/>
      <c r="Q41" s="10"/>
      <c r="R41" s="1" t="s">
        <v>708</v>
      </c>
      <c r="S41" s="1" t="s">
        <v>709</v>
      </c>
      <c r="T41" s="10"/>
      <c r="U41" s="10"/>
      <c r="V41" s="10"/>
      <c r="W41" s="10"/>
    </row>
    <row r="42">
      <c r="A42" s="1" t="s">
        <v>819</v>
      </c>
      <c r="B42" s="1" t="s">
        <v>120</v>
      </c>
      <c r="C42" s="1" t="s">
        <v>705</v>
      </c>
      <c r="D42" s="1" t="s">
        <v>122</v>
      </c>
      <c r="E42" s="1">
        <v>9.766633932E9</v>
      </c>
      <c r="F42" s="1">
        <v>9.710279044E9</v>
      </c>
      <c r="I42" s="1" t="s">
        <v>815</v>
      </c>
      <c r="J42" s="1" t="s">
        <v>125</v>
      </c>
      <c r="K42" s="1" t="s">
        <v>713</v>
      </c>
      <c r="M42" s="10"/>
      <c r="N42" s="1" t="s">
        <v>820</v>
      </c>
      <c r="Q42" s="10"/>
      <c r="R42" s="1" t="s">
        <v>708</v>
      </c>
      <c r="S42" s="1" t="s">
        <v>709</v>
      </c>
    </row>
    <row r="43">
      <c r="A43" s="1" t="s">
        <v>821</v>
      </c>
      <c r="B43" s="1" t="s">
        <v>120</v>
      </c>
      <c r="C43" s="1" t="s">
        <v>705</v>
      </c>
      <c r="D43" s="1" t="s">
        <v>122</v>
      </c>
      <c r="E43" s="1">
        <v>9.76663397E9</v>
      </c>
      <c r="F43" s="1">
        <v>9.710279044E9</v>
      </c>
      <c r="I43" s="1" t="s">
        <v>706</v>
      </c>
      <c r="J43" s="1" t="s">
        <v>125</v>
      </c>
      <c r="K43" s="1" t="s">
        <v>713</v>
      </c>
      <c r="M43" s="10"/>
      <c r="N43" s="1" t="s">
        <v>231</v>
      </c>
      <c r="Q43" s="10"/>
      <c r="R43" s="1" t="s">
        <v>708</v>
      </c>
      <c r="S43" s="1" t="s">
        <v>709</v>
      </c>
    </row>
    <row r="44">
      <c r="A44" s="1" t="s">
        <v>822</v>
      </c>
      <c r="B44" s="1" t="s">
        <v>120</v>
      </c>
      <c r="C44" s="1" t="s">
        <v>705</v>
      </c>
      <c r="D44" s="1" t="s">
        <v>122</v>
      </c>
      <c r="E44" s="1">
        <v>9.766632641E9</v>
      </c>
      <c r="F44" s="1">
        <v>9.710279044E9</v>
      </c>
      <c r="I44" s="1" t="s">
        <v>741</v>
      </c>
      <c r="J44" s="1" t="s">
        <v>125</v>
      </c>
      <c r="K44" s="1" t="s">
        <v>713</v>
      </c>
      <c r="M44" s="10"/>
      <c r="N44" s="1" t="s">
        <v>231</v>
      </c>
      <c r="Q44" s="10"/>
      <c r="R44" s="1" t="s">
        <v>708</v>
      </c>
      <c r="S44" s="1" t="s">
        <v>709</v>
      </c>
    </row>
    <row r="45">
      <c r="A45" s="1" t="s">
        <v>823</v>
      </c>
      <c r="B45" s="1" t="s">
        <v>120</v>
      </c>
      <c r="C45" s="1" t="s">
        <v>705</v>
      </c>
      <c r="D45" s="1" t="s">
        <v>122</v>
      </c>
      <c r="E45" s="1">
        <v>9.766632753E9</v>
      </c>
      <c r="F45" s="1">
        <v>9.710279044E9</v>
      </c>
      <c r="I45" s="1" t="s">
        <v>741</v>
      </c>
      <c r="J45" s="1" t="s">
        <v>125</v>
      </c>
      <c r="K45" s="1" t="s">
        <v>713</v>
      </c>
      <c r="M45" s="10"/>
      <c r="N45" s="1" t="s">
        <v>231</v>
      </c>
      <c r="Q45" s="10"/>
      <c r="R45" s="1" t="s">
        <v>708</v>
      </c>
      <c r="S45" s="1" t="s">
        <v>709</v>
      </c>
    </row>
    <row r="46">
      <c r="A46" s="1" t="s">
        <v>824</v>
      </c>
      <c r="B46" s="1" t="s">
        <v>120</v>
      </c>
      <c r="C46" s="1" t="s">
        <v>705</v>
      </c>
      <c r="D46" s="1" t="s">
        <v>122</v>
      </c>
      <c r="E46" s="1">
        <v>9.766632826E9</v>
      </c>
      <c r="F46" s="1">
        <v>9.710279044E9</v>
      </c>
      <c r="I46" s="1" t="s">
        <v>741</v>
      </c>
      <c r="J46" s="1" t="s">
        <v>125</v>
      </c>
      <c r="K46" s="1" t="s">
        <v>713</v>
      </c>
      <c r="M46" s="10"/>
      <c r="N46" s="1" t="s">
        <v>231</v>
      </c>
      <c r="Q46" s="10"/>
      <c r="R46" s="1" t="s">
        <v>708</v>
      </c>
      <c r="S46" s="1" t="s">
        <v>709</v>
      </c>
    </row>
    <row r="47">
      <c r="A47" s="1" t="s">
        <v>825</v>
      </c>
      <c r="B47" s="1" t="s">
        <v>120</v>
      </c>
      <c r="C47" s="1" t="s">
        <v>705</v>
      </c>
      <c r="D47" s="1" t="s">
        <v>122</v>
      </c>
      <c r="E47" s="1">
        <v>9.766634721E9</v>
      </c>
      <c r="F47" s="1">
        <v>9.710279044E9</v>
      </c>
      <c r="I47" s="1" t="s">
        <v>741</v>
      </c>
      <c r="J47" s="1" t="s">
        <v>125</v>
      </c>
      <c r="K47" s="1" t="s">
        <v>713</v>
      </c>
      <c r="M47" s="10"/>
      <c r="N47" s="1" t="s">
        <v>231</v>
      </c>
      <c r="Q47" s="10"/>
      <c r="R47" s="1" t="s">
        <v>708</v>
      </c>
      <c r="S47" s="1" t="s">
        <v>709</v>
      </c>
    </row>
    <row r="48">
      <c r="A48" s="1" t="s">
        <v>826</v>
      </c>
      <c r="B48" s="1" t="s">
        <v>120</v>
      </c>
      <c r="C48" s="1" t="s">
        <v>705</v>
      </c>
      <c r="D48" s="1" t="s">
        <v>122</v>
      </c>
      <c r="E48" s="1">
        <v>9.766634986E9</v>
      </c>
      <c r="F48" s="1">
        <v>9.710279044E9</v>
      </c>
      <c r="I48" s="1" t="s">
        <v>741</v>
      </c>
      <c r="J48" s="1" t="s">
        <v>125</v>
      </c>
      <c r="K48" s="1" t="s">
        <v>713</v>
      </c>
      <c r="M48" s="10"/>
      <c r="N48" s="1" t="s">
        <v>231</v>
      </c>
      <c r="Q48" s="10"/>
      <c r="R48" s="1" t="s">
        <v>708</v>
      </c>
      <c r="S48" s="1" t="s">
        <v>709</v>
      </c>
    </row>
    <row r="49">
      <c r="A49" s="1" t="s">
        <v>827</v>
      </c>
      <c r="B49" s="1" t="s">
        <v>120</v>
      </c>
      <c r="C49" s="1" t="s">
        <v>705</v>
      </c>
      <c r="D49" s="1" t="s">
        <v>122</v>
      </c>
      <c r="E49" s="1">
        <v>9.766635027E9</v>
      </c>
      <c r="F49" s="1">
        <v>9.710279044E9</v>
      </c>
      <c r="I49" s="1" t="s">
        <v>741</v>
      </c>
      <c r="J49" s="1" t="s">
        <v>125</v>
      </c>
      <c r="K49" s="1" t="s">
        <v>713</v>
      </c>
      <c r="M49" s="10"/>
      <c r="N49" s="1" t="s">
        <v>37</v>
      </c>
      <c r="Q49" s="10"/>
      <c r="R49" s="1" t="s">
        <v>708</v>
      </c>
      <c r="S49" s="1" t="s">
        <v>709</v>
      </c>
    </row>
    <row r="50">
      <c r="A50" s="1" t="s">
        <v>828</v>
      </c>
      <c r="B50" s="1" t="s">
        <v>120</v>
      </c>
      <c r="C50" s="1" t="s">
        <v>705</v>
      </c>
      <c r="D50" s="1" t="s">
        <v>122</v>
      </c>
      <c r="E50" s="1">
        <v>9.766635081E9</v>
      </c>
      <c r="F50" s="1">
        <v>9.710279044E9</v>
      </c>
      <c r="I50" s="1" t="s">
        <v>741</v>
      </c>
      <c r="J50" s="1" t="s">
        <v>125</v>
      </c>
      <c r="K50" s="1" t="s">
        <v>713</v>
      </c>
      <c r="M50" s="10"/>
      <c r="N50" s="1" t="s">
        <v>37</v>
      </c>
      <c r="Q50" s="10"/>
      <c r="R50" s="1" t="s">
        <v>708</v>
      </c>
      <c r="S50" s="1" t="s">
        <v>709</v>
      </c>
    </row>
    <row r="51">
      <c r="A51" s="1" t="s">
        <v>829</v>
      </c>
      <c r="B51" s="1" t="s">
        <v>120</v>
      </c>
      <c r="C51" s="1" t="s">
        <v>705</v>
      </c>
      <c r="D51" s="1" t="s">
        <v>122</v>
      </c>
      <c r="E51" s="1">
        <v>9.766635143E9</v>
      </c>
      <c r="F51" s="1">
        <v>9.710279044E9</v>
      </c>
      <c r="I51" s="1" t="s">
        <v>741</v>
      </c>
      <c r="J51" s="1" t="s">
        <v>125</v>
      </c>
      <c r="K51" s="1" t="s">
        <v>713</v>
      </c>
      <c r="M51" s="10"/>
      <c r="N51" s="1" t="s">
        <v>231</v>
      </c>
      <c r="Q51" s="10"/>
      <c r="R51" s="1" t="s">
        <v>708</v>
      </c>
      <c r="S51" s="1" t="s">
        <v>709</v>
      </c>
    </row>
    <row r="52">
      <c r="A52" s="1" t="s">
        <v>830</v>
      </c>
      <c r="B52" s="1" t="s">
        <v>120</v>
      </c>
      <c r="C52" s="1" t="s">
        <v>705</v>
      </c>
      <c r="D52" s="1" t="s">
        <v>122</v>
      </c>
      <c r="E52" s="1">
        <v>9.766635191E9</v>
      </c>
      <c r="F52" s="1">
        <v>9.710279044E9</v>
      </c>
      <c r="I52" s="1" t="s">
        <v>741</v>
      </c>
      <c r="J52" s="1" t="s">
        <v>125</v>
      </c>
      <c r="K52" s="1" t="s">
        <v>713</v>
      </c>
      <c r="L52" s="10"/>
      <c r="M52" s="10"/>
      <c r="N52" s="1" t="s">
        <v>231</v>
      </c>
      <c r="Q52" s="10"/>
      <c r="R52" s="1" t="s">
        <v>708</v>
      </c>
      <c r="S52" s="1" t="s">
        <v>709</v>
      </c>
    </row>
    <row r="53">
      <c r="A53" s="1" t="s">
        <v>831</v>
      </c>
      <c r="B53" s="1" t="s">
        <v>120</v>
      </c>
      <c r="C53" s="1" t="s">
        <v>705</v>
      </c>
      <c r="D53" s="1" t="s">
        <v>122</v>
      </c>
      <c r="E53" s="1">
        <v>9.766635238E9</v>
      </c>
      <c r="F53" s="1">
        <v>9.710279044E9</v>
      </c>
      <c r="I53" s="1" t="s">
        <v>741</v>
      </c>
      <c r="J53" s="1" t="s">
        <v>125</v>
      </c>
      <c r="K53" s="1" t="s">
        <v>713</v>
      </c>
      <c r="L53" s="1" t="s">
        <v>32</v>
      </c>
      <c r="M53" s="10"/>
      <c r="N53" s="1" t="s">
        <v>37</v>
      </c>
      <c r="Q53" s="10"/>
      <c r="R53" s="1" t="s">
        <v>708</v>
      </c>
      <c r="S53" s="1" t="s">
        <v>709</v>
      </c>
    </row>
    <row r="54">
      <c r="A54" s="1" t="s">
        <v>832</v>
      </c>
      <c r="B54" s="1" t="s">
        <v>120</v>
      </c>
      <c r="C54" s="1" t="s">
        <v>705</v>
      </c>
      <c r="D54" s="1" t="s">
        <v>122</v>
      </c>
      <c r="E54" s="1">
        <v>1.0637627477E10</v>
      </c>
      <c r="F54" s="1">
        <v>9.710279044E9</v>
      </c>
      <c r="H54" s="2" t="s">
        <v>833</v>
      </c>
      <c r="I54" s="1" t="s">
        <v>815</v>
      </c>
      <c r="J54" s="1" t="s">
        <v>125</v>
      </c>
      <c r="K54" s="1" t="s">
        <v>127</v>
      </c>
      <c r="L54" s="1" t="s">
        <v>5</v>
      </c>
      <c r="M54" s="1" t="s">
        <v>510</v>
      </c>
      <c r="N54" s="1" t="s">
        <v>37</v>
      </c>
      <c r="O54" s="1">
        <v>10000.0</v>
      </c>
      <c r="P54" s="9">
        <v>46044.0</v>
      </c>
      <c r="Q54" s="9">
        <v>46044.0</v>
      </c>
      <c r="R54" s="1" t="s">
        <v>708</v>
      </c>
      <c r="S54" s="1" t="s">
        <v>709</v>
      </c>
      <c r="T54" s="10"/>
      <c r="U54" s="1">
        <v>2000.0</v>
      </c>
      <c r="V54" s="10"/>
      <c r="W54" s="1" t="s">
        <v>710</v>
      </c>
      <c r="X54" s="10"/>
      <c r="Y54" s="1" t="s">
        <v>834</v>
      </c>
      <c r="Z54" s="9">
        <v>45986.0</v>
      </c>
    </row>
    <row r="55">
      <c r="A55" s="1" t="s">
        <v>43</v>
      </c>
      <c r="B55" s="1" t="s">
        <v>120</v>
      </c>
      <c r="C55" s="1" t="s">
        <v>705</v>
      </c>
      <c r="D55" s="1" t="s">
        <v>122</v>
      </c>
      <c r="E55" s="1">
        <v>1.0649866817E10</v>
      </c>
      <c r="F55" s="1">
        <v>9.710279044E9</v>
      </c>
      <c r="I55" s="1" t="s">
        <v>815</v>
      </c>
      <c r="J55" s="1" t="s">
        <v>125</v>
      </c>
      <c r="K55" s="1" t="s">
        <v>127</v>
      </c>
      <c r="L55" s="1" t="s">
        <v>5</v>
      </c>
      <c r="M55" s="1" t="s">
        <v>303</v>
      </c>
      <c r="N55" s="1" t="s">
        <v>42</v>
      </c>
      <c r="O55" s="11"/>
      <c r="P55" s="11"/>
      <c r="Q55" s="11"/>
      <c r="R55" s="1" t="s">
        <v>835</v>
      </c>
      <c r="S55" s="1" t="s">
        <v>709</v>
      </c>
      <c r="Z55" s="9">
        <v>45987.0</v>
      </c>
    </row>
    <row r="56">
      <c r="A56" s="10"/>
      <c r="B56" s="10"/>
      <c r="C56" s="10"/>
      <c r="D56" s="10"/>
      <c r="E56" s="10"/>
      <c r="F56" s="10"/>
      <c r="I56" s="10"/>
      <c r="J56" s="10"/>
      <c r="K56" s="10"/>
      <c r="L56" s="10"/>
      <c r="M56" s="10"/>
      <c r="N56" s="10"/>
      <c r="Q56" s="10"/>
      <c r="R56" s="10"/>
    </row>
    <row r="57">
      <c r="A57" s="10"/>
      <c r="B57" s="10"/>
      <c r="C57" s="10"/>
      <c r="D57" s="10"/>
      <c r="E57" s="10"/>
      <c r="F57" s="10"/>
      <c r="I57" s="10"/>
      <c r="J57" s="10"/>
      <c r="N57" s="10"/>
      <c r="Q57" s="10"/>
      <c r="R57" s="10"/>
    </row>
    <row r="58">
      <c r="A58" s="10"/>
      <c r="B58" s="10"/>
      <c r="C58" s="10"/>
      <c r="D58" s="10"/>
      <c r="E58" s="10"/>
      <c r="F58" s="10"/>
      <c r="H58" s="10"/>
      <c r="I58" s="10"/>
      <c r="J58" s="10"/>
      <c r="K58" s="10"/>
      <c r="L58" s="10"/>
      <c r="M58" s="10"/>
      <c r="N58" s="10"/>
      <c r="O58" s="10"/>
      <c r="P58" s="11"/>
      <c r="Q58" s="10"/>
      <c r="R58" s="10"/>
    </row>
    <row r="59">
      <c r="A59" s="10"/>
      <c r="B59" s="10"/>
      <c r="C59" s="10"/>
      <c r="D59" s="10"/>
      <c r="E59" s="10"/>
      <c r="F59" s="10"/>
      <c r="H59" s="10"/>
      <c r="I59" s="10"/>
      <c r="J59" s="10"/>
      <c r="K59" s="10"/>
      <c r="L59" s="10"/>
      <c r="M59" s="10"/>
      <c r="N59" s="10"/>
      <c r="O59" s="10"/>
      <c r="P59" s="11"/>
      <c r="Q59" s="10"/>
      <c r="R59" s="10"/>
      <c r="T59" s="10"/>
      <c r="U59" s="10"/>
      <c r="V59" s="10"/>
      <c r="X59" s="10"/>
    </row>
    <row r="60">
      <c r="A60" s="10"/>
      <c r="B60" s="10"/>
      <c r="C60" s="10"/>
      <c r="D60" s="10"/>
      <c r="E60" s="10"/>
      <c r="F60" s="10"/>
      <c r="I60" s="10"/>
      <c r="J60" s="10"/>
      <c r="M60" s="10"/>
      <c r="N60" s="10"/>
      <c r="Q60" s="10"/>
      <c r="R60" s="10"/>
    </row>
    <row r="61">
      <c r="A61" s="10"/>
      <c r="B61" s="10"/>
      <c r="C61" s="10"/>
      <c r="D61" s="10"/>
      <c r="E61" s="10"/>
      <c r="F61" s="10"/>
      <c r="H61" s="10"/>
      <c r="I61" s="10"/>
      <c r="J61" s="10"/>
      <c r="K61" s="10"/>
      <c r="L61" s="10"/>
      <c r="M61" s="10"/>
      <c r="N61" s="10"/>
      <c r="O61" s="10"/>
      <c r="P61" s="11"/>
      <c r="Q61" s="10"/>
      <c r="R61" s="10"/>
      <c r="T61" s="10"/>
      <c r="U61" s="10"/>
      <c r="V61" s="10"/>
      <c r="X61" s="10"/>
    </row>
    <row r="62">
      <c r="A62" s="10"/>
      <c r="B62" s="10"/>
      <c r="C62" s="10"/>
      <c r="D62" s="10"/>
      <c r="E62" s="10"/>
      <c r="F62" s="10"/>
      <c r="I62" s="10"/>
      <c r="J62" s="10"/>
      <c r="K62" s="10"/>
      <c r="L62" s="10"/>
      <c r="M62" s="10"/>
      <c r="N62" s="10"/>
      <c r="O62" s="10"/>
      <c r="P62" s="11"/>
      <c r="Q62" s="10"/>
      <c r="R62" s="10"/>
      <c r="U62" s="10"/>
      <c r="V62" s="10"/>
      <c r="X62" s="10"/>
    </row>
    <row r="63">
      <c r="A63" s="10"/>
      <c r="B63" s="10"/>
      <c r="C63" s="10"/>
      <c r="D63" s="10"/>
      <c r="E63" s="10"/>
      <c r="F63" s="10"/>
      <c r="I63" s="10"/>
      <c r="J63" s="10"/>
      <c r="K63" s="10"/>
      <c r="M63" s="10"/>
      <c r="N63" s="10"/>
      <c r="O63" s="10"/>
      <c r="P63" s="11"/>
      <c r="Q63" s="10"/>
      <c r="R63" s="10"/>
    </row>
    <row r="64">
      <c r="A64" s="10"/>
      <c r="B64" s="10"/>
      <c r="C64" s="10"/>
      <c r="D64" s="10"/>
      <c r="E64" s="10"/>
      <c r="F64" s="10"/>
      <c r="I64" s="10"/>
      <c r="J64" s="10"/>
      <c r="M64" s="10"/>
      <c r="N64" s="10"/>
      <c r="Q64" s="10"/>
      <c r="R64" s="10"/>
    </row>
    <row r="65">
      <c r="A65" s="10"/>
      <c r="B65" s="10"/>
      <c r="C65" s="10"/>
      <c r="D65" s="10"/>
      <c r="E65" s="10"/>
      <c r="F65" s="10"/>
      <c r="H65" s="10"/>
      <c r="I65" s="10"/>
      <c r="J65" s="10"/>
      <c r="K65" s="10"/>
      <c r="L65" s="10"/>
      <c r="M65" s="10"/>
      <c r="N65" s="10"/>
      <c r="O65" s="10"/>
      <c r="P65" s="11"/>
      <c r="Q65" s="10"/>
      <c r="R65" s="10"/>
      <c r="S65" s="10"/>
      <c r="T65" s="10"/>
      <c r="U65" s="10"/>
      <c r="V65" s="10"/>
      <c r="X65" s="10"/>
    </row>
    <row r="66">
      <c r="A66" s="10"/>
      <c r="B66" s="10"/>
      <c r="C66" s="10"/>
      <c r="D66" s="10"/>
      <c r="E66" s="10"/>
      <c r="F66" s="10"/>
      <c r="H66" s="10"/>
      <c r="I66" s="10"/>
      <c r="J66" s="10"/>
      <c r="K66" s="10"/>
      <c r="L66" s="10"/>
      <c r="M66" s="10"/>
      <c r="N66" s="10"/>
      <c r="O66" s="10"/>
      <c r="P66" s="11"/>
      <c r="Q66" s="10"/>
      <c r="R66" s="10"/>
      <c r="S66" s="10"/>
      <c r="T66" s="10"/>
      <c r="U66" s="10"/>
      <c r="V66" s="10"/>
      <c r="X66" s="10"/>
    </row>
    <row r="67">
      <c r="A67" s="10"/>
      <c r="B67" s="10"/>
      <c r="C67" s="10"/>
      <c r="D67" s="10"/>
      <c r="E67" s="10"/>
      <c r="F67" s="10"/>
      <c r="I67" s="10"/>
      <c r="J67" s="10"/>
      <c r="K67" s="10"/>
      <c r="L67" s="10"/>
      <c r="M67" s="10"/>
      <c r="N67" s="10"/>
      <c r="O67" s="10"/>
      <c r="Q67" s="10"/>
      <c r="R67" s="10"/>
      <c r="S67" s="10"/>
      <c r="T67" s="10"/>
      <c r="U67" s="10"/>
    </row>
    <row r="68">
      <c r="A68" s="10"/>
      <c r="B68" s="10"/>
      <c r="C68" s="10"/>
      <c r="D68" s="10"/>
      <c r="E68" s="10"/>
      <c r="F68" s="10"/>
      <c r="I68" s="10"/>
      <c r="J68" s="10"/>
      <c r="M68" s="10"/>
      <c r="N68" s="10"/>
      <c r="P68" s="11"/>
      <c r="Q68" s="10"/>
      <c r="R68" s="10"/>
    </row>
    <row r="69">
      <c r="A69" s="10"/>
      <c r="B69" s="10"/>
      <c r="C69" s="10"/>
      <c r="D69" s="10"/>
      <c r="E69" s="10"/>
      <c r="F69" s="10"/>
      <c r="I69" s="10"/>
      <c r="J69" s="10"/>
      <c r="K69" s="10"/>
      <c r="L69" s="10"/>
      <c r="M69" s="10"/>
      <c r="N69" s="10"/>
      <c r="O69" s="10"/>
      <c r="Q69" s="10"/>
      <c r="R69" s="10"/>
    </row>
    <row r="70">
      <c r="A70" s="10"/>
      <c r="B70" s="10"/>
      <c r="C70" s="10"/>
      <c r="D70" s="10"/>
      <c r="E70" s="10"/>
      <c r="F70" s="10"/>
      <c r="H70" s="10"/>
      <c r="I70" s="10"/>
      <c r="J70" s="10"/>
      <c r="K70" s="10"/>
      <c r="L70" s="10"/>
      <c r="M70" s="10"/>
      <c r="N70" s="10"/>
      <c r="O70" s="10"/>
      <c r="P70" s="11"/>
      <c r="Q70" s="10"/>
      <c r="R70" s="10"/>
      <c r="T70" s="10"/>
      <c r="U70" s="10"/>
      <c r="V70" s="10"/>
      <c r="X70" s="10"/>
    </row>
    <row r="71">
      <c r="A71" s="10"/>
      <c r="B71" s="10"/>
      <c r="C71" s="10"/>
      <c r="D71" s="10"/>
      <c r="E71" s="10"/>
      <c r="F71" s="10"/>
      <c r="I71" s="10"/>
      <c r="J71" s="10"/>
      <c r="K71" s="10"/>
      <c r="M71" s="10"/>
      <c r="N71" s="10"/>
      <c r="Q71" s="10"/>
      <c r="R71" s="10"/>
    </row>
    <row r="72">
      <c r="A72" s="10"/>
      <c r="B72" s="10"/>
      <c r="C72" s="10"/>
      <c r="D72" s="10"/>
      <c r="E72" s="10"/>
      <c r="F72" s="10"/>
      <c r="I72" s="10"/>
      <c r="J72" s="10"/>
      <c r="K72" s="10"/>
      <c r="M72" s="10"/>
      <c r="N72" s="10"/>
      <c r="Q72" s="10"/>
      <c r="R72" s="10"/>
    </row>
    <row r="73">
      <c r="A73" s="10"/>
      <c r="B73" s="10"/>
      <c r="C73" s="10"/>
      <c r="D73" s="10"/>
      <c r="E73" s="10"/>
      <c r="F73" s="10"/>
      <c r="I73" s="10"/>
      <c r="J73" s="10"/>
      <c r="M73" s="10"/>
      <c r="Q73" s="10"/>
      <c r="R73" s="10"/>
    </row>
    <row r="74">
      <c r="A74" s="10"/>
      <c r="B74" s="10"/>
      <c r="C74" s="10"/>
      <c r="D74" s="10"/>
      <c r="E74" s="10"/>
      <c r="F74" s="10"/>
      <c r="I74" s="10"/>
      <c r="J74" s="10"/>
      <c r="K74" s="10"/>
      <c r="M74" s="10"/>
      <c r="Q74" s="10"/>
      <c r="R74" s="10"/>
    </row>
    <row r="75">
      <c r="A75" s="10"/>
      <c r="B75" s="10"/>
      <c r="C75" s="10"/>
      <c r="D75" s="10"/>
      <c r="E75" s="10"/>
      <c r="F75" s="10"/>
      <c r="I75" s="10"/>
      <c r="J75" s="10"/>
      <c r="K75" s="10"/>
      <c r="M75" s="10"/>
      <c r="N75" s="10"/>
      <c r="O75" s="18"/>
      <c r="P75" s="11"/>
      <c r="Q75" s="10"/>
      <c r="R75" s="10"/>
      <c r="S75" s="10"/>
    </row>
    <row r="76">
      <c r="A76" s="10"/>
      <c r="B76" s="10"/>
      <c r="C76" s="10"/>
      <c r="D76" s="10"/>
      <c r="E76" s="10"/>
      <c r="F76" s="10"/>
      <c r="H76" s="10"/>
      <c r="I76" s="10"/>
      <c r="J76" s="10"/>
      <c r="K76" s="10"/>
      <c r="M76" s="10"/>
      <c r="N76" s="10"/>
      <c r="O76" s="10"/>
      <c r="P76" s="11"/>
      <c r="Q76" s="10"/>
      <c r="R76" s="10"/>
      <c r="S76" s="10"/>
    </row>
    <row r="77">
      <c r="A77" s="10"/>
      <c r="B77" s="10"/>
      <c r="C77" s="10"/>
      <c r="D77" s="10"/>
      <c r="E77" s="10"/>
      <c r="F77" s="10"/>
      <c r="H77" s="10"/>
      <c r="I77" s="10"/>
      <c r="J77" s="10"/>
      <c r="K77" s="10"/>
      <c r="L77" s="10"/>
      <c r="M77" s="10"/>
      <c r="N77" s="10"/>
      <c r="O77" s="10"/>
      <c r="P77" s="11"/>
      <c r="Q77" s="10"/>
      <c r="R77" s="10"/>
      <c r="S77" s="10"/>
      <c r="T77" s="10"/>
    </row>
    <row r="78">
      <c r="A78" s="10"/>
      <c r="B78" s="10"/>
      <c r="C78" s="10"/>
      <c r="D78" s="10"/>
      <c r="E78" s="10"/>
      <c r="F78" s="10"/>
      <c r="I78" s="10"/>
      <c r="J78" s="10"/>
      <c r="M78" s="10"/>
      <c r="Q78" s="10"/>
      <c r="R78" s="10"/>
    </row>
    <row r="79">
      <c r="A79" s="10"/>
      <c r="B79" s="10"/>
      <c r="C79" s="10"/>
      <c r="D79" s="10"/>
      <c r="E79" s="10"/>
      <c r="F79" s="10"/>
      <c r="I79" s="10"/>
      <c r="J79" s="10"/>
      <c r="K79" s="10"/>
      <c r="L79" s="10"/>
      <c r="M79" s="10"/>
      <c r="N79" s="10"/>
      <c r="O79" s="10"/>
      <c r="P79" s="11"/>
      <c r="Q79" s="10"/>
      <c r="R79" s="10"/>
    </row>
    <row r="80">
      <c r="A80" s="10"/>
      <c r="B80" s="10"/>
      <c r="C80" s="10"/>
      <c r="D80" s="10"/>
      <c r="E80" s="10"/>
      <c r="F80" s="10"/>
      <c r="I80" s="10"/>
      <c r="J80" s="10"/>
      <c r="K80" s="10"/>
      <c r="L80" s="10"/>
      <c r="M80" s="10"/>
      <c r="N80" s="10"/>
      <c r="O80" s="10"/>
      <c r="P80" s="11"/>
      <c r="Q80" s="10"/>
      <c r="R80" s="10"/>
      <c r="T80" s="10"/>
      <c r="U80" s="10"/>
      <c r="V80" s="10"/>
    </row>
    <row r="81">
      <c r="A81" s="10"/>
      <c r="B81" s="10"/>
      <c r="C81" s="10"/>
      <c r="D81" s="10"/>
      <c r="E81" s="10"/>
      <c r="F81" s="10"/>
      <c r="I81" s="10"/>
      <c r="J81" s="10"/>
      <c r="K81" s="10"/>
      <c r="M81" s="10"/>
      <c r="Q81" s="10"/>
      <c r="R81" s="10"/>
    </row>
    <row r="82">
      <c r="A82" s="10"/>
      <c r="B82" s="10"/>
      <c r="C82" s="10"/>
      <c r="D82" s="10"/>
      <c r="E82" s="10"/>
      <c r="F82" s="10"/>
      <c r="I82" s="10"/>
      <c r="J82" s="10"/>
      <c r="K82" s="10"/>
      <c r="M82" s="10"/>
      <c r="Q82" s="10"/>
      <c r="R82" s="10"/>
    </row>
    <row r="83">
      <c r="A83" s="10"/>
      <c r="B83" s="10"/>
      <c r="C83" s="10"/>
      <c r="D83" s="10"/>
      <c r="E83" s="10"/>
      <c r="F83" s="10"/>
      <c r="H83" s="10"/>
      <c r="I83" s="10"/>
      <c r="J83" s="10"/>
      <c r="K83" s="10"/>
      <c r="L83" s="10"/>
      <c r="M83" s="10"/>
      <c r="N83" s="10"/>
      <c r="O83" s="10"/>
      <c r="P83" s="11"/>
      <c r="Q83" s="10"/>
      <c r="R83" s="10"/>
      <c r="S83" s="10"/>
      <c r="T83" s="10"/>
      <c r="V83" s="10"/>
      <c r="X83" s="10"/>
    </row>
    <row r="84">
      <c r="A84" s="10"/>
      <c r="B84" s="10"/>
      <c r="C84" s="10"/>
      <c r="D84" s="10"/>
      <c r="E84" s="10"/>
      <c r="F84" s="10"/>
      <c r="I84" s="10"/>
      <c r="J84" s="10"/>
      <c r="K84" s="10"/>
      <c r="L84" s="10"/>
      <c r="M84" s="10"/>
      <c r="Q84" s="10"/>
      <c r="R84" s="10"/>
    </row>
    <row r="85">
      <c r="A85" s="10"/>
      <c r="B85" s="10"/>
      <c r="C85" s="10"/>
      <c r="D85" s="10"/>
      <c r="E85" s="10"/>
      <c r="F85" s="10"/>
      <c r="I85" s="10"/>
      <c r="J85" s="10"/>
      <c r="K85" s="10"/>
      <c r="L85" s="10"/>
      <c r="M85" s="10"/>
      <c r="N85" s="10"/>
      <c r="O85" s="10"/>
      <c r="P85" s="11"/>
      <c r="Q85" s="10"/>
      <c r="R85" s="10"/>
    </row>
    <row r="86">
      <c r="A86" s="10"/>
      <c r="B86" s="10"/>
      <c r="C86" s="10"/>
      <c r="D86" s="10"/>
      <c r="E86" s="10"/>
      <c r="F86" s="10"/>
      <c r="I86" s="10"/>
      <c r="J86" s="10"/>
      <c r="M86" s="10"/>
      <c r="Q86" s="10"/>
      <c r="R86" s="10"/>
    </row>
    <row r="87">
      <c r="A87" s="10"/>
      <c r="B87" s="10"/>
      <c r="C87" s="10"/>
      <c r="D87" s="10"/>
      <c r="E87" s="10"/>
      <c r="F87" s="10"/>
      <c r="H87" s="10"/>
      <c r="I87" s="10"/>
      <c r="J87" s="10"/>
      <c r="K87" s="10"/>
      <c r="L87" s="10"/>
      <c r="M87" s="10"/>
      <c r="N87" s="10"/>
      <c r="O87" s="10"/>
      <c r="P87" s="11"/>
      <c r="Q87" s="10"/>
      <c r="R87" s="10"/>
      <c r="T87" s="10"/>
      <c r="U87" s="10"/>
      <c r="V87" s="10"/>
      <c r="X87" s="10"/>
    </row>
    <row r="88">
      <c r="A88" s="10"/>
      <c r="B88" s="10"/>
      <c r="C88" s="10"/>
      <c r="D88" s="10"/>
      <c r="E88" s="10"/>
      <c r="F88" s="10"/>
      <c r="H88" s="10"/>
      <c r="I88" s="10"/>
      <c r="J88" s="10"/>
      <c r="K88" s="10"/>
      <c r="M88" s="10"/>
      <c r="O88" s="10"/>
      <c r="Q88" s="10"/>
      <c r="R88" s="10"/>
      <c r="T88" s="10"/>
      <c r="V88" s="10"/>
      <c r="X88" s="10"/>
    </row>
    <row r="89">
      <c r="A89" s="10"/>
      <c r="B89" s="10"/>
      <c r="C89" s="10"/>
      <c r="D89" s="10"/>
      <c r="E89" s="10"/>
      <c r="F89" s="10"/>
      <c r="I89" s="10"/>
      <c r="J89" s="10"/>
      <c r="K89" s="10"/>
      <c r="L89" s="10"/>
      <c r="M89" s="10"/>
      <c r="N89" s="10"/>
      <c r="O89" s="10"/>
      <c r="P89" s="11"/>
      <c r="Q89" s="10"/>
      <c r="R89" s="10"/>
      <c r="T89" s="10"/>
      <c r="U89" s="10"/>
      <c r="V89" s="10"/>
      <c r="X89" s="10"/>
    </row>
    <row r="90">
      <c r="A90" s="10"/>
      <c r="B90" s="10"/>
      <c r="C90" s="10"/>
      <c r="D90" s="10"/>
      <c r="E90" s="10"/>
      <c r="F90" s="10"/>
      <c r="I90" s="10"/>
      <c r="J90" s="10"/>
      <c r="M90" s="10"/>
      <c r="Q90" s="10"/>
      <c r="R90" s="10"/>
    </row>
    <row r="91">
      <c r="A91" s="10"/>
      <c r="B91" s="10"/>
      <c r="C91" s="10"/>
      <c r="D91" s="10"/>
      <c r="E91" s="10"/>
      <c r="F91" s="10"/>
      <c r="I91" s="10"/>
      <c r="J91" s="10"/>
      <c r="M91" s="10"/>
      <c r="Q91" s="10"/>
      <c r="R91" s="10"/>
    </row>
    <row r="92">
      <c r="A92" s="10"/>
      <c r="B92" s="10"/>
      <c r="C92" s="10"/>
      <c r="D92" s="10"/>
      <c r="E92" s="10"/>
      <c r="F92" s="10"/>
      <c r="I92" s="10"/>
      <c r="J92" s="10"/>
      <c r="M92" s="10"/>
      <c r="Q92" s="10"/>
      <c r="R92" s="10"/>
    </row>
    <row r="93">
      <c r="A93" s="10"/>
      <c r="B93" s="10"/>
      <c r="C93" s="10"/>
      <c r="D93" s="10"/>
      <c r="E93" s="10"/>
      <c r="F93" s="10"/>
      <c r="I93" s="10"/>
      <c r="J93" s="10"/>
      <c r="M93" s="10"/>
      <c r="Q93" s="10"/>
      <c r="R93" s="10"/>
    </row>
    <row r="94">
      <c r="A94" s="10"/>
      <c r="B94" s="10"/>
      <c r="C94" s="10"/>
      <c r="D94" s="10"/>
      <c r="E94" s="10"/>
      <c r="F94" s="10"/>
      <c r="I94" s="10"/>
      <c r="J94" s="10"/>
      <c r="M94" s="10"/>
      <c r="Q94" s="10"/>
      <c r="R94" s="10"/>
    </row>
    <row r="95">
      <c r="A95" s="10"/>
      <c r="B95" s="10"/>
      <c r="C95" s="10"/>
      <c r="D95" s="10"/>
      <c r="E95" s="10"/>
      <c r="F95" s="10"/>
      <c r="I95" s="10"/>
      <c r="J95" s="10"/>
      <c r="M95" s="10"/>
      <c r="Q95" s="10"/>
      <c r="R95" s="10"/>
    </row>
    <row r="96">
      <c r="A96" s="10"/>
      <c r="B96" s="10"/>
      <c r="C96" s="10"/>
      <c r="D96" s="10"/>
      <c r="E96" s="10"/>
      <c r="F96" s="10"/>
      <c r="I96" s="10"/>
      <c r="J96" s="10"/>
      <c r="M96" s="10"/>
      <c r="Q96" s="10"/>
      <c r="R96" s="10"/>
    </row>
    <row r="97">
      <c r="A97" s="10"/>
      <c r="B97" s="10"/>
      <c r="C97" s="10"/>
      <c r="D97" s="10"/>
      <c r="E97" s="10"/>
      <c r="F97" s="10"/>
      <c r="I97" s="10"/>
      <c r="J97" s="10"/>
      <c r="M97" s="10"/>
      <c r="Q97" s="10"/>
      <c r="R97" s="10"/>
    </row>
    <row r="98">
      <c r="A98" s="10"/>
      <c r="B98" s="10"/>
      <c r="C98" s="10"/>
      <c r="D98" s="10"/>
      <c r="E98" s="10"/>
      <c r="F98" s="10"/>
      <c r="I98" s="10"/>
      <c r="J98" s="10"/>
      <c r="M98" s="10"/>
      <c r="Q98" s="10"/>
      <c r="R98" s="10"/>
    </row>
    <row r="99">
      <c r="A99" s="10"/>
      <c r="B99" s="10"/>
      <c r="C99" s="10"/>
      <c r="D99" s="10"/>
      <c r="E99" s="10"/>
      <c r="F99" s="10"/>
      <c r="I99" s="10"/>
      <c r="J99" s="10"/>
      <c r="M99" s="10"/>
      <c r="Q99" s="10"/>
      <c r="R99" s="10"/>
    </row>
    <row r="100">
      <c r="A100" s="10"/>
      <c r="B100" s="10"/>
      <c r="C100" s="10"/>
      <c r="D100" s="10"/>
      <c r="E100" s="10"/>
      <c r="F100" s="10"/>
      <c r="I100" s="10"/>
      <c r="J100" s="10"/>
      <c r="M100" s="10"/>
      <c r="Q100" s="10"/>
      <c r="R100" s="10"/>
    </row>
    <row r="101">
      <c r="A101" s="10"/>
      <c r="B101" s="10"/>
      <c r="C101" s="10"/>
      <c r="D101" s="10"/>
      <c r="E101" s="10"/>
      <c r="F101" s="10"/>
      <c r="I101" s="10"/>
      <c r="J101" s="10"/>
      <c r="M101" s="10"/>
      <c r="Q101" s="10"/>
      <c r="R101" s="10"/>
    </row>
    <row r="102">
      <c r="A102" s="10"/>
      <c r="B102" s="10"/>
      <c r="C102" s="10"/>
      <c r="D102" s="10"/>
      <c r="E102" s="10"/>
      <c r="F102" s="10"/>
      <c r="I102" s="10"/>
      <c r="J102" s="10"/>
      <c r="K102" s="10"/>
      <c r="M102" s="10"/>
      <c r="Q102" s="10"/>
      <c r="R102" s="10"/>
    </row>
    <row r="103">
      <c r="A103" s="10"/>
      <c r="B103" s="10"/>
      <c r="C103" s="10"/>
      <c r="D103" s="10"/>
      <c r="E103" s="10"/>
      <c r="F103" s="10"/>
      <c r="I103" s="10"/>
      <c r="L103" s="10"/>
      <c r="M103" s="10"/>
      <c r="N103" s="10"/>
      <c r="O103" s="20"/>
      <c r="P103" s="11"/>
      <c r="Q103" s="10"/>
      <c r="R103" s="10"/>
      <c r="S103" s="10"/>
      <c r="T103" s="10"/>
      <c r="U103" s="10"/>
      <c r="V103" s="10"/>
      <c r="X103" s="10"/>
      <c r="Y103" s="11"/>
    </row>
    <row r="104">
      <c r="A104" s="10"/>
      <c r="B104" s="10"/>
      <c r="C104" s="10"/>
      <c r="D104" s="10"/>
      <c r="E104" s="10"/>
      <c r="F104" s="10"/>
      <c r="I104" s="10"/>
      <c r="J104" s="10"/>
      <c r="K104" s="10"/>
      <c r="L104" s="10"/>
      <c r="M104" s="10"/>
      <c r="N104" s="10"/>
      <c r="O104" s="10"/>
      <c r="P104" s="11"/>
      <c r="Q104" s="10"/>
      <c r="R104" s="10"/>
      <c r="S104" s="10"/>
      <c r="T104" s="10"/>
      <c r="U104" s="10"/>
      <c r="V104" s="10"/>
      <c r="X104" s="10"/>
    </row>
    <row r="105">
      <c r="A105" s="10"/>
      <c r="B105" s="10"/>
      <c r="C105" s="10"/>
      <c r="D105" s="10"/>
      <c r="E105" s="10"/>
      <c r="F105" s="10"/>
      <c r="I105" s="10"/>
      <c r="J105" s="10"/>
      <c r="M105" s="10"/>
      <c r="N105" s="10"/>
      <c r="Q105" s="10"/>
      <c r="Y105" s="11"/>
    </row>
    <row r="106">
      <c r="A106" s="10"/>
      <c r="B106" s="10"/>
      <c r="C106" s="10"/>
      <c r="D106" s="10"/>
      <c r="E106" s="10"/>
      <c r="F106" s="10"/>
      <c r="H106" s="10"/>
      <c r="I106" s="10"/>
      <c r="J106" s="10"/>
      <c r="K106" s="10"/>
      <c r="L106" s="10"/>
      <c r="M106" s="10"/>
      <c r="N106" s="10"/>
      <c r="O106" s="10"/>
      <c r="P106" s="11"/>
      <c r="Q106" s="10"/>
      <c r="R106" s="10"/>
      <c r="S106" s="10"/>
      <c r="T106" s="10"/>
      <c r="U106" s="10"/>
      <c r="V106" s="10"/>
      <c r="X106" s="10"/>
    </row>
    <row r="107">
      <c r="A107" s="10"/>
      <c r="B107" s="10"/>
      <c r="C107" s="10"/>
      <c r="D107" s="10"/>
      <c r="E107" s="10"/>
      <c r="F107" s="10"/>
      <c r="I107" s="10"/>
      <c r="J107" s="10"/>
      <c r="K107" s="10"/>
      <c r="M107" s="10"/>
      <c r="N107" s="10"/>
      <c r="Q107" s="10"/>
      <c r="R107" s="10"/>
    </row>
    <row r="108">
      <c r="A108" s="10"/>
      <c r="B108" s="10"/>
      <c r="C108" s="10"/>
      <c r="D108" s="10"/>
      <c r="E108" s="10"/>
      <c r="F108" s="10"/>
      <c r="I108" s="10"/>
      <c r="J108" s="10"/>
      <c r="K108" s="10"/>
      <c r="M108" s="10"/>
      <c r="N108" s="10"/>
      <c r="O108" s="11"/>
      <c r="P108" s="11"/>
      <c r="Q108" s="10"/>
      <c r="R108" s="10"/>
    </row>
    <row r="109">
      <c r="A109" s="10"/>
      <c r="B109" s="10"/>
      <c r="C109" s="10"/>
      <c r="D109" s="10"/>
      <c r="E109" s="10"/>
      <c r="F109" s="10"/>
      <c r="I109" s="10"/>
      <c r="J109" s="10"/>
      <c r="K109" s="10"/>
      <c r="L109" s="10"/>
      <c r="M109" s="10"/>
      <c r="N109" s="10"/>
      <c r="Q109" s="10"/>
      <c r="R109" s="10"/>
    </row>
    <row r="110">
      <c r="A110" s="10"/>
      <c r="B110" s="10"/>
      <c r="C110" s="10"/>
      <c r="D110" s="10"/>
      <c r="E110" s="10"/>
      <c r="F110" s="10"/>
      <c r="I110" s="10"/>
      <c r="J110" s="10"/>
      <c r="N110" s="10"/>
      <c r="Q110" s="10"/>
      <c r="R110" s="10"/>
    </row>
    <row r="111">
      <c r="A111" s="10"/>
      <c r="B111" s="10"/>
      <c r="C111" s="10"/>
      <c r="D111" s="10"/>
      <c r="E111" s="10"/>
      <c r="F111" s="10"/>
      <c r="H111" s="10"/>
      <c r="I111" s="10"/>
      <c r="J111" s="10"/>
      <c r="K111" s="10"/>
      <c r="L111" s="10"/>
      <c r="M111" s="10"/>
      <c r="N111" s="10"/>
      <c r="O111" s="10"/>
      <c r="P111" s="11"/>
      <c r="Q111" s="10"/>
      <c r="R111" s="10"/>
    </row>
    <row r="112">
      <c r="A112" s="10"/>
      <c r="B112" s="10"/>
      <c r="C112" s="10"/>
      <c r="D112" s="10"/>
      <c r="E112" s="10"/>
      <c r="F112" s="10"/>
      <c r="H112" s="10"/>
      <c r="I112" s="10"/>
      <c r="J112" s="10"/>
      <c r="K112" s="10"/>
      <c r="L112" s="10"/>
      <c r="M112" s="10"/>
      <c r="N112" s="10"/>
      <c r="O112" s="10"/>
      <c r="P112" s="11"/>
      <c r="Q112" s="10"/>
      <c r="R112" s="10"/>
      <c r="T112" s="10"/>
      <c r="U112" s="10"/>
      <c r="V112" s="10"/>
      <c r="X112" s="10"/>
    </row>
    <row r="113">
      <c r="A113" s="10"/>
      <c r="B113" s="10"/>
      <c r="C113" s="10"/>
      <c r="D113" s="10"/>
      <c r="E113" s="10"/>
      <c r="F113" s="10"/>
      <c r="I113" s="10"/>
      <c r="J113" s="10"/>
      <c r="M113" s="10"/>
      <c r="N113" s="10"/>
      <c r="Q113" s="10"/>
      <c r="R113" s="10"/>
    </row>
    <row r="114">
      <c r="A114" s="10"/>
      <c r="B114" s="10"/>
      <c r="C114" s="10"/>
      <c r="D114" s="10"/>
      <c r="E114" s="10"/>
      <c r="F114" s="10"/>
      <c r="H114" s="10"/>
      <c r="I114" s="10"/>
      <c r="J114" s="10"/>
      <c r="K114" s="10"/>
      <c r="L114" s="10"/>
      <c r="M114" s="10"/>
      <c r="N114" s="10"/>
      <c r="O114" s="10"/>
      <c r="P114" s="11"/>
      <c r="Q114" s="10"/>
      <c r="R114" s="10"/>
      <c r="T114" s="10"/>
      <c r="U114" s="10"/>
      <c r="V114" s="10"/>
      <c r="X114" s="10"/>
    </row>
    <row r="115">
      <c r="A115" s="10"/>
      <c r="B115" s="10"/>
      <c r="C115" s="10"/>
      <c r="D115" s="10"/>
      <c r="E115" s="10"/>
      <c r="F115" s="10"/>
      <c r="I115" s="10"/>
      <c r="J115" s="10"/>
      <c r="K115" s="10"/>
      <c r="L115" s="10"/>
      <c r="M115" s="10"/>
      <c r="N115" s="10"/>
      <c r="O115" s="10"/>
      <c r="P115" s="11"/>
      <c r="Q115" s="10"/>
      <c r="R115" s="10"/>
      <c r="U115" s="10"/>
      <c r="V115" s="10"/>
      <c r="X115" s="10"/>
    </row>
    <row r="116">
      <c r="A116" s="10"/>
      <c r="B116" s="10"/>
      <c r="C116" s="10"/>
      <c r="D116" s="10"/>
      <c r="E116" s="10"/>
      <c r="F116" s="10"/>
      <c r="I116" s="10"/>
      <c r="J116" s="10"/>
      <c r="K116" s="10"/>
      <c r="M116" s="10"/>
      <c r="N116" s="10"/>
      <c r="O116" s="10"/>
      <c r="P116" s="11"/>
      <c r="Q116" s="10"/>
      <c r="R116" s="10"/>
    </row>
    <row r="117">
      <c r="A117" s="10"/>
      <c r="B117" s="10"/>
      <c r="C117" s="10"/>
      <c r="D117" s="10"/>
      <c r="E117" s="10"/>
      <c r="F117" s="10"/>
      <c r="I117" s="10"/>
      <c r="J117" s="10"/>
      <c r="M117" s="10"/>
      <c r="N117" s="10"/>
      <c r="Q117" s="10"/>
      <c r="R117" s="10"/>
    </row>
    <row r="118">
      <c r="A118" s="10"/>
      <c r="B118" s="10"/>
      <c r="C118" s="10"/>
      <c r="D118" s="10"/>
      <c r="E118" s="10"/>
      <c r="F118" s="10"/>
      <c r="H118" s="10"/>
      <c r="I118" s="10"/>
      <c r="J118" s="10"/>
      <c r="K118" s="10"/>
      <c r="L118" s="10"/>
      <c r="M118" s="10"/>
      <c r="N118" s="10"/>
      <c r="O118" s="10"/>
      <c r="P118" s="11"/>
      <c r="Q118" s="10"/>
      <c r="R118" s="10"/>
      <c r="S118" s="10"/>
      <c r="T118" s="10"/>
      <c r="U118" s="10"/>
      <c r="V118" s="10"/>
      <c r="X118" s="10"/>
    </row>
    <row r="119">
      <c r="A119" s="10"/>
      <c r="B119" s="10"/>
      <c r="C119" s="10"/>
      <c r="D119" s="10"/>
      <c r="E119" s="10"/>
      <c r="F119" s="10"/>
      <c r="H119" s="10"/>
      <c r="I119" s="10"/>
      <c r="J119" s="10"/>
      <c r="K119" s="10"/>
      <c r="L119" s="10"/>
      <c r="M119" s="10"/>
      <c r="N119" s="10"/>
      <c r="O119" s="10"/>
      <c r="P119" s="11"/>
      <c r="Q119" s="10"/>
      <c r="R119" s="10"/>
      <c r="S119" s="10"/>
      <c r="T119" s="10"/>
      <c r="U119" s="10"/>
      <c r="V119" s="10"/>
      <c r="X119" s="10"/>
    </row>
    <row r="120">
      <c r="A120" s="10"/>
      <c r="B120" s="10"/>
      <c r="C120" s="10"/>
      <c r="D120" s="10"/>
      <c r="E120" s="10"/>
      <c r="F120" s="10"/>
      <c r="I120" s="10"/>
      <c r="J120" s="10"/>
      <c r="K120" s="10"/>
      <c r="L120" s="10"/>
      <c r="M120" s="10"/>
      <c r="N120" s="10"/>
      <c r="O120" s="10"/>
      <c r="Q120" s="10"/>
      <c r="R120" s="10"/>
      <c r="S120" s="10"/>
      <c r="T120" s="10"/>
      <c r="U120" s="10"/>
    </row>
    <row r="121">
      <c r="A121" s="10"/>
      <c r="B121" s="10"/>
      <c r="C121" s="10"/>
      <c r="D121" s="10"/>
      <c r="E121" s="10"/>
      <c r="F121" s="10"/>
      <c r="I121" s="10"/>
      <c r="J121" s="10"/>
      <c r="M121" s="10"/>
      <c r="N121" s="10"/>
      <c r="P121" s="11"/>
      <c r="Q121" s="10"/>
      <c r="R121" s="10"/>
    </row>
    <row r="122">
      <c r="A122" s="10"/>
      <c r="B122" s="10"/>
      <c r="C122" s="10"/>
      <c r="D122" s="10"/>
      <c r="E122" s="10"/>
      <c r="F122" s="10"/>
      <c r="I122" s="10"/>
      <c r="J122" s="10"/>
      <c r="K122" s="10"/>
      <c r="L122" s="10"/>
      <c r="M122" s="10"/>
      <c r="N122" s="10"/>
      <c r="O122" s="10"/>
      <c r="Q122" s="10"/>
      <c r="R122" s="10"/>
    </row>
    <row r="123">
      <c r="A123" s="10"/>
      <c r="B123" s="10"/>
      <c r="C123" s="10"/>
      <c r="D123" s="10"/>
      <c r="E123" s="10"/>
      <c r="F123" s="10"/>
      <c r="H123" s="10"/>
      <c r="I123" s="10"/>
      <c r="J123" s="10"/>
      <c r="K123" s="10"/>
      <c r="L123" s="10"/>
      <c r="M123" s="10"/>
      <c r="N123" s="10"/>
      <c r="O123" s="10"/>
      <c r="P123" s="11"/>
      <c r="Q123" s="10"/>
      <c r="R123" s="10"/>
      <c r="T123" s="10"/>
      <c r="U123" s="10"/>
      <c r="V123" s="10"/>
      <c r="X123" s="10"/>
    </row>
    <row r="124">
      <c r="A124" s="10"/>
      <c r="B124" s="10"/>
      <c r="C124" s="10"/>
      <c r="D124" s="10"/>
      <c r="E124" s="10"/>
      <c r="F124" s="10"/>
      <c r="I124" s="10"/>
      <c r="J124" s="10"/>
      <c r="K124" s="10"/>
      <c r="M124" s="10"/>
      <c r="N124" s="10"/>
      <c r="Q124" s="10"/>
      <c r="R124" s="10"/>
    </row>
    <row r="125">
      <c r="A125" s="10"/>
      <c r="B125" s="10"/>
      <c r="C125" s="10"/>
      <c r="D125" s="10"/>
      <c r="E125" s="10"/>
      <c r="F125" s="10"/>
      <c r="I125" s="10"/>
      <c r="J125" s="10"/>
      <c r="K125" s="10"/>
      <c r="M125" s="10"/>
      <c r="N125" s="10"/>
      <c r="Q125" s="10"/>
      <c r="R125" s="10"/>
    </row>
    <row r="126">
      <c r="A126" s="10"/>
      <c r="B126" s="10"/>
      <c r="C126" s="10"/>
      <c r="D126" s="10"/>
      <c r="E126" s="10"/>
      <c r="F126" s="10"/>
      <c r="I126" s="10"/>
      <c r="J126" s="10"/>
      <c r="M126" s="10"/>
      <c r="Q126" s="10"/>
      <c r="R126" s="10"/>
    </row>
    <row r="127">
      <c r="A127" s="10"/>
      <c r="B127" s="10"/>
      <c r="C127" s="10"/>
      <c r="D127" s="10"/>
      <c r="E127" s="10"/>
      <c r="F127" s="10"/>
      <c r="I127" s="10"/>
      <c r="J127" s="10"/>
      <c r="K127" s="10"/>
      <c r="M127" s="10"/>
      <c r="Q127" s="10"/>
      <c r="R127" s="10"/>
    </row>
    <row r="128">
      <c r="A128" s="10"/>
      <c r="B128" s="10"/>
      <c r="C128" s="10"/>
      <c r="D128" s="10"/>
      <c r="E128" s="10"/>
      <c r="F128" s="10"/>
      <c r="I128" s="10"/>
      <c r="J128" s="10"/>
      <c r="K128" s="10"/>
      <c r="M128" s="10"/>
      <c r="N128" s="10"/>
      <c r="O128" s="18"/>
      <c r="P128" s="11"/>
      <c r="Q128" s="10"/>
      <c r="R128" s="10"/>
      <c r="S128" s="10"/>
    </row>
    <row r="129">
      <c r="A129" s="10"/>
      <c r="B129" s="10"/>
      <c r="C129" s="10"/>
      <c r="D129" s="10"/>
      <c r="E129" s="10"/>
      <c r="F129" s="10"/>
      <c r="H129" s="10"/>
      <c r="I129" s="10"/>
      <c r="J129" s="10"/>
      <c r="K129" s="10"/>
      <c r="M129" s="10"/>
      <c r="N129" s="10"/>
      <c r="O129" s="10"/>
      <c r="P129" s="11"/>
      <c r="Q129" s="10"/>
      <c r="R129" s="10"/>
      <c r="S129" s="10"/>
    </row>
    <row r="130">
      <c r="A130" s="10"/>
      <c r="B130" s="10"/>
      <c r="C130" s="10"/>
      <c r="D130" s="10"/>
      <c r="E130" s="10"/>
      <c r="F130" s="10"/>
      <c r="H130" s="10"/>
      <c r="I130" s="10"/>
      <c r="J130" s="10"/>
      <c r="K130" s="10"/>
      <c r="L130" s="10"/>
      <c r="M130" s="10"/>
      <c r="N130" s="10"/>
      <c r="O130" s="10"/>
      <c r="P130" s="11"/>
      <c r="Q130" s="10"/>
      <c r="R130" s="10"/>
      <c r="S130" s="10"/>
      <c r="T130" s="10"/>
    </row>
    <row r="131">
      <c r="A131" s="10"/>
      <c r="B131" s="10"/>
      <c r="C131" s="10"/>
      <c r="D131" s="10"/>
      <c r="E131" s="10"/>
      <c r="F131" s="10"/>
      <c r="I131" s="10"/>
      <c r="J131" s="10"/>
      <c r="M131" s="10"/>
      <c r="Q131" s="10"/>
      <c r="R131" s="10"/>
    </row>
    <row r="132">
      <c r="A132" s="10"/>
      <c r="B132" s="10"/>
      <c r="C132" s="10"/>
      <c r="D132" s="10"/>
      <c r="E132" s="10"/>
      <c r="F132" s="10"/>
      <c r="I132" s="10"/>
      <c r="J132" s="10"/>
      <c r="K132" s="10"/>
      <c r="L132" s="10"/>
      <c r="M132" s="10"/>
      <c r="N132" s="10"/>
      <c r="O132" s="10"/>
      <c r="P132" s="11"/>
      <c r="Q132" s="10"/>
      <c r="R132" s="10"/>
    </row>
    <row r="133">
      <c r="A133" s="10"/>
      <c r="B133" s="10"/>
      <c r="C133" s="10"/>
      <c r="D133" s="10"/>
      <c r="E133" s="10"/>
      <c r="F133" s="10"/>
      <c r="I133" s="10"/>
      <c r="J133" s="10"/>
      <c r="K133" s="10"/>
      <c r="L133" s="10"/>
      <c r="M133" s="10"/>
      <c r="N133" s="10"/>
      <c r="O133" s="10"/>
      <c r="P133" s="11"/>
      <c r="Q133" s="10"/>
      <c r="R133" s="10"/>
      <c r="T133" s="10"/>
      <c r="U133" s="10"/>
      <c r="V133" s="10"/>
    </row>
    <row r="134">
      <c r="A134" s="10"/>
      <c r="B134" s="10"/>
      <c r="C134" s="10"/>
      <c r="D134" s="10"/>
      <c r="E134" s="10"/>
      <c r="F134" s="10"/>
      <c r="I134" s="10"/>
      <c r="J134" s="10"/>
      <c r="K134" s="10"/>
      <c r="M134" s="10"/>
      <c r="Q134" s="10"/>
      <c r="R134" s="10"/>
    </row>
    <row r="135">
      <c r="A135" s="10"/>
      <c r="B135" s="10"/>
      <c r="C135" s="10"/>
      <c r="D135" s="10"/>
      <c r="E135" s="10"/>
      <c r="F135" s="10"/>
      <c r="I135" s="10"/>
      <c r="J135" s="10"/>
      <c r="K135" s="10"/>
      <c r="M135" s="10"/>
      <c r="Q135" s="10"/>
      <c r="R135" s="10"/>
    </row>
    <row r="136">
      <c r="A136" s="10"/>
      <c r="B136" s="10"/>
      <c r="C136" s="10"/>
      <c r="D136" s="10"/>
      <c r="E136" s="10"/>
      <c r="F136" s="10"/>
      <c r="H136" s="10"/>
      <c r="I136" s="10"/>
      <c r="J136" s="10"/>
      <c r="K136" s="10"/>
      <c r="L136" s="10"/>
      <c r="M136" s="10"/>
      <c r="N136" s="10"/>
      <c r="O136" s="10"/>
      <c r="P136" s="11"/>
      <c r="Q136" s="10"/>
      <c r="R136" s="10"/>
      <c r="S136" s="10"/>
      <c r="T136" s="10"/>
      <c r="V136" s="10"/>
      <c r="X136" s="10"/>
    </row>
    <row r="137">
      <c r="A137" s="10"/>
      <c r="B137" s="10"/>
      <c r="C137" s="10"/>
      <c r="D137" s="10"/>
      <c r="E137" s="10"/>
      <c r="F137" s="10"/>
      <c r="I137" s="10"/>
      <c r="J137" s="10"/>
      <c r="K137" s="10"/>
      <c r="L137" s="10"/>
      <c r="M137" s="10"/>
      <c r="Q137" s="10"/>
      <c r="R137" s="10"/>
    </row>
    <row r="138">
      <c r="A138" s="10"/>
      <c r="B138" s="10"/>
      <c r="C138" s="10"/>
      <c r="D138" s="10"/>
      <c r="E138" s="10"/>
      <c r="F138" s="10"/>
      <c r="I138" s="10"/>
      <c r="J138" s="10"/>
      <c r="K138" s="10"/>
      <c r="L138" s="10"/>
      <c r="M138" s="10"/>
      <c r="N138" s="10"/>
      <c r="O138" s="10"/>
      <c r="P138" s="11"/>
      <c r="Q138" s="10"/>
      <c r="R138" s="10"/>
    </row>
    <row r="139">
      <c r="A139" s="10"/>
      <c r="B139" s="10"/>
      <c r="C139" s="10"/>
      <c r="D139" s="10"/>
      <c r="E139" s="10"/>
      <c r="F139" s="10"/>
      <c r="I139" s="10"/>
      <c r="J139" s="10"/>
      <c r="M139" s="10"/>
      <c r="Q139" s="10"/>
      <c r="R139" s="10"/>
    </row>
    <row r="140">
      <c r="A140" s="10"/>
      <c r="B140" s="10"/>
      <c r="C140" s="10"/>
      <c r="D140" s="10"/>
      <c r="E140" s="10"/>
      <c r="F140" s="10"/>
      <c r="H140" s="10"/>
      <c r="I140" s="10"/>
      <c r="J140" s="10"/>
      <c r="K140" s="10"/>
      <c r="L140" s="10"/>
      <c r="M140" s="10"/>
      <c r="N140" s="10"/>
      <c r="O140" s="10"/>
      <c r="P140" s="11"/>
      <c r="Q140" s="10"/>
      <c r="R140" s="10"/>
      <c r="T140" s="10"/>
      <c r="U140" s="10"/>
      <c r="V140" s="10"/>
      <c r="X140" s="10"/>
    </row>
    <row r="141">
      <c r="A141" s="10"/>
      <c r="B141" s="10"/>
      <c r="C141" s="10"/>
      <c r="D141" s="10"/>
      <c r="E141" s="10"/>
      <c r="F141" s="10"/>
      <c r="H141" s="10"/>
      <c r="I141" s="10"/>
      <c r="J141" s="10"/>
      <c r="K141" s="10"/>
      <c r="M141" s="10"/>
      <c r="O141" s="10"/>
      <c r="Q141" s="10"/>
      <c r="R141" s="10"/>
      <c r="T141" s="10"/>
      <c r="V141" s="10"/>
      <c r="X141" s="10"/>
    </row>
    <row r="142">
      <c r="A142" s="10"/>
      <c r="B142" s="10"/>
      <c r="C142" s="10"/>
      <c r="D142" s="10"/>
      <c r="E142" s="10"/>
      <c r="F142" s="10"/>
      <c r="I142" s="10"/>
      <c r="J142" s="10"/>
      <c r="K142" s="10"/>
      <c r="L142" s="10"/>
      <c r="M142" s="10"/>
      <c r="N142" s="10"/>
      <c r="O142" s="10"/>
      <c r="P142" s="11"/>
      <c r="Q142" s="10"/>
      <c r="R142" s="10"/>
      <c r="T142" s="10"/>
      <c r="U142" s="10"/>
      <c r="V142" s="10"/>
      <c r="X142" s="10"/>
    </row>
    <row r="143">
      <c r="A143" s="10"/>
      <c r="B143" s="10"/>
      <c r="C143" s="10"/>
      <c r="D143" s="10"/>
      <c r="E143" s="10"/>
      <c r="F143" s="10"/>
      <c r="I143" s="10"/>
      <c r="J143" s="10"/>
      <c r="M143" s="10"/>
      <c r="Q143" s="10"/>
      <c r="R143" s="10"/>
    </row>
    <row r="144">
      <c r="A144" s="10"/>
      <c r="B144" s="10"/>
      <c r="C144" s="10"/>
      <c r="D144" s="10"/>
      <c r="E144" s="10"/>
      <c r="F144" s="10"/>
      <c r="I144" s="10"/>
      <c r="J144" s="10"/>
      <c r="M144" s="10"/>
      <c r="Q144" s="10"/>
      <c r="R144" s="10"/>
    </row>
    <row r="145">
      <c r="A145" s="10"/>
      <c r="B145" s="10"/>
      <c r="C145" s="10"/>
      <c r="D145" s="10"/>
      <c r="E145" s="10"/>
      <c r="F145" s="10"/>
      <c r="I145" s="10"/>
      <c r="J145" s="10"/>
      <c r="M145" s="10"/>
      <c r="Q145" s="10"/>
      <c r="R145" s="10"/>
    </row>
    <row r="146">
      <c r="A146" s="10"/>
      <c r="B146" s="10"/>
      <c r="C146" s="10"/>
      <c r="D146" s="10"/>
      <c r="E146" s="10"/>
      <c r="F146" s="10"/>
      <c r="I146" s="10"/>
      <c r="J146" s="10"/>
      <c r="M146" s="10"/>
      <c r="Q146" s="10"/>
      <c r="R146" s="10"/>
    </row>
    <row r="147">
      <c r="A147" s="10"/>
      <c r="B147" s="10"/>
      <c r="C147" s="10"/>
      <c r="D147" s="10"/>
      <c r="E147" s="10"/>
      <c r="F147" s="10"/>
      <c r="I147" s="10"/>
      <c r="J147" s="10"/>
      <c r="M147" s="10"/>
      <c r="Q147" s="10"/>
      <c r="R147" s="10"/>
    </row>
    <row r="148">
      <c r="A148" s="10"/>
      <c r="B148" s="10"/>
      <c r="C148" s="10"/>
      <c r="D148" s="10"/>
      <c r="E148" s="10"/>
      <c r="F148" s="10"/>
      <c r="I148" s="10"/>
      <c r="J148" s="10"/>
      <c r="M148" s="10"/>
      <c r="Q148" s="10"/>
      <c r="R148" s="10"/>
    </row>
    <row r="149">
      <c r="A149" s="10"/>
      <c r="B149" s="10"/>
      <c r="C149" s="10"/>
      <c r="D149" s="10"/>
      <c r="E149" s="10"/>
      <c r="F149" s="10"/>
      <c r="I149" s="10"/>
      <c r="J149" s="10"/>
      <c r="M149" s="10"/>
      <c r="Q149" s="10"/>
      <c r="R149" s="10"/>
    </row>
    <row r="150">
      <c r="A150" s="10"/>
      <c r="B150" s="10"/>
      <c r="C150" s="10"/>
      <c r="D150" s="10"/>
      <c r="E150" s="10"/>
      <c r="F150" s="10"/>
      <c r="I150" s="10"/>
      <c r="J150" s="10"/>
      <c r="M150" s="10"/>
      <c r="Q150" s="10"/>
      <c r="R150" s="10"/>
    </row>
    <row r="151">
      <c r="A151" s="10"/>
      <c r="B151" s="10"/>
      <c r="C151" s="10"/>
      <c r="D151" s="10"/>
      <c r="E151" s="10"/>
      <c r="F151" s="10"/>
      <c r="I151" s="10"/>
      <c r="J151" s="10"/>
      <c r="M151" s="10"/>
      <c r="Q151" s="10"/>
      <c r="R151" s="10"/>
    </row>
    <row r="152">
      <c r="A152" s="10"/>
      <c r="B152" s="10"/>
      <c r="C152" s="10"/>
      <c r="D152" s="10"/>
      <c r="E152" s="10"/>
      <c r="F152" s="10"/>
      <c r="I152" s="10"/>
      <c r="J152" s="10"/>
      <c r="M152" s="10"/>
      <c r="Q152" s="10"/>
      <c r="R152" s="10"/>
    </row>
    <row r="153">
      <c r="A153" s="10"/>
      <c r="B153" s="10"/>
      <c r="C153" s="10"/>
      <c r="D153" s="10"/>
      <c r="E153" s="10"/>
      <c r="F153" s="10"/>
      <c r="I153" s="10"/>
      <c r="J153" s="10"/>
      <c r="M153" s="10"/>
      <c r="Q153" s="10"/>
      <c r="R153" s="10"/>
    </row>
    <row r="154">
      <c r="A154" s="10"/>
      <c r="B154" s="10"/>
      <c r="C154" s="10"/>
      <c r="D154" s="10"/>
      <c r="E154" s="10"/>
      <c r="F154" s="10"/>
      <c r="I154" s="10"/>
      <c r="J154" s="10"/>
      <c r="M154" s="10"/>
      <c r="Q154" s="10"/>
      <c r="R154" s="10"/>
    </row>
    <row r="155">
      <c r="A155" s="10"/>
      <c r="B155" s="10"/>
      <c r="C155" s="10"/>
      <c r="D155" s="10"/>
      <c r="E155" s="10"/>
      <c r="F155" s="10"/>
      <c r="I155" s="10"/>
      <c r="J155" s="10"/>
      <c r="K155" s="10"/>
      <c r="M155" s="10"/>
      <c r="Q155" s="10"/>
      <c r="R155" s="10"/>
    </row>
    <row r="156">
      <c r="A156" s="10"/>
      <c r="B156" s="10"/>
      <c r="C156" s="10"/>
      <c r="D156" s="10"/>
      <c r="E156" s="10"/>
      <c r="F156" s="10"/>
      <c r="I156" s="10"/>
      <c r="L156" s="10"/>
      <c r="M156" s="10"/>
      <c r="N156" s="10"/>
      <c r="O156" s="20"/>
      <c r="P156" s="11"/>
      <c r="Q156" s="10"/>
      <c r="R156" s="10"/>
      <c r="S156" s="10"/>
      <c r="T156" s="10"/>
      <c r="U156" s="10"/>
      <c r="V156" s="10"/>
      <c r="X156" s="10"/>
      <c r="Y156" s="11"/>
    </row>
    <row r="157">
      <c r="A157" s="10"/>
      <c r="B157" s="10"/>
      <c r="C157" s="10"/>
      <c r="D157" s="10"/>
      <c r="E157" s="10"/>
      <c r="F157" s="10"/>
      <c r="I157" s="10"/>
      <c r="J157" s="10"/>
      <c r="K157" s="10"/>
      <c r="L157" s="10"/>
      <c r="M157" s="10"/>
      <c r="N157" s="10"/>
      <c r="O157" s="10"/>
      <c r="P157" s="11"/>
      <c r="Q157" s="10"/>
      <c r="R157" s="10"/>
      <c r="S157" s="10"/>
      <c r="T157" s="10"/>
      <c r="U157" s="10"/>
      <c r="V157" s="10"/>
      <c r="X157" s="10"/>
    </row>
    <row r="158">
      <c r="A158" s="10"/>
      <c r="B158" s="10"/>
      <c r="C158" s="10"/>
      <c r="D158" s="10"/>
      <c r="E158" s="10"/>
      <c r="F158" s="10"/>
      <c r="I158" s="10"/>
      <c r="J158" s="10"/>
      <c r="M158" s="10"/>
      <c r="N158" s="10"/>
      <c r="Q158" s="10"/>
      <c r="Y158" s="11"/>
    </row>
    <row r="159">
      <c r="A159" s="10"/>
      <c r="B159" s="10"/>
      <c r="C159" s="10"/>
      <c r="D159" s="10"/>
      <c r="E159" s="10"/>
      <c r="F159" s="10"/>
      <c r="H159" s="10"/>
      <c r="I159" s="10"/>
      <c r="J159" s="10"/>
      <c r="K159" s="10"/>
      <c r="L159" s="10"/>
      <c r="M159" s="10"/>
      <c r="N159" s="10"/>
      <c r="O159" s="10"/>
      <c r="P159" s="11"/>
      <c r="Q159" s="10"/>
      <c r="R159" s="10"/>
      <c r="S159" s="10"/>
      <c r="T159" s="10"/>
      <c r="U159" s="10"/>
      <c r="V159" s="10"/>
      <c r="X159" s="10"/>
    </row>
    <row r="160">
      <c r="A160" s="10"/>
      <c r="B160" s="10"/>
      <c r="C160" s="10"/>
      <c r="D160" s="10"/>
      <c r="E160" s="10"/>
      <c r="F160" s="10"/>
      <c r="I160" s="10"/>
      <c r="J160" s="10"/>
      <c r="K160" s="10"/>
      <c r="M160" s="10"/>
      <c r="N160" s="10"/>
      <c r="Q160" s="10"/>
      <c r="R160" s="10"/>
    </row>
    <row r="161">
      <c r="A161" s="10"/>
      <c r="B161" s="10"/>
      <c r="C161" s="10"/>
      <c r="D161" s="10"/>
      <c r="E161" s="10"/>
      <c r="F161" s="10"/>
      <c r="I161" s="10"/>
      <c r="J161" s="10"/>
      <c r="K161" s="10"/>
      <c r="M161" s="10"/>
      <c r="N161" s="10"/>
      <c r="O161" s="11"/>
      <c r="P161" s="11"/>
      <c r="Q161" s="10"/>
      <c r="R161" s="10"/>
    </row>
    <row r="162">
      <c r="A162" s="10"/>
      <c r="B162" s="10"/>
      <c r="C162" s="10"/>
      <c r="D162" s="10"/>
      <c r="E162" s="10"/>
      <c r="F162" s="10"/>
      <c r="I162" s="10"/>
      <c r="J162" s="10"/>
      <c r="K162" s="10"/>
      <c r="L162" s="10"/>
      <c r="M162" s="10"/>
      <c r="N162" s="10"/>
      <c r="Q162" s="10"/>
      <c r="R162" s="10"/>
    </row>
    <row r="163">
      <c r="A163" s="10"/>
      <c r="B163" s="10"/>
      <c r="C163" s="10"/>
      <c r="D163" s="10"/>
      <c r="E163" s="10"/>
      <c r="F163" s="10"/>
      <c r="I163" s="10"/>
      <c r="J163" s="10"/>
      <c r="N163" s="10"/>
      <c r="Q163" s="10"/>
      <c r="R163" s="10"/>
    </row>
    <row r="164">
      <c r="A164" s="10"/>
      <c r="B164" s="10"/>
      <c r="C164" s="10"/>
      <c r="D164" s="10"/>
      <c r="E164" s="10"/>
      <c r="F164" s="10"/>
      <c r="H164" s="10"/>
      <c r="I164" s="10"/>
      <c r="J164" s="10"/>
      <c r="K164" s="10"/>
      <c r="L164" s="10"/>
      <c r="M164" s="10"/>
      <c r="N164" s="10"/>
      <c r="O164" s="10"/>
      <c r="P164" s="11"/>
      <c r="Q164" s="10"/>
      <c r="R164" s="10"/>
    </row>
    <row r="165">
      <c r="A165" s="10"/>
      <c r="B165" s="10"/>
      <c r="C165" s="10"/>
      <c r="D165" s="10"/>
      <c r="E165" s="10"/>
      <c r="F165" s="10"/>
      <c r="H165" s="10"/>
      <c r="I165" s="10"/>
      <c r="J165" s="10"/>
      <c r="K165" s="10"/>
      <c r="L165" s="10"/>
      <c r="M165" s="10"/>
      <c r="N165" s="10"/>
      <c r="O165" s="10"/>
      <c r="P165" s="11"/>
      <c r="Q165" s="10"/>
      <c r="R165" s="10"/>
      <c r="T165" s="10"/>
      <c r="U165" s="10"/>
      <c r="V165" s="10"/>
      <c r="X165" s="10"/>
    </row>
    <row r="166">
      <c r="A166" s="10"/>
      <c r="B166" s="10"/>
      <c r="C166" s="10"/>
      <c r="D166" s="10"/>
      <c r="E166" s="10"/>
      <c r="F166" s="10"/>
      <c r="I166" s="10"/>
      <c r="J166" s="10"/>
      <c r="M166" s="10"/>
      <c r="N166" s="10"/>
      <c r="Q166" s="10"/>
      <c r="R166" s="10"/>
    </row>
    <row r="167">
      <c r="A167" s="10"/>
      <c r="B167" s="10"/>
      <c r="C167" s="10"/>
      <c r="D167" s="10"/>
      <c r="E167" s="10"/>
      <c r="F167" s="10"/>
      <c r="H167" s="10"/>
      <c r="I167" s="10"/>
      <c r="J167" s="10"/>
      <c r="K167" s="10"/>
      <c r="L167" s="10"/>
      <c r="M167" s="10"/>
      <c r="N167" s="10"/>
      <c r="O167" s="10"/>
      <c r="P167" s="11"/>
      <c r="Q167" s="10"/>
      <c r="R167" s="10"/>
      <c r="T167" s="10"/>
      <c r="U167" s="10"/>
      <c r="V167" s="10"/>
      <c r="X167" s="10"/>
    </row>
    <row r="168">
      <c r="A168" s="10"/>
      <c r="B168" s="10"/>
      <c r="C168" s="10"/>
      <c r="D168" s="10"/>
      <c r="E168" s="10"/>
      <c r="F168" s="10"/>
      <c r="I168" s="10"/>
      <c r="J168" s="10"/>
      <c r="K168" s="10"/>
      <c r="L168" s="10"/>
      <c r="M168" s="10"/>
      <c r="N168" s="10"/>
      <c r="O168" s="10"/>
      <c r="P168" s="11"/>
      <c r="Q168" s="10"/>
      <c r="R168" s="10"/>
      <c r="U168" s="10"/>
      <c r="V168" s="10"/>
      <c r="X168" s="10"/>
    </row>
    <row r="169">
      <c r="A169" s="10"/>
      <c r="B169" s="10"/>
      <c r="C169" s="10"/>
      <c r="D169" s="10"/>
      <c r="E169" s="10"/>
      <c r="F169" s="10"/>
      <c r="I169" s="10"/>
      <c r="J169" s="10"/>
      <c r="K169" s="10"/>
      <c r="M169" s="10"/>
      <c r="N169" s="10"/>
      <c r="O169" s="10"/>
      <c r="P169" s="11"/>
      <c r="Q169" s="10"/>
      <c r="R169" s="10"/>
    </row>
    <row r="170">
      <c r="A170" s="10"/>
      <c r="B170" s="10"/>
      <c r="C170" s="10"/>
      <c r="D170" s="10"/>
      <c r="E170" s="10"/>
      <c r="F170" s="10"/>
      <c r="I170" s="10"/>
      <c r="J170" s="10"/>
      <c r="M170" s="10"/>
      <c r="N170" s="10"/>
      <c r="Q170" s="10"/>
      <c r="R170" s="10"/>
    </row>
    <row r="171">
      <c r="A171" s="10"/>
      <c r="B171" s="10"/>
      <c r="C171" s="10"/>
      <c r="D171" s="10"/>
      <c r="E171" s="10"/>
      <c r="F171" s="10"/>
      <c r="H171" s="10"/>
      <c r="I171" s="10"/>
      <c r="J171" s="10"/>
      <c r="K171" s="10"/>
      <c r="L171" s="10"/>
      <c r="M171" s="10"/>
      <c r="N171" s="10"/>
      <c r="O171" s="10"/>
      <c r="P171" s="11"/>
      <c r="Q171" s="10"/>
      <c r="R171" s="10"/>
      <c r="S171" s="10"/>
      <c r="T171" s="10"/>
      <c r="U171" s="10"/>
      <c r="V171" s="10"/>
      <c r="X171" s="10"/>
    </row>
    <row r="172">
      <c r="A172" s="10"/>
      <c r="B172" s="10"/>
      <c r="C172" s="10"/>
      <c r="D172" s="10"/>
      <c r="E172" s="10"/>
      <c r="F172" s="10"/>
      <c r="H172" s="10"/>
      <c r="I172" s="10"/>
      <c r="J172" s="10"/>
      <c r="K172" s="10"/>
      <c r="L172" s="10"/>
      <c r="M172" s="10"/>
      <c r="N172" s="10"/>
      <c r="O172" s="10"/>
      <c r="P172" s="11"/>
      <c r="Q172" s="10"/>
      <c r="R172" s="10"/>
      <c r="S172" s="10"/>
      <c r="T172" s="10"/>
      <c r="U172" s="10"/>
      <c r="V172" s="10"/>
      <c r="X172" s="10"/>
    </row>
    <row r="173">
      <c r="A173" s="10"/>
      <c r="B173" s="10"/>
      <c r="C173" s="10"/>
      <c r="D173" s="10"/>
      <c r="E173" s="10"/>
      <c r="F173" s="10"/>
      <c r="I173" s="10"/>
      <c r="J173" s="10"/>
      <c r="K173" s="10"/>
      <c r="L173" s="10"/>
      <c r="M173" s="10"/>
      <c r="N173" s="10"/>
      <c r="O173" s="10"/>
      <c r="Q173" s="10"/>
      <c r="R173" s="10"/>
      <c r="S173" s="10"/>
      <c r="T173" s="10"/>
      <c r="U173" s="10"/>
    </row>
    <row r="174">
      <c r="A174" s="10"/>
      <c r="B174" s="10"/>
      <c r="C174" s="10"/>
      <c r="D174" s="10"/>
      <c r="E174" s="10"/>
      <c r="F174" s="10"/>
      <c r="I174" s="10"/>
      <c r="J174" s="10"/>
      <c r="M174" s="10"/>
      <c r="N174" s="10"/>
      <c r="P174" s="11"/>
      <c r="Q174" s="10"/>
      <c r="R174" s="10"/>
    </row>
    <row r="175">
      <c r="A175" s="10"/>
      <c r="B175" s="10"/>
      <c r="C175" s="10"/>
      <c r="D175" s="10"/>
      <c r="E175" s="10"/>
      <c r="F175" s="10"/>
      <c r="I175" s="10"/>
      <c r="J175" s="10"/>
      <c r="K175" s="10"/>
      <c r="L175" s="10"/>
      <c r="M175" s="10"/>
      <c r="N175" s="10"/>
      <c r="O175" s="10"/>
      <c r="Q175" s="10"/>
      <c r="R175" s="10"/>
    </row>
    <row r="176">
      <c r="A176" s="10"/>
      <c r="B176" s="10"/>
      <c r="C176" s="10"/>
      <c r="D176" s="10"/>
      <c r="E176" s="10"/>
      <c r="F176" s="10"/>
      <c r="H176" s="10"/>
      <c r="I176" s="10"/>
      <c r="J176" s="10"/>
      <c r="K176" s="10"/>
      <c r="L176" s="10"/>
      <c r="M176" s="10"/>
      <c r="N176" s="10"/>
      <c r="O176" s="10"/>
      <c r="P176" s="11"/>
      <c r="Q176" s="10"/>
      <c r="R176" s="10"/>
      <c r="T176" s="10"/>
      <c r="U176" s="10"/>
      <c r="V176" s="10"/>
      <c r="X176" s="10"/>
    </row>
    <row r="177">
      <c r="A177" s="10"/>
      <c r="B177" s="10"/>
      <c r="C177" s="10"/>
      <c r="D177" s="10"/>
      <c r="E177" s="10"/>
      <c r="F177" s="10"/>
      <c r="I177" s="10"/>
      <c r="J177" s="10"/>
      <c r="K177" s="10"/>
      <c r="M177" s="10"/>
      <c r="N177" s="10"/>
      <c r="Q177" s="10"/>
      <c r="R177" s="10"/>
    </row>
    <row r="178">
      <c r="A178" s="10"/>
      <c r="B178" s="10"/>
      <c r="C178" s="10"/>
      <c r="D178" s="10"/>
      <c r="E178" s="10"/>
      <c r="F178" s="10"/>
      <c r="I178" s="10"/>
      <c r="J178" s="10"/>
      <c r="K178" s="10"/>
      <c r="M178" s="10"/>
      <c r="N178" s="10"/>
      <c r="Q178" s="10"/>
      <c r="R178" s="10"/>
    </row>
    <row r="179">
      <c r="A179" s="10"/>
      <c r="B179" s="10"/>
      <c r="C179" s="10"/>
      <c r="D179" s="10"/>
      <c r="E179" s="10"/>
      <c r="F179" s="10"/>
      <c r="I179" s="10"/>
      <c r="J179" s="10"/>
      <c r="M179" s="10"/>
      <c r="Q179" s="10"/>
      <c r="R179" s="10"/>
    </row>
    <row r="180">
      <c r="A180" s="10"/>
      <c r="B180" s="10"/>
      <c r="C180" s="10"/>
      <c r="D180" s="10"/>
      <c r="E180" s="10"/>
      <c r="F180" s="10"/>
      <c r="I180" s="10"/>
      <c r="J180" s="10"/>
      <c r="K180" s="10"/>
      <c r="M180" s="10"/>
      <c r="Q180" s="10"/>
      <c r="R180" s="10"/>
    </row>
    <row r="181">
      <c r="A181" s="10"/>
      <c r="B181" s="10"/>
      <c r="C181" s="10"/>
      <c r="D181" s="10"/>
      <c r="E181" s="10"/>
      <c r="F181" s="10"/>
      <c r="I181" s="10"/>
      <c r="J181" s="10"/>
      <c r="K181" s="10"/>
      <c r="M181" s="10"/>
      <c r="N181" s="10"/>
      <c r="O181" s="18"/>
      <c r="P181" s="11"/>
      <c r="Q181" s="10"/>
      <c r="R181" s="10"/>
      <c r="S181" s="10"/>
    </row>
    <row r="182">
      <c r="A182" s="10"/>
      <c r="B182" s="10"/>
      <c r="C182" s="10"/>
      <c r="D182" s="10"/>
      <c r="E182" s="10"/>
      <c r="F182" s="10"/>
      <c r="H182" s="10"/>
      <c r="I182" s="10"/>
      <c r="J182" s="10"/>
      <c r="K182" s="10"/>
      <c r="M182" s="10"/>
      <c r="N182" s="10"/>
      <c r="O182" s="10"/>
      <c r="P182" s="11"/>
      <c r="Q182" s="10"/>
      <c r="R182" s="10"/>
      <c r="S182" s="10"/>
    </row>
    <row r="183">
      <c r="A183" s="10"/>
      <c r="B183" s="10"/>
      <c r="C183" s="10"/>
      <c r="D183" s="10"/>
      <c r="E183" s="10"/>
      <c r="F183" s="10"/>
      <c r="H183" s="10"/>
      <c r="I183" s="10"/>
      <c r="J183" s="10"/>
      <c r="K183" s="10"/>
      <c r="L183" s="10"/>
      <c r="M183" s="10"/>
      <c r="N183" s="10"/>
      <c r="O183" s="10"/>
      <c r="P183" s="11"/>
      <c r="Q183" s="10"/>
      <c r="R183" s="10"/>
      <c r="S183" s="10"/>
      <c r="T183" s="10"/>
    </row>
    <row r="184">
      <c r="A184" s="10"/>
      <c r="B184" s="10"/>
      <c r="C184" s="10"/>
      <c r="D184" s="10"/>
      <c r="E184" s="10"/>
      <c r="F184" s="10"/>
      <c r="I184" s="10"/>
      <c r="J184" s="10"/>
      <c r="M184" s="10"/>
      <c r="Q184" s="10"/>
      <c r="R184" s="10"/>
    </row>
    <row r="185">
      <c r="A185" s="10"/>
      <c r="B185" s="10"/>
      <c r="C185" s="10"/>
      <c r="D185" s="10"/>
      <c r="E185" s="10"/>
      <c r="F185" s="10"/>
      <c r="I185" s="10"/>
      <c r="J185" s="10"/>
      <c r="K185" s="10"/>
      <c r="L185" s="10"/>
      <c r="M185" s="10"/>
      <c r="N185" s="10"/>
      <c r="O185" s="10"/>
      <c r="P185" s="11"/>
      <c r="Q185" s="10"/>
      <c r="R185" s="10"/>
    </row>
    <row r="186">
      <c r="A186" s="10"/>
      <c r="B186" s="10"/>
      <c r="C186" s="10"/>
      <c r="D186" s="10"/>
      <c r="E186" s="10"/>
      <c r="F186" s="10"/>
      <c r="I186" s="10"/>
      <c r="J186" s="10"/>
      <c r="K186" s="10"/>
      <c r="L186" s="10"/>
      <c r="M186" s="10"/>
      <c r="N186" s="10"/>
      <c r="O186" s="10"/>
      <c r="P186" s="11"/>
      <c r="Q186" s="10"/>
      <c r="R186" s="10"/>
      <c r="T186" s="10"/>
      <c r="U186" s="10"/>
      <c r="V186" s="10"/>
    </row>
    <row r="187">
      <c r="A187" s="10"/>
      <c r="B187" s="10"/>
      <c r="C187" s="10"/>
      <c r="D187" s="10"/>
      <c r="E187" s="10"/>
      <c r="F187" s="10"/>
      <c r="I187" s="10"/>
      <c r="J187" s="10"/>
      <c r="K187" s="10"/>
      <c r="M187" s="10"/>
      <c r="Q187" s="10"/>
      <c r="R187" s="10"/>
    </row>
    <row r="188">
      <c r="A188" s="10"/>
      <c r="B188" s="10"/>
      <c r="C188" s="10"/>
      <c r="D188" s="10"/>
      <c r="E188" s="10"/>
      <c r="F188" s="10"/>
      <c r="I188" s="10"/>
      <c r="J188" s="10"/>
      <c r="K188" s="10"/>
      <c r="M188" s="10"/>
      <c r="Q188" s="10"/>
      <c r="R188" s="10"/>
    </row>
    <row r="189">
      <c r="A189" s="10"/>
      <c r="B189" s="10"/>
      <c r="C189" s="10"/>
      <c r="D189" s="10"/>
      <c r="E189" s="10"/>
      <c r="F189" s="10"/>
      <c r="H189" s="10"/>
      <c r="I189" s="10"/>
      <c r="J189" s="10"/>
      <c r="K189" s="10"/>
      <c r="L189" s="10"/>
      <c r="M189" s="10"/>
      <c r="N189" s="10"/>
      <c r="O189" s="10"/>
      <c r="P189" s="11"/>
      <c r="Q189" s="10"/>
      <c r="R189" s="10"/>
      <c r="S189" s="10"/>
      <c r="T189" s="10"/>
      <c r="V189" s="10"/>
      <c r="X189" s="10"/>
    </row>
    <row r="190">
      <c r="A190" s="10"/>
      <c r="B190" s="10"/>
      <c r="C190" s="10"/>
      <c r="D190" s="10"/>
      <c r="E190" s="10"/>
      <c r="F190" s="10"/>
      <c r="I190" s="10"/>
      <c r="J190" s="10"/>
      <c r="K190" s="10"/>
      <c r="L190" s="10"/>
      <c r="M190" s="10"/>
      <c r="Q190" s="10"/>
      <c r="R190" s="10"/>
    </row>
    <row r="191">
      <c r="A191" s="10"/>
      <c r="B191" s="10"/>
      <c r="C191" s="10"/>
      <c r="D191" s="10"/>
      <c r="E191" s="10"/>
      <c r="F191" s="10"/>
      <c r="I191" s="10"/>
      <c r="J191" s="10"/>
      <c r="K191" s="10"/>
      <c r="L191" s="10"/>
      <c r="M191" s="10"/>
      <c r="N191" s="10"/>
      <c r="O191" s="10"/>
      <c r="P191" s="11"/>
      <c r="Q191" s="10"/>
      <c r="R191" s="10"/>
    </row>
    <row r="192">
      <c r="A192" s="10"/>
      <c r="B192" s="10"/>
      <c r="C192" s="10"/>
      <c r="D192" s="10"/>
      <c r="E192" s="10"/>
      <c r="F192" s="10"/>
      <c r="I192" s="10"/>
      <c r="J192" s="10"/>
      <c r="M192" s="10"/>
      <c r="Q192" s="10"/>
      <c r="R192" s="10"/>
    </row>
    <row r="193">
      <c r="A193" s="10"/>
      <c r="B193" s="10"/>
      <c r="C193" s="10"/>
      <c r="D193" s="10"/>
      <c r="E193" s="10"/>
      <c r="F193" s="10"/>
      <c r="H193" s="10"/>
      <c r="I193" s="10"/>
      <c r="J193" s="10"/>
      <c r="K193" s="10"/>
      <c r="L193" s="10"/>
      <c r="M193" s="10"/>
      <c r="N193" s="10"/>
      <c r="O193" s="10"/>
      <c r="P193" s="11"/>
      <c r="Q193" s="10"/>
      <c r="R193" s="10"/>
      <c r="T193" s="10"/>
      <c r="U193" s="10"/>
      <c r="V193" s="10"/>
      <c r="X193" s="10"/>
    </row>
    <row r="194">
      <c r="A194" s="10"/>
      <c r="B194" s="10"/>
      <c r="C194" s="10"/>
      <c r="D194" s="10"/>
      <c r="E194" s="10"/>
      <c r="F194" s="10"/>
      <c r="H194" s="10"/>
      <c r="I194" s="10"/>
      <c r="J194" s="10"/>
      <c r="K194" s="10"/>
      <c r="M194" s="10"/>
      <c r="O194" s="10"/>
      <c r="Q194" s="10"/>
      <c r="R194" s="10"/>
      <c r="T194" s="10"/>
      <c r="V194" s="10"/>
      <c r="X194" s="10"/>
    </row>
    <row r="195">
      <c r="A195" s="10"/>
      <c r="B195" s="10"/>
      <c r="C195" s="10"/>
      <c r="D195" s="10"/>
      <c r="E195" s="10"/>
      <c r="F195" s="10"/>
      <c r="I195" s="10"/>
      <c r="J195" s="10"/>
      <c r="K195" s="10"/>
      <c r="L195" s="10"/>
      <c r="M195" s="10"/>
      <c r="N195" s="10"/>
      <c r="O195" s="10"/>
      <c r="P195" s="11"/>
      <c r="Q195" s="10"/>
      <c r="R195" s="10"/>
      <c r="T195" s="10"/>
      <c r="U195" s="10"/>
      <c r="V195" s="10"/>
      <c r="X195" s="10"/>
    </row>
    <row r="196">
      <c r="A196" s="10"/>
      <c r="B196" s="10"/>
      <c r="C196" s="10"/>
      <c r="D196" s="10"/>
      <c r="E196" s="10"/>
      <c r="F196" s="10"/>
      <c r="I196" s="10"/>
      <c r="J196" s="10"/>
      <c r="M196" s="10"/>
      <c r="Q196" s="10"/>
      <c r="R196" s="10"/>
    </row>
    <row r="197">
      <c r="A197" s="10"/>
      <c r="B197" s="10"/>
      <c r="C197" s="10"/>
      <c r="D197" s="10"/>
      <c r="E197" s="10"/>
      <c r="F197" s="10"/>
      <c r="I197" s="10"/>
      <c r="J197" s="10"/>
      <c r="M197" s="10"/>
      <c r="Q197" s="10"/>
      <c r="R197" s="10"/>
    </row>
    <row r="198">
      <c r="A198" s="10"/>
      <c r="B198" s="10"/>
      <c r="C198" s="10"/>
      <c r="D198" s="10"/>
      <c r="E198" s="10"/>
      <c r="F198" s="10"/>
      <c r="I198" s="10"/>
      <c r="J198" s="10"/>
      <c r="M198" s="10"/>
      <c r="Q198" s="10"/>
      <c r="R198" s="10"/>
    </row>
    <row r="199">
      <c r="A199" s="10"/>
      <c r="B199" s="10"/>
      <c r="C199" s="10"/>
      <c r="D199" s="10"/>
      <c r="E199" s="10"/>
      <c r="F199" s="10"/>
      <c r="I199" s="10"/>
      <c r="J199" s="10"/>
      <c r="M199" s="10"/>
      <c r="Q199" s="10"/>
      <c r="R199" s="10"/>
    </row>
    <row r="200">
      <c r="A200" s="10"/>
      <c r="B200" s="10"/>
      <c r="C200" s="10"/>
      <c r="D200" s="10"/>
      <c r="E200" s="10"/>
      <c r="F200" s="10"/>
      <c r="I200" s="10"/>
      <c r="J200" s="10"/>
      <c r="M200" s="10"/>
      <c r="Q200" s="10"/>
      <c r="R200" s="10"/>
    </row>
    <row r="201">
      <c r="A201" s="10"/>
      <c r="B201" s="10"/>
      <c r="C201" s="10"/>
      <c r="D201" s="10"/>
      <c r="E201" s="10"/>
      <c r="F201" s="10"/>
      <c r="I201" s="10"/>
      <c r="J201" s="10"/>
      <c r="M201" s="10"/>
      <c r="Q201" s="10"/>
      <c r="R201" s="10"/>
    </row>
    <row r="202">
      <c r="A202" s="10"/>
      <c r="B202" s="10"/>
      <c r="C202" s="10"/>
      <c r="D202" s="10"/>
      <c r="E202" s="10"/>
      <c r="F202" s="10"/>
      <c r="I202" s="10"/>
      <c r="J202" s="10"/>
      <c r="M202" s="10"/>
      <c r="Q202" s="10"/>
      <c r="R202" s="10"/>
    </row>
    <row r="203">
      <c r="A203" s="10"/>
      <c r="B203" s="10"/>
      <c r="C203" s="10"/>
      <c r="D203" s="10"/>
      <c r="E203" s="10"/>
      <c r="F203" s="10"/>
      <c r="I203" s="10"/>
      <c r="J203" s="10"/>
      <c r="M203" s="10"/>
      <c r="Q203" s="10"/>
      <c r="R203" s="10"/>
    </row>
    <row r="204">
      <c r="A204" s="10"/>
      <c r="B204" s="10"/>
      <c r="C204" s="10"/>
      <c r="D204" s="10"/>
      <c r="E204" s="10"/>
      <c r="F204" s="10"/>
      <c r="I204" s="10"/>
      <c r="J204" s="10"/>
      <c r="M204" s="10"/>
      <c r="Q204" s="10"/>
      <c r="R204" s="10"/>
    </row>
    <row r="205">
      <c r="A205" s="10"/>
      <c r="B205" s="10"/>
      <c r="C205" s="10"/>
      <c r="D205" s="10"/>
      <c r="E205" s="10"/>
      <c r="F205" s="10"/>
      <c r="I205" s="10"/>
      <c r="J205" s="10"/>
      <c r="M205" s="10"/>
      <c r="Q205" s="10"/>
      <c r="R205" s="10"/>
    </row>
    <row r="206">
      <c r="A206" s="10"/>
      <c r="B206" s="10"/>
      <c r="C206" s="10"/>
      <c r="D206" s="10"/>
      <c r="E206" s="10"/>
      <c r="F206" s="10"/>
      <c r="I206" s="10"/>
      <c r="J206" s="10"/>
      <c r="M206" s="10"/>
      <c r="Q206" s="10"/>
      <c r="R206" s="10"/>
    </row>
    <row r="207">
      <c r="A207" s="10"/>
      <c r="B207" s="10"/>
      <c r="C207" s="10"/>
      <c r="D207" s="10"/>
      <c r="E207" s="10"/>
      <c r="F207" s="10"/>
      <c r="I207" s="10"/>
      <c r="J207" s="10"/>
      <c r="M207" s="10"/>
      <c r="Q207" s="10"/>
      <c r="R207" s="10"/>
    </row>
    <row r="208">
      <c r="A208" s="10"/>
      <c r="B208" s="10"/>
      <c r="C208" s="10"/>
      <c r="D208" s="10"/>
      <c r="E208" s="10"/>
      <c r="F208" s="10"/>
      <c r="I208" s="10"/>
      <c r="J208" s="10"/>
      <c r="K208" s="10"/>
      <c r="M208" s="10"/>
      <c r="Q208" s="10"/>
      <c r="R208" s="10"/>
    </row>
    <row r="209">
      <c r="A209" s="10"/>
      <c r="B209" s="10"/>
      <c r="C209" s="10"/>
      <c r="D209" s="10"/>
      <c r="E209" s="10"/>
      <c r="F209" s="10"/>
      <c r="I209" s="10"/>
      <c r="L209" s="10"/>
      <c r="M209" s="10"/>
      <c r="N209" s="10"/>
      <c r="O209" s="20"/>
      <c r="P209" s="11"/>
      <c r="Q209" s="10"/>
      <c r="R209" s="10"/>
      <c r="S209" s="10"/>
      <c r="T209" s="10"/>
      <c r="U209" s="10"/>
      <c r="V209" s="10"/>
      <c r="X209" s="10"/>
      <c r="Y209" s="11"/>
    </row>
  </sheetData>
  <hyperlinks>
    <hyperlink r:id="rId1" ref="H4"/>
    <hyperlink r:id="rId2" ref="H12"/>
    <hyperlink r:id="rId3" ref="H16"/>
    <hyperlink r:id="rId4" ref="H17"/>
    <hyperlink r:id="rId5" ref="H21"/>
    <hyperlink r:id="rId6" ref="H27"/>
    <hyperlink r:id="rId7" ref="H34"/>
    <hyperlink r:id="rId8" ref="H38"/>
    <hyperlink r:id="rId9" ref="H39"/>
    <hyperlink r:id="rId10" ref="H54"/>
  </hyperlinks>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s>
  <sheetData>
    <row r="1">
      <c r="A1" s="16" t="str">
        <f>IFERROR(__xludf.DUMMYFUNCTION("IMPORTRANGE(""https://docs.google.com/spreadsheets/d/1hJgoW3KY2iQ6LAjhGfcTao8eYjfrSeosQFy_fL4Zo3Q/edit"", ""GWAllianceManager!A:Z"")"),"Manager")</f>
        <v>Manager</v>
      </c>
      <c r="B1" s="16" t="str">
        <f>IFERROR(__xludf.DUMMYFUNCTION("""COMPUTED_VALUE"""),"Email")</f>
        <v>Email</v>
      </c>
      <c r="C1" s="16" t="str">
        <f>IFERROR(__xludf.DUMMYFUNCTION("""COMPUTED_VALUE"""),"Title")</f>
        <v>Title</v>
      </c>
      <c r="D1" s="16"/>
      <c r="E1" s="16"/>
      <c r="F1" s="16"/>
      <c r="G1" s="16"/>
      <c r="H1" s="16"/>
      <c r="I1" s="16"/>
      <c r="J1" s="16"/>
      <c r="K1" s="16"/>
      <c r="L1" s="16"/>
      <c r="M1" s="16"/>
      <c r="N1" s="16"/>
      <c r="O1" s="16"/>
      <c r="P1" s="16"/>
      <c r="Q1" s="16"/>
      <c r="R1" s="16"/>
      <c r="S1" s="16"/>
      <c r="T1" s="16"/>
      <c r="U1" s="16"/>
      <c r="V1" s="16"/>
      <c r="W1" s="16"/>
      <c r="X1" s="16"/>
      <c r="Y1" s="16"/>
      <c r="Z1" s="16"/>
    </row>
    <row r="2">
      <c r="A2" s="16" t="str">
        <f>IFERROR(__xludf.DUMMYFUNCTION("""COMPUTED_VALUE"""),"Aaron Shaw")</f>
        <v>Aaron Shaw</v>
      </c>
      <c r="B2" s="16" t="str">
        <f>IFERROR(__xludf.DUMMYFUNCTION("""COMPUTED_VALUE"""),"aashaw@guidewire.com")</f>
        <v>aashaw@guidewire.com</v>
      </c>
      <c r="C2" s="16" t="str">
        <f>IFERROR(__xludf.DUMMYFUNCTION("""COMPUTED_VALUE"""),"Global Technology Alliance Manager")</f>
        <v>Global Technology Alliance Manager</v>
      </c>
      <c r="D2" s="16"/>
      <c r="E2" s="16"/>
      <c r="F2" s="16"/>
      <c r="G2" s="16"/>
      <c r="H2" s="16"/>
      <c r="I2" s="16"/>
      <c r="J2" s="16"/>
      <c r="K2" s="16"/>
      <c r="L2" s="16"/>
      <c r="M2" s="16"/>
      <c r="N2" s="16"/>
      <c r="O2" s="16"/>
      <c r="P2" s="16"/>
      <c r="Q2" s="16"/>
      <c r="R2" s="16"/>
      <c r="S2" s="16"/>
      <c r="T2" s="16"/>
      <c r="U2" s="16"/>
      <c r="V2" s="16"/>
      <c r="W2" s="16"/>
      <c r="X2" s="16"/>
      <c r="Y2" s="16"/>
      <c r="Z2" s="16"/>
    </row>
    <row r="3">
      <c r="A3" s="16" t="str">
        <f>IFERROR(__xludf.DUMMYFUNCTION("""COMPUTED_VALUE"""),"Aditi Kulkarni")</f>
        <v>Aditi Kulkarni</v>
      </c>
      <c r="B3" s="16" t="str">
        <f>IFERROR(__xludf.DUMMYFUNCTION("""COMPUTED_VALUE"""),"adkulkarni@guidewire.com")</f>
        <v>adkulkarni@guidewire.com</v>
      </c>
      <c r="C3" s="16" t="str">
        <f>IFERROR(__xludf.DUMMYFUNCTION("""COMPUTED_VALUE"""),"Partner Strategy, Programs, and Marketing Director")</f>
        <v>Partner Strategy, Programs, and Marketing Director</v>
      </c>
      <c r="D3" s="16"/>
      <c r="E3" s="16"/>
      <c r="F3" s="16"/>
      <c r="G3" s="16"/>
      <c r="H3" s="16"/>
      <c r="I3" s="16"/>
      <c r="J3" s="16"/>
      <c r="K3" s="16"/>
      <c r="L3" s="16"/>
      <c r="M3" s="16"/>
      <c r="N3" s="16"/>
      <c r="O3" s="16"/>
      <c r="P3" s="16"/>
      <c r="Q3" s="16"/>
      <c r="R3" s="16"/>
      <c r="S3" s="16"/>
      <c r="T3" s="16"/>
      <c r="U3" s="16"/>
      <c r="V3" s="16"/>
      <c r="W3" s="16"/>
      <c r="X3" s="16"/>
      <c r="Y3" s="16"/>
      <c r="Z3" s="16"/>
    </row>
    <row r="4">
      <c r="A4" s="16" t="str">
        <f>IFERROR(__xludf.DUMMYFUNCTION("""COMPUTED_VALUE"""),"Anne Scognamiglo")</f>
        <v>Anne Scognamiglo</v>
      </c>
      <c r="B4" s="16" t="str">
        <f>IFERROR(__xludf.DUMMYFUNCTION("""COMPUTED_VALUE"""),"ascognamiglio@guidewire.com")</f>
        <v>ascognamiglio@guidewire.com</v>
      </c>
      <c r="C4" s="16" t="str">
        <f>IFERROR(__xludf.DUMMYFUNCTION("""COMPUTED_VALUE"""),"Senior Alliance Manager, APAC")</f>
        <v>Senior Alliance Manager, APAC</v>
      </c>
      <c r="D4" s="16"/>
      <c r="E4" s="16"/>
      <c r="F4" s="16"/>
      <c r="G4" s="16"/>
      <c r="H4" s="16"/>
      <c r="I4" s="16"/>
      <c r="J4" s="16"/>
      <c r="K4" s="16"/>
      <c r="L4" s="16"/>
      <c r="M4" s="16"/>
      <c r="N4" s="16"/>
      <c r="O4" s="16"/>
      <c r="P4" s="16"/>
      <c r="Q4" s="16"/>
      <c r="R4" s="16"/>
      <c r="S4" s="16"/>
      <c r="T4" s="16"/>
      <c r="U4" s="16"/>
      <c r="V4" s="16"/>
      <c r="W4" s="16"/>
      <c r="X4" s="16"/>
      <c r="Y4" s="16"/>
      <c r="Z4" s="16"/>
    </row>
    <row r="5">
      <c r="A5" s="16" t="str">
        <f>IFERROR(__xludf.DUMMYFUNCTION("""COMPUTED_VALUE"""),"Ben Barker")</f>
        <v>Ben Barker</v>
      </c>
      <c r="B5" s="16" t="str">
        <f>IFERROR(__xludf.DUMMYFUNCTION("""COMPUTED_VALUE"""),"bbarker@guidewire.com")</f>
        <v>bbarker@guidewire.com</v>
      </c>
      <c r="C5" s="16" t="str">
        <f>IFERROR(__xludf.DUMMYFUNCTION("""COMPUTED_VALUE"""),"Global Consulting Alliances")</f>
        <v>Global Consulting Alliances</v>
      </c>
      <c r="D5" s="16"/>
      <c r="E5" s="16"/>
      <c r="F5" s="16"/>
      <c r="G5" s="16"/>
      <c r="H5" s="16"/>
      <c r="I5" s="16"/>
      <c r="J5" s="16"/>
      <c r="K5" s="16"/>
      <c r="L5" s="16"/>
      <c r="M5" s="16"/>
      <c r="N5" s="16"/>
      <c r="O5" s="16"/>
      <c r="P5" s="16"/>
      <c r="Q5" s="16"/>
      <c r="R5" s="16"/>
      <c r="S5" s="16"/>
      <c r="T5" s="16"/>
      <c r="U5" s="16"/>
      <c r="V5" s="16"/>
      <c r="W5" s="16"/>
      <c r="X5" s="16"/>
      <c r="Y5" s="16"/>
      <c r="Z5" s="16"/>
    </row>
    <row r="6">
      <c r="A6" s="16" t="str">
        <f>IFERROR(__xludf.DUMMYFUNCTION("""COMPUTED_VALUE"""),"Carolee Dagenais")</f>
        <v>Carolee Dagenais</v>
      </c>
      <c r="B6" s="16" t="str">
        <f>IFERROR(__xludf.DUMMYFUNCTION("""COMPUTED_VALUE"""),"cdagenais@guidewire.com")</f>
        <v>cdagenais@guidewire.com</v>
      </c>
      <c r="C6" s="16" t="str">
        <f>IFERROR(__xludf.DUMMYFUNCTION("""COMPUTED_VALUE"""),"Vice President Alliance Management")</f>
        <v>Vice President Alliance Management</v>
      </c>
      <c r="D6" s="16"/>
      <c r="E6" s="16"/>
      <c r="F6" s="16"/>
      <c r="G6" s="16"/>
      <c r="H6" s="16"/>
      <c r="I6" s="16"/>
      <c r="J6" s="16"/>
      <c r="K6" s="16"/>
      <c r="L6" s="16"/>
      <c r="M6" s="16"/>
      <c r="N6" s="16"/>
      <c r="O6" s="16"/>
      <c r="P6" s="16"/>
      <c r="Q6" s="16"/>
      <c r="R6" s="16"/>
      <c r="S6" s="16"/>
      <c r="T6" s="16"/>
      <c r="U6" s="16"/>
      <c r="V6" s="16"/>
      <c r="W6" s="16"/>
      <c r="X6" s="16"/>
      <c r="Y6" s="16"/>
      <c r="Z6" s="16"/>
    </row>
    <row r="7">
      <c r="A7" s="16" t="str">
        <f>IFERROR(__xludf.DUMMYFUNCTION("""COMPUTED_VALUE"""),"Corinna Lovan")</f>
        <v>Corinna Lovan</v>
      </c>
      <c r="B7" s="16" t="str">
        <f>IFERROR(__xludf.DUMMYFUNCTION("""COMPUTED_VALUE"""),"clovan@guidewire.com")</f>
        <v>clovan@guidewire.com</v>
      </c>
      <c r="C7" s="16" t="str">
        <f>IFERROR(__xludf.DUMMYFUNCTION("""COMPUTED_VALUE"""),"Partner Programs Operations Manager")</f>
        <v>Partner Programs Operations Manager</v>
      </c>
      <c r="D7" s="16"/>
      <c r="E7" s="16"/>
      <c r="F7" s="16"/>
      <c r="G7" s="16"/>
      <c r="H7" s="16"/>
      <c r="I7" s="16"/>
      <c r="J7" s="16"/>
      <c r="K7" s="16"/>
      <c r="L7" s="16"/>
      <c r="M7" s="16"/>
      <c r="N7" s="16"/>
      <c r="O7" s="16"/>
      <c r="P7" s="16"/>
      <c r="Q7" s="16"/>
      <c r="R7" s="16"/>
      <c r="S7" s="16"/>
      <c r="T7" s="16"/>
      <c r="U7" s="16"/>
      <c r="V7" s="16"/>
      <c r="W7" s="16"/>
      <c r="X7" s="16"/>
      <c r="Y7" s="16"/>
      <c r="Z7" s="16"/>
    </row>
    <row r="8">
      <c r="A8" s="16" t="str">
        <f>IFERROR(__xludf.DUMMYFUNCTION("""COMPUTED_VALUE"""),"Dariusz Debowczyk")</f>
        <v>Dariusz Debowczyk</v>
      </c>
      <c r="B8" s="16" t="str">
        <f>IFERROR(__xludf.DUMMYFUNCTION("""COMPUTED_VALUE"""),"ddebowczyk@guidewire.com")</f>
        <v>ddebowczyk@guidewire.com</v>
      </c>
      <c r="C8" s="16" t="str">
        <f>IFERROR(__xludf.DUMMYFUNCTION("""COMPUTED_VALUE"""),"Senior Director Partner Success")</f>
        <v>Senior Director Partner Success</v>
      </c>
      <c r="D8" s="16"/>
      <c r="E8" s="16"/>
      <c r="F8" s="16"/>
      <c r="G8" s="16"/>
      <c r="H8" s="16"/>
      <c r="I8" s="16"/>
      <c r="J8" s="16"/>
      <c r="K8" s="16"/>
      <c r="L8" s="16"/>
      <c r="M8" s="16"/>
      <c r="N8" s="16"/>
      <c r="O8" s="16"/>
      <c r="P8" s="16"/>
      <c r="Q8" s="16"/>
      <c r="R8" s="16"/>
      <c r="S8" s="16"/>
      <c r="T8" s="16"/>
      <c r="U8" s="16"/>
      <c r="V8" s="16"/>
      <c r="W8" s="16"/>
      <c r="X8" s="16"/>
      <c r="Y8" s="16"/>
      <c r="Z8" s="16"/>
    </row>
    <row r="9">
      <c r="A9" s="16" t="str">
        <f>IFERROR(__xludf.DUMMYFUNCTION("""COMPUTED_VALUE"""),"Eric Apse")</f>
        <v>Eric Apse</v>
      </c>
      <c r="B9" s="16" t="str">
        <f>IFERROR(__xludf.DUMMYFUNCTION("""COMPUTED_VALUE"""),"eapse@guidewire.com")</f>
        <v>eapse@guidewire.com</v>
      </c>
      <c r="C9" s="16" t="str">
        <f>IFERROR(__xludf.DUMMYFUNCTION("""COMPUTED_VALUE"""),"Senior Global Technology Alliance Director")</f>
        <v>Senior Global Technology Alliance Director</v>
      </c>
      <c r="D9" s="16"/>
      <c r="E9" s="16"/>
      <c r="F9" s="16"/>
      <c r="G9" s="16"/>
      <c r="H9" s="16"/>
      <c r="I9" s="16"/>
      <c r="J9" s="16"/>
      <c r="K9" s="16"/>
      <c r="L9" s="16"/>
      <c r="M9" s="16"/>
      <c r="N9" s="16"/>
      <c r="O9" s="16"/>
      <c r="P9" s="16"/>
      <c r="Q9" s="16"/>
      <c r="R9" s="16"/>
      <c r="S9" s="16"/>
      <c r="T9" s="16"/>
      <c r="U9" s="16"/>
      <c r="V9" s="16"/>
      <c r="W9" s="16"/>
      <c r="X9" s="16"/>
      <c r="Y9" s="16"/>
      <c r="Z9" s="16"/>
    </row>
    <row r="10">
      <c r="A10" s="16" t="str">
        <f>IFERROR(__xludf.DUMMYFUNCTION("""COMPUTED_VALUE"""),"Fatima Aoulagha-Bannou")</f>
        <v>Fatima Aoulagha-Bannou</v>
      </c>
      <c r="B10" s="16" t="str">
        <f>IFERROR(__xludf.DUMMYFUNCTION("""COMPUTED_VALUE"""),"faoulagha@guidewire.com")</f>
        <v>faoulagha@guidewire.com</v>
      </c>
      <c r="C10" s="16" t="str">
        <f>IFERROR(__xludf.DUMMYFUNCTION("""COMPUTED_VALUE"""),"Global Technology Alliances Partner Buisiness Development")</f>
        <v>Global Technology Alliances Partner Buisiness Development</v>
      </c>
      <c r="D10" s="16"/>
      <c r="E10" s="16"/>
      <c r="F10" s="16"/>
      <c r="G10" s="16"/>
      <c r="H10" s="16"/>
      <c r="I10" s="16"/>
      <c r="J10" s="16"/>
      <c r="K10" s="16"/>
      <c r="L10" s="16"/>
      <c r="M10" s="16"/>
      <c r="N10" s="16"/>
      <c r="O10" s="16"/>
      <c r="P10" s="16"/>
      <c r="Q10" s="16"/>
      <c r="R10" s="16"/>
      <c r="S10" s="16"/>
      <c r="T10" s="16"/>
      <c r="U10" s="16"/>
      <c r="V10" s="16"/>
      <c r="W10" s="16"/>
      <c r="X10" s="16"/>
      <c r="Y10" s="16"/>
      <c r="Z10" s="16"/>
    </row>
    <row r="11">
      <c r="A11" s="16" t="str">
        <f>IFERROR(__xludf.DUMMYFUNCTION("""COMPUTED_VALUE"""),"Gregg Rabenold")</f>
        <v>Gregg Rabenold</v>
      </c>
      <c r="B11" s="16" t="str">
        <f>IFERROR(__xludf.DUMMYFUNCTION("""COMPUTED_VALUE"""),"grabenold@guidewire.com")</f>
        <v>grabenold@guidewire.com</v>
      </c>
      <c r="C11" s="16" t="str">
        <f>IFERROR(__xludf.DUMMYFUNCTION("""COMPUTED_VALUE"""),"Senior Global Technology Alliance Manager")</f>
        <v>Senior Global Technology Alliance Manager</v>
      </c>
      <c r="D11" s="16"/>
      <c r="E11" s="16"/>
      <c r="F11" s="16"/>
      <c r="G11" s="16"/>
      <c r="H11" s="16"/>
      <c r="I11" s="16"/>
      <c r="J11" s="16"/>
      <c r="K11" s="16"/>
      <c r="L11" s="16"/>
      <c r="M11" s="16"/>
      <c r="N11" s="16"/>
      <c r="O11" s="16"/>
      <c r="P11" s="16"/>
      <c r="Q11" s="16"/>
      <c r="R11" s="16"/>
      <c r="S11" s="16"/>
      <c r="T11" s="16"/>
      <c r="U11" s="16"/>
      <c r="V11" s="16"/>
      <c r="W11" s="16"/>
      <c r="X11" s="16"/>
      <c r="Y11" s="16"/>
      <c r="Z11" s="16"/>
    </row>
    <row r="12">
      <c r="A12" s="16" t="str">
        <f>IFERROR(__xludf.DUMMYFUNCTION("""COMPUTED_VALUE"""),"Haleh Nakhai")</f>
        <v>Haleh Nakhai</v>
      </c>
      <c r="B12" s="16" t="str">
        <f>IFERROR(__xludf.DUMMYFUNCTION("""COMPUTED_VALUE"""),"hnakhai@guidewire.com")</f>
        <v>hnakhai@guidewire.com</v>
      </c>
      <c r="C12" s="16" t="str">
        <f>IFERROR(__xludf.DUMMYFUNCTION("""COMPUTED_VALUE"""),"Global Consulting Alliances")</f>
        <v>Global Consulting Alliances</v>
      </c>
      <c r="D12" s="16"/>
      <c r="E12" s="16"/>
      <c r="F12" s="16"/>
      <c r="G12" s="16"/>
      <c r="H12" s="16"/>
      <c r="I12" s="16"/>
      <c r="J12" s="16"/>
      <c r="K12" s="16"/>
      <c r="L12" s="16"/>
      <c r="M12" s="16"/>
      <c r="N12" s="16"/>
      <c r="O12" s="16"/>
      <c r="P12" s="16"/>
      <c r="Q12" s="16"/>
      <c r="R12" s="16"/>
      <c r="S12" s="16"/>
      <c r="T12" s="16"/>
      <c r="U12" s="16"/>
      <c r="V12" s="16"/>
      <c r="W12" s="16"/>
      <c r="X12" s="16"/>
      <c r="Y12" s="16"/>
      <c r="Z12" s="16"/>
    </row>
    <row r="13">
      <c r="A13" s="16" t="str">
        <f>IFERROR(__xludf.DUMMYFUNCTION("""COMPUTED_VALUE"""),"Ian Doyle")</f>
        <v>Ian Doyle</v>
      </c>
      <c r="B13" s="16" t="str">
        <f>IFERROR(__xludf.DUMMYFUNCTION("""COMPUTED_VALUE"""),"idoyle@guidewire.com")</f>
        <v>idoyle@guidewire.com</v>
      </c>
      <c r="C13" s="16" t="str">
        <f>IFERROR(__xludf.DUMMYFUNCTION("""COMPUTED_VALUE"""),"Director, Global Delivery")</f>
        <v>Director, Global Delivery</v>
      </c>
      <c r="D13" s="16"/>
      <c r="E13" s="16"/>
      <c r="F13" s="16"/>
      <c r="G13" s="16"/>
      <c r="H13" s="16"/>
      <c r="I13" s="16"/>
      <c r="J13" s="16"/>
      <c r="K13" s="16"/>
      <c r="L13" s="16"/>
      <c r="M13" s="16"/>
      <c r="N13" s="16"/>
      <c r="O13" s="16"/>
      <c r="P13" s="16"/>
      <c r="Q13" s="16"/>
      <c r="R13" s="16"/>
      <c r="S13" s="16"/>
      <c r="T13" s="16"/>
      <c r="U13" s="16"/>
      <c r="V13" s="16"/>
      <c r="W13" s="16"/>
      <c r="X13" s="16"/>
      <c r="Y13" s="16"/>
      <c r="Z13" s="16"/>
    </row>
    <row r="14">
      <c r="A14" s="16" t="str">
        <f>IFERROR(__xludf.DUMMYFUNCTION("""COMPUTED_VALUE"""),"J Giles")</f>
        <v>J Giles</v>
      </c>
      <c r="B14" s="16" t="str">
        <f>IFERROR(__xludf.DUMMYFUNCTION("""COMPUTED_VALUE"""),"jgiles@guidewire.com")</f>
        <v>jgiles@guidewire.com</v>
      </c>
      <c r="C14" s="16" t="str">
        <f>IFERROR(__xludf.DUMMYFUNCTION("""COMPUTED_VALUE"""),"Global Consulting Alliances")</f>
        <v>Global Consulting Alliances</v>
      </c>
      <c r="D14" s="16"/>
      <c r="E14" s="16"/>
      <c r="F14" s="16"/>
      <c r="G14" s="16"/>
      <c r="H14" s="16"/>
      <c r="I14" s="16"/>
      <c r="J14" s="16"/>
      <c r="K14" s="16"/>
      <c r="L14" s="16"/>
      <c r="M14" s="16"/>
      <c r="N14" s="16"/>
      <c r="O14" s="16"/>
      <c r="P14" s="16"/>
      <c r="Q14" s="16"/>
      <c r="R14" s="16"/>
      <c r="S14" s="16"/>
      <c r="T14" s="16"/>
      <c r="U14" s="16"/>
      <c r="V14" s="16"/>
      <c r="W14" s="16"/>
      <c r="X14" s="16"/>
      <c r="Y14" s="16"/>
      <c r="Z14" s="16"/>
    </row>
    <row r="15">
      <c r="A15" s="16" t="str">
        <f>IFERROR(__xludf.DUMMYFUNCTION("""COMPUTED_VALUE"""),"Jerin Puthuparampil")</f>
        <v>Jerin Puthuparampil</v>
      </c>
      <c r="B15" s="16" t="str">
        <f>IFERROR(__xludf.DUMMYFUNCTION("""COMPUTED_VALUE"""),"jputhuparampil@guidewire.com")</f>
        <v>jputhuparampil@guidewire.com</v>
      </c>
      <c r="C15" s="16" t="str">
        <f>IFERROR(__xludf.DUMMYFUNCTION("""COMPUTED_VALUE"""),"Director, Partner Success")</f>
        <v>Director, Partner Success</v>
      </c>
      <c r="D15" s="16"/>
      <c r="E15" s="16"/>
      <c r="F15" s="16"/>
      <c r="G15" s="16"/>
      <c r="H15" s="16"/>
      <c r="I15" s="16"/>
      <c r="J15" s="16"/>
      <c r="K15" s="16"/>
      <c r="L15" s="16"/>
      <c r="M15" s="16"/>
      <c r="N15" s="16"/>
      <c r="O15" s="16"/>
      <c r="P15" s="16"/>
      <c r="Q15" s="16"/>
      <c r="R15" s="16"/>
      <c r="S15" s="16"/>
      <c r="T15" s="16"/>
      <c r="U15" s="16"/>
      <c r="V15" s="16"/>
      <c r="W15" s="16"/>
      <c r="X15" s="16"/>
      <c r="Y15" s="16"/>
      <c r="Z15" s="16"/>
    </row>
    <row r="16">
      <c r="A16" s="16" t="str">
        <f>IFERROR(__xludf.DUMMYFUNCTION("""COMPUTED_VALUE"""),"Julie Higuchi")</f>
        <v>Julie Higuchi</v>
      </c>
      <c r="B16" s="16" t="str">
        <f>IFERROR(__xludf.DUMMYFUNCTION("""COMPUTED_VALUE"""),"jhiguchi@guidewire.com")</f>
        <v>jhiguchi@guidewire.com</v>
      </c>
      <c r="C16" s="16" t="str">
        <f>IFERROR(__xludf.DUMMYFUNCTION("""COMPUTED_VALUE"""),"Alliance Markets and Enablement Manager")</f>
        <v>Alliance Markets and Enablement Manager</v>
      </c>
      <c r="D16" s="16"/>
      <c r="E16" s="16"/>
      <c r="F16" s="16"/>
      <c r="G16" s="16"/>
      <c r="H16" s="16"/>
      <c r="I16" s="16"/>
      <c r="J16" s="16"/>
      <c r="K16" s="16"/>
      <c r="L16" s="16"/>
      <c r="M16" s="16"/>
      <c r="N16" s="16"/>
      <c r="O16" s="16"/>
      <c r="P16" s="16"/>
      <c r="Q16" s="16"/>
      <c r="R16" s="16"/>
      <c r="S16" s="16"/>
      <c r="T16" s="16"/>
      <c r="U16" s="16"/>
      <c r="V16" s="16"/>
      <c r="W16" s="16"/>
      <c r="X16" s="16"/>
      <c r="Y16" s="16"/>
      <c r="Z16" s="16"/>
    </row>
    <row r="17">
      <c r="A17" s="16" t="str">
        <f>IFERROR(__xludf.DUMMYFUNCTION("""COMPUTED_VALUE"""),"Karolina Kuczko")</f>
        <v>Karolina Kuczko</v>
      </c>
      <c r="B17" s="16" t="str">
        <f>IFERROR(__xludf.DUMMYFUNCTION("""COMPUTED_VALUE"""),"kakuczko@guidewire.com")</f>
        <v>kakuczko@guidewire.com</v>
      </c>
      <c r="C17" s="16" t="str">
        <f>IFERROR(__xludf.DUMMYFUNCTION("""COMPUTED_VALUE"""),"Global Consulting Alliances")</f>
        <v>Global Consulting Alliances</v>
      </c>
      <c r="D17" s="16"/>
      <c r="E17" s="16"/>
      <c r="F17" s="16"/>
      <c r="G17" s="16"/>
      <c r="H17" s="16"/>
      <c r="I17" s="16"/>
      <c r="J17" s="16"/>
      <c r="K17" s="16"/>
      <c r="L17" s="16"/>
      <c r="M17" s="16"/>
      <c r="N17" s="16"/>
      <c r="O17" s="16"/>
      <c r="P17" s="16"/>
      <c r="Q17" s="16"/>
      <c r="R17" s="16"/>
      <c r="S17" s="16"/>
      <c r="T17" s="16"/>
      <c r="U17" s="16"/>
      <c r="V17" s="16"/>
      <c r="W17" s="16"/>
      <c r="X17" s="16"/>
      <c r="Y17" s="16"/>
      <c r="Z17" s="16"/>
    </row>
    <row r="18">
      <c r="A18" s="16" t="str">
        <f>IFERROR(__xludf.DUMMYFUNCTION("""COMPUTED_VALUE"""),"Kayla Page")</f>
        <v>Kayla Page</v>
      </c>
      <c r="B18" s="16" t="str">
        <f>IFERROR(__xludf.DUMMYFUNCTION("""COMPUTED_VALUE"""),"kapage@guidewire.com")</f>
        <v>kapage@guidewire.com</v>
      </c>
      <c r="C18" s="16" t="str">
        <f>IFERROR(__xludf.DUMMYFUNCTION("""COMPUTED_VALUE"""),"Technology Operations Manager")</f>
        <v>Technology Operations Manager</v>
      </c>
      <c r="D18" s="16"/>
      <c r="E18" s="16"/>
      <c r="F18" s="16"/>
      <c r="G18" s="16"/>
      <c r="H18" s="16"/>
      <c r="I18" s="16"/>
      <c r="J18" s="16"/>
      <c r="K18" s="16"/>
      <c r="L18" s="16"/>
      <c r="M18" s="16"/>
      <c r="N18" s="16"/>
      <c r="O18" s="16"/>
      <c r="P18" s="16"/>
      <c r="Q18" s="16"/>
      <c r="R18" s="16"/>
      <c r="S18" s="16"/>
      <c r="T18" s="16"/>
      <c r="U18" s="16"/>
      <c r="V18" s="16"/>
      <c r="W18" s="16"/>
      <c r="X18" s="16"/>
      <c r="Y18" s="16"/>
      <c r="Z18" s="16"/>
    </row>
    <row r="19">
      <c r="A19" s="16" t="str">
        <f>IFERROR(__xludf.DUMMYFUNCTION("""COMPUTED_VALUE"""),"Kelly Clayton")</f>
        <v>Kelly Clayton</v>
      </c>
      <c r="B19" s="16" t="str">
        <f>IFERROR(__xludf.DUMMYFUNCTION("""COMPUTED_VALUE"""),"kclayton@guidewire.com")</f>
        <v>kclayton@guidewire.com</v>
      </c>
      <c r="C19" s="16" t="str">
        <f>IFERROR(__xludf.DUMMYFUNCTION("""COMPUTED_VALUE"""),"Senior Global Technology Alliance Manager")</f>
        <v>Senior Global Technology Alliance Manager</v>
      </c>
      <c r="D19" s="16"/>
      <c r="E19" s="16"/>
      <c r="F19" s="16"/>
      <c r="G19" s="16"/>
      <c r="H19" s="16"/>
      <c r="I19" s="16"/>
      <c r="J19" s="16"/>
      <c r="K19" s="16"/>
      <c r="L19" s="16"/>
      <c r="M19" s="16"/>
      <c r="N19" s="16"/>
      <c r="O19" s="16"/>
      <c r="P19" s="16"/>
      <c r="Q19" s="16"/>
      <c r="R19" s="16"/>
      <c r="S19" s="16"/>
      <c r="T19" s="16"/>
      <c r="U19" s="16"/>
      <c r="V19" s="16"/>
      <c r="W19" s="16"/>
      <c r="X19" s="16"/>
      <c r="Y19" s="16"/>
      <c r="Z19" s="16"/>
    </row>
    <row r="20">
      <c r="A20" s="16" t="str">
        <f>IFERROR(__xludf.DUMMYFUNCTION("""COMPUTED_VALUE"""),"Ketaki Padhye")</f>
        <v>Ketaki Padhye</v>
      </c>
      <c r="B20" s="16" t="str">
        <f>IFERROR(__xludf.DUMMYFUNCTION("""COMPUTED_VALUE"""),"kpadhye@guidewire.com")</f>
        <v>kpadhye@guidewire.com</v>
      </c>
      <c r="C20" s="16" t="str">
        <f>IFERROR(__xludf.DUMMYFUNCTION("""COMPUTED_VALUE"""),"Senior RegionalTechnology Alliance Manager")</f>
        <v>Senior RegionalTechnology Alliance Manager</v>
      </c>
      <c r="D20" s="16"/>
      <c r="E20" s="16"/>
      <c r="F20" s="16"/>
      <c r="G20" s="16"/>
      <c r="H20" s="16"/>
      <c r="I20" s="16"/>
      <c r="J20" s="16"/>
      <c r="K20" s="16"/>
      <c r="L20" s="16"/>
      <c r="M20" s="16"/>
      <c r="N20" s="16"/>
      <c r="O20" s="16"/>
      <c r="P20" s="16"/>
      <c r="Q20" s="16"/>
      <c r="R20" s="16"/>
      <c r="S20" s="16"/>
      <c r="T20" s="16"/>
      <c r="U20" s="16"/>
      <c r="V20" s="16"/>
      <c r="W20" s="16"/>
      <c r="X20" s="16"/>
      <c r="Y20" s="16"/>
      <c r="Z20" s="16"/>
    </row>
    <row r="21">
      <c r="A21" s="16" t="str">
        <f>IFERROR(__xludf.DUMMYFUNCTION("""COMPUTED_VALUE"""),"Leon Liberman")</f>
        <v>Leon Liberman</v>
      </c>
      <c r="B21" s="16" t="str">
        <f>IFERROR(__xludf.DUMMYFUNCTION("""COMPUTED_VALUE"""),"lliberman@guidewire.com")</f>
        <v>lliberman@guidewire.com</v>
      </c>
      <c r="C21" s="16" t="str">
        <f>IFERROR(__xludf.DUMMYFUNCTION("""COMPUTED_VALUE"""),"Global Technology Alliances Partner Sales Manager")</f>
        <v>Global Technology Alliances Partner Sales Manager</v>
      </c>
      <c r="D21" s="16"/>
      <c r="E21" s="16"/>
      <c r="F21" s="16"/>
      <c r="G21" s="16"/>
      <c r="H21" s="16"/>
      <c r="I21" s="16"/>
      <c r="J21" s="16"/>
      <c r="K21" s="16"/>
      <c r="L21" s="16"/>
      <c r="M21" s="16"/>
      <c r="N21" s="16"/>
      <c r="O21" s="16"/>
      <c r="P21" s="16"/>
      <c r="Q21" s="16"/>
      <c r="R21" s="16"/>
      <c r="S21" s="16"/>
      <c r="T21" s="16"/>
      <c r="U21" s="16"/>
      <c r="V21" s="16"/>
      <c r="W21" s="16"/>
      <c r="X21" s="16"/>
      <c r="Y21" s="16"/>
      <c r="Z21" s="16"/>
    </row>
    <row r="22">
      <c r="A22" s="16" t="str">
        <f>IFERROR(__xludf.DUMMYFUNCTION("""COMPUTED_VALUE"""),"Lisa Vingerhoet")</f>
        <v>Lisa Vingerhoet</v>
      </c>
      <c r="B22" s="16" t="str">
        <f>IFERROR(__xludf.DUMMYFUNCTION("""COMPUTED_VALUE"""),"lvingerhoet@guidewire.com")</f>
        <v>lvingerhoet@guidewire.com</v>
      </c>
      <c r="C22" s="16" t="str">
        <f>IFERROR(__xludf.DUMMYFUNCTION("""COMPUTED_VALUE"""),"Global Technology Alliance Partner Specialist")</f>
        <v>Global Technology Alliance Partner Specialist</v>
      </c>
      <c r="D22" s="16"/>
      <c r="E22" s="16"/>
      <c r="F22" s="16"/>
      <c r="G22" s="16"/>
      <c r="H22" s="16"/>
      <c r="I22" s="16"/>
      <c r="J22" s="16"/>
      <c r="K22" s="16"/>
      <c r="L22" s="16"/>
      <c r="M22" s="16"/>
      <c r="N22" s="16"/>
      <c r="O22" s="16"/>
      <c r="P22" s="16"/>
      <c r="Q22" s="16"/>
      <c r="R22" s="16"/>
      <c r="S22" s="16"/>
      <c r="T22" s="16"/>
      <c r="U22" s="16"/>
      <c r="V22" s="16"/>
      <c r="W22" s="16"/>
      <c r="X22" s="16"/>
      <c r="Y22" s="16"/>
      <c r="Z22" s="16"/>
    </row>
    <row r="23">
      <c r="A23" s="16" t="str">
        <f>IFERROR(__xludf.DUMMYFUNCTION("""COMPUTED_VALUE"""),"Lisa Walsh")</f>
        <v>Lisa Walsh</v>
      </c>
      <c r="B23" s="16" t="str">
        <f>IFERROR(__xludf.DUMMYFUNCTION("""COMPUTED_VALUE"""),"lwalsh@guidewire.com")</f>
        <v>lwalsh@guidewire.com</v>
      </c>
      <c r="C23" s="16" t="str">
        <f>IFERROR(__xludf.DUMMYFUNCTION("""COMPUTED_VALUE"""),"Group Vice President Global Alliances")</f>
        <v>Group Vice President Global Alliances</v>
      </c>
      <c r="D23" s="16"/>
      <c r="E23" s="16"/>
      <c r="F23" s="16"/>
      <c r="G23" s="16"/>
      <c r="H23" s="16"/>
      <c r="I23" s="16"/>
      <c r="J23" s="16"/>
      <c r="K23" s="16"/>
      <c r="L23" s="16"/>
      <c r="M23" s="16"/>
      <c r="N23" s="16"/>
      <c r="O23" s="16"/>
      <c r="P23" s="16"/>
      <c r="Q23" s="16"/>
      <c r="R23" s="16"/>
      <c r="S23" s="16"/>
      <c r="T23" s="16"/>
      <c r="U23" s="16"/>
      <c r="V23" s="16"/>
      <c r="W23" s="16"/>
      <c r="X23" s="16"/>
      <c r="Y23" s="16"/>
      <c r="Z23" s="16"/>
    </row>
    <row r="24">
      <c r="A24" s="16" t="str">
        <f>IFERROR(__xludf.DUMMYFUNCTION("""COMPUTED_VALUE"""),"Molly Black")</f>
        <v>Molly Black</v>
      </c>
      <c r="B24" s="16" t="str">
        <f>IFERROR(__xludf.DUMMYFUNCTION("""COMPUTED_VALUE"""),"mblack@guidewire.com")</f>
        <v>mblack@guidewire.com</v>
      </c>
      <c r="C24" s="16" t="str">
        <f>IFERROR(__xludf.DUMMYFUNCTION("""COMPUTED_VALUE"""),"Senior Director Partner Programs")</f>
        <v>Senior Director Partner Programs</v>
      </c>
      <c r="D24" s="16"/>
      <c r="E24" s="16"/>
      <c r="F24" s="16"/>
      <c r="G24" s="16"/>
      <c r="H24" s="16"/>
      <c r="I24" s="16"/>
      <c r="J24" s="16"/>
      <c r="K24" s="16"/>
      <c r="L24" s="16"/>
      <c r="M24" s="16"/>
      <c r="N24" s="16"/>
      <c r="O24" s="16"/>
      <c r="P24" s="16"/>
      <c r="Q24" s="16"/>
      <c r="R24" s="16"/>
      <c r="S24" s="16"/>
      <c r="T24" s="16"/>
      <c r="U24" s="16"/>
      <c r="V24" s="16"/>
      <c r="W24" s="16"/>
      <c r="X24" s="16"/>
      <c r="Y24" s="16"/>
      <c r="Z24" s="16"/>
    </row>
    <row r="25">
      <c r="A25" s="16" t="str">
        <f>IFERROR(__xludf.DUMMYFUNCTION("""COMPUTED_VALUE"""),"Nikko Lee")</f>
        <v>Nikko Lee</v>
      </c>
      <c r="B25" s="16" t="str">
        <f>IFERROR(__xludf.DUMMYFUNCTION("""COMPUTED_VALUE"""),"nlee@guidewire.com")</f>
        <v>nlee@guidewire.com</v>
      </c>
      <c r="C25" s="16" t="str">
        <f>IFERROR(__xludf.DUMMYFUNCTION("""COMPUTED_VALUE"""),"Partner Program Coordinator")</f>
        <v>Partner Program Coordinator</v>
      </c>
      <c r="D25" s="16"/>
      <c r="E25" s="16"/>
      <c r="F25" s="16"/>
      <c r="G25" s="16"/>
      <c r="H25" s="16"/>
      <c r="I25" s="16"/>
      <c r="J25" s="16"/>
      <c r="K25" s="16"/>
      <c r="L25" s="16"/>
      <c r="M25" s="16"/>
      <c r="N25" s="16"/>
      <c r="O25" s="16"/>
      <c r="P25" s="16"/>
      <c r="Q25" s="16"/>
      <c r="R25" s="16"/>
      <c r="S25" s="16"/>
      <c r="T25" s="16"/>
      <c r="U25" s="16"/>
      <c r="V25" s="16"/>
      <c r="W25" s="16"/>
      <c r="X25" s="16"/>
      <c r="Y25" s="16"/>
      <c r="Z25" s="16"/>
    </row>
    <row r="26">
      <c r="A26" s="16" t="str">
        <f>IFERROR(__xludf.DUMMYFUNCTION("""COMPUTED_VALUE"""),"Paul Harper")</f>
        <v>Paul Harper</v>
      </c>
      <c r="B26" s="16" t="str">
        <f>IFERROR(__xludf.DUMMYFUNCTION("""COMPUTED_VALUE"""),"pharper@guidewire.com")</f>
        <v>pharper@guidewire.com</v>
      </c>
      <c r="C26" s="16" t="str">
        <f>IFERROR(__xludf.DUMMYFUNCTION("""COMPUTED_VALUE"""),"Senior Global Technology Alliance Manager")</f>
        <v>Senior Global Technology Alliance Manager</v>
      </c>
      <c r="D26" s="16"/>
      <c r="E26" s="16"/>
      <c r="F26" s="16"/>
      <c r="G26" s="16"/>
      <c r="H26" s="16"/>
      <c r="I26" s="16"/>
      <c r="J26" s="16"/>
      <c r="K26" s="16"/>
      <c r="L26" s="16"/>
      <c r="M26" s="16"/>
      <c r="N26" s="16"/>
      <c r="O26" s="16"/>
      <c r="P26" s="16"/>
      <c r="Q26" s="16"/>
      <c r="R26" s="16"/>
      <c r="S26" s="16"/>
      <c r="T26" s="16"/>
      <c r="U26" s="16"/>
      <c r="V26" s="16"/>
      <c r="W26" s="16"/>
      <c r="X26" s="16"/>
      <c r="Y26" s="16"/>
      <c r="Z26" s="16"/>
    </row>
    <row r="27">
      <c r="A27" s="16" t="str">
        <f>IFERROR(__xludf.DUMMYFUNCTION("""COMPUTED_VALUE"""),"Regina Kean")</f>
        <v>Regina Kean</v>
      </c>
      <c r="B27" s="16" t="str">
        <f>IFERROR(__xludf.DUMMYFUNCTION("""COMPUTED_VALUE"""),"rkean@guidewire.com")</f>
        <v>rkean@guidewire.com</v>
      </c>
      <c r="C27" s="16" t="str">
        <f>IFERROR(__xludf.DUMMYFUNCTION("""COMPUTED_VALUE"""),"Global Consulting Alliances")</f>
        <v>Global Consulting Alliances</v>
      </c>
      <c r="D27" s="16"/>
      <c r="E27" s="16"/>
      <c r="F27" s="16"/>
      <c r="G27" s="16"/>
      <c r="H27" s="16"/>
      <c r="I27" s="16"/>
      <c r="J27" s="16"/>
      <c r="K27" s="16"/>
      <c r="L27" s="16"/>
      <c r="M27" s="16"/>
      <c r="N27" s="16"/>
      <c r="O27" s="16"/>
      <c r="P27" s="16"/>
      <c r="Q27" s="16"/>
      <c r="R27" s="16"/>
      <c r="S27" s="16"/>
      <c r="T27" s="16"/>
      <c r="U27" s="16"/>
      <c r="V27" s="16"/>
      <c r="W27" s="16"/>
      <c r="X27" s="16"/>
      <c r="Y27" s="16"/>
      <c r="Z27" s="16"/>
    </row>
    <row r="28">
      <c r="A28" s="16" t="str">
        <f>IFERROR(__xludf.DUMMYFUNCTION("""COMPUTED_VALUE"""),"Richard Pauly")</f>
        <v>Richard Pauly</v>
      </c>
      <c r="B28" s="16" t="str">
        <f>IFERROR(__xludf.DUMMYFUNCTION("""COMPUTED_VALUE"""),"rpauly@guidewire.com")</f>
        <v>rpauly@guidewire.com</v>
      </c>
      <c r="C28" s="16" t="str">
        <f>IFERROR(__xludf.DUMMYFUNCTION("""COMPUTED_VALUE"""),"Senior Director, Marketplace")</f>
        <v>Senior Director, Marketplace</v>
      </c>
      <c r="D28" s="16"/>
      <c r="E28" s="16"/>
      <c r="F28" s="16"/>
      <c r="G28" s="16"/>
      <c r="H28" s="16"/>
      <c r="I28" s="16"/>
      <c r="J28" s="16"/>
      <c r="K28" s="16"/>
      <c r="L28" s="16"/>
      <c r="M28" s="16"/>
      <c r="N28" s="16"/>
      <c r="O28" s="16"/>
      <c r="P28" s="16"/>
      <c r="Q28" s="16"/>
      <c r="R28" s="16"/>
      <c r="S28" s="16"/>
      <c r="T28" s="16"/>
      <c r="U28" s="16"/>
      <c r="V28" s="16"/>
      <c r="W28" s="16"/>
      <c r="X28" s="16"/>
      <c r="Y28" s="16"/>
      <c r="Z28" s="16"/>
    </row>
    <row r="29">
      <c r="A29" s="16" t="str">
        <f>IFERROR(__xludf.DUMMYFUNCTION("""COMPUTED_VALUE"""),"Richard Vahlhaus")</f>
        <v>Richard Vahlhaus</v>
      </c>
      <c r="B29" s="16" t="str">
        <f>IFERROR(__xludf.DUMMYFUNCTION("""COMPUTED_VALUE"""),"rvahlhaus@guidewire.com")</f>
        <v>rvahlhaus@guidewire.com</v>
      </c>
      <c r="C29" s="16" t="str">
        <f>IFERROR(__xludf.DUMMYFUNCTION("""COMPUTED_VALUE"""),"Global Consulting Alliances")</f>
        <v>Global Consulting Alliances</v>
      </c>
      <c r="D29" s="16"/>
      <c r="E29" s="16"/>
      <c r="F29" s="16"/>
      <c r="G29" s="16"/>
      <c r="H29" s="16"/>
      <c r="I29" s="16"/>
      <c r="J29" s="16"/>
      <c r="K29" s="16"/>
      <c r="L29" s="16"/>
      <c r="M29" s="16"/>
      <c r="N29" s="16"/>
      <c r="O29" s="16"/>
      <c r="P29" s="16"/>
      <c r="Q29" s="16"/>
      <c r="R29" s="16"/>
      <c r="S29" s="16"/>
      <c r="T29" s="16"/>
      <c r="U29" s="16"/>
      <c r="V29" s="16"/>
      <c r="W29" s="16"/>
      <c r="X29" s="16"/>
      <c r="Y29" s="16"/>
      <c r="Z29" s="16"/>
    </row>
    <row r="30">
      <c r="A30" s="16" t="str">
        <f>IFERROR(__xludf.DUMMYFUNCTION("""COMPUTED_VALUE"""),"Rod Gowin")</f>
        <v>Rod Gowin</v>
      </c>
      <c r="B30" s="16" t="str">
        <f>IFERROR(__xludf.DUMMYFUNCTION("""COMPUTED_VALUE"""),"rgowin@guidewire.com")</f>
        <v>rgowin@guidewire.com</v>
      </c>
      <c r="C30" s="16" t="str">
        <f>IFERROR(__xludf.DUMMYFUNCTION("""COMPUTED_VALUE"""),"Global Technology Alliance Manager")</f>
        <v>Global Technology Alliance Manager</v>
      </c>
      <c r="D30" s="16"/>
      <c r="E30" s="16"/>
      <c r="F30" s="16"/>
      <c r="G30" s="16"/>
      <c r="H30" s="16"/>
      <c r="I30" s="16"/>
      <c r="J30" s="16"/>
      <c r="K30" s="16"/>
      <c r="L30" s="16"/>
      <c r="M30" s="16"/>
      <c r="N30" s="16"/>
      <c r="O30" s="16"/>
      <c r="P30" s="16"/>
      <c r="Q30" s="16"/>
      <c r="R30" s="16"/>
      <c r="S30" s="16"/>
      <c r="T30" s="16"/>
      <c r="U30" s="16"/>
      <c r="V30" s="16"/>
      <c r="W30" s="16"/>
      <c r="X30" s="16"/>
      <c r="Y30" s="16"/>
      <c r="Z30" s="16"/>
    </row>
    <row r="31">
      <c r="A31" s="16" t="str">
        <f>IFERROR(__xludf.DUMMYFUNCTION("""COMPUTED_VALUE"""),"Shannon Spies")</f>
        <v>Shannon Spies</v>
      </c>
      <c r="B31" s="16" t="str">
        <f>IFERROR(__xludf.DUMMYFUNCTION("""COMPUTED_VALUE"""),"syates@guidewire.com")</f>
        <v>syates@guidewire.com</v>
      </c>
      <c r="C31" s="16" t="str">
        <f>IFERROR(__xludf.DUMMYFUNCTION("""COMPUTED_VALUE"""),"Global Technology Alliance Manager")</f>
        <v>Global Technology Alliance Manager</v>
      </c>
      <c r="D31" s="16"/>
      <c r="E31" s="16"/>
      <c r="F31" s="16"/>
      <c r="G31" s="16"/>
      <c r="H31" s="16"/>
      <c r="I31" s="16"/>
      <c r="J31" s="16"/>
      <c r="K31" s="16"/>
      <c r="L31" s="16"/>
      <c r="M31" s="16"/>
      <c r="N31" s="16"/>
      <c r="O31" s="16"/>
      <c r="P31" s="16"/>
      <c r="Q31" s="16"/>
      <c r="R31" s="16"/>
      <c r="S31" s="16"/>
      <c r="T31" s="16"/>
      <c r="U31" s="16"/>
      <c r="V31" s="16"/>
      <c r="W31" s="16"/>
      <c r="X31" s="16"/>
      <c r="Y31" s="16"/>
      <c r="Z31" s="16"/>
    </row>
    <row r="32">
      <c r="A32" s="16" t="str">
        <f>IFERROR(__xludf.DUMMYFUNCTION("""COMPUTED_VALUE"""),"Shyam Sundar Krovvidi")</f>
        <v>Shyam Sundar Krovvidi</v>
      </c>
      <c r="B32" s="16" t="str">
        <f>IFERROR(__xludf.DUMMYFUNCTION("""COMPUTED_VALUE"""),"skrovvidi@guidewire.com")</f>
        <v>skrovvidi@guidewire.com</v>
      </c>
      <c r="C32" s="16" t="str">
        <f>IFERROR(__xludf.DUMMYFUNCTION("""COMPUTED_VALUE"""),"Partner Success Manager")</f>
        <v>Partner Success Manager</v>
      </c>
      <c r="D32" s="16"/>
      <c r="E32" s="16"/>
      <c r="F32" s="16"/>
      <c r="G32" s="16"/>
      <c r="H32" s="16"/>
      <c r="I32" s="16"/>
      <c r="J32" s="16"/>
      <c r="K32" s="16"/>
      <c r="L32" s="16"/>
      <c r="M32" s="16"/>
      <c r="N32" s="16"/>
      <c r="O32" s="16"/>
      <c r="P32" s="16"/>
      <c r="Q32" s="16"/>
      <c r="R32" s="16"/>
      <c r="S32" s="16"/>
      <c r="T32" s="16"/>
      <c r="U32" s="16"/>
      <c r="V32" s="16"/>
      <c r="W32" s="16"/>
      <c r="X32" s="16"/>
      <c r="Y32" s="16"/>
      <c r="Z32" s="16"/>
    </row>
    <row r="33">
      <c r="A33" s="16" t="str">
        <f>IFERROR(__xludf.DUMMYFUNCTION("""COMPUTED_VALUE"""),"Steve Doss")</f>
        <v>Steve Doss</v>
      </c>
      <c r="B33" s="16" t="str">
        <f>IFERROR(__xludf.DUMMYFUNCTION("""COMPUTED_VALUE"""),"sdoss@guidewire.com")</f>
        <v>sdoss@guidewire.com</v>
      </c>
      <c r="C33" s="16" t="str">
        <f>IFERROR(__xludf.DUMMYFUNCTION("""COMPUTED_VALUE"""),"Global Consulting Alliances")</f>
        <v>Global Consulting Alliances</v>
      </c>
      <c r="D33" s="16"/>
      <c r="E33" s="16"/>
      <c r="F33" s="16"/>
      <c r="G33" s="16"/>
      <c r="H33" s="16"/>
      <c r="I33" s="16"/>
      <c r="J33" s="16"/>
      <c r="K33" s="16"/>
      <c r="L33" s="16"/>
      <c r="M33" s="16"/>
      <c r="N33" s="16"/>
      <c r="O33" s="16"/>
      <c r="P33" s="16"/>
      <c r="Q33" s="16"/>
      <c r="R33" s="16"/>
      <c r="S33" s="16"/>
      <c r="T33" s="16"/>
      <c r="U33" s="16"/>
      <c r="V33" s="16"/>
      <c r="W33" s="16"/>
      <c r="X33" s="16"/>
      <c r="Y33" s="16"/>
      <c r="Z33" s="16"/>
    </row>
    <row r="34">
      <c r="A34" s="16" t="str">
        <f>IFERROR(__xludf.DUMMYFUNCTION("""COMPUTED_VALUE"""),"Ted Ogrean")</f>
        <v>Ted Ogrean</v>
      </c>
      <c r="B34" s="16" t="str">
        <f>IFERROR(__xludf.DUMMYFUNCTION("""COMPUTED_VALUE"""),"togrean@guidewire.com")</f>
        <v>togrean@guidewire.com</v>
      </c>
      <c r="C34" s="16" t="str">
        <f>IFERROR(__xludf.DUMMYFUNCTION("""COMPUTED_VALUE"""),"Director, Marketplace Delivery")</f>
        <v>Director, Marketplace Delivery</v>
      </c>
      <c r="D34" s="16"/>
      <c r="E34" s="16"/>
      <c r="F34" s="16"/>
      <c r="G34" s="16"/>
      <c r="H34" s="16"/>
      <c r="I34" s="16"/>
      <c r="J34" s="16"/>
      <c r="K34" s="16"/>
      <c r="L34" s="16"/>
      <c r="M34" s="16"/>
      <c r="N34" s="16"/>
      <c r="O34" s="16"/>
      <c r="P34" s="16"/>
      <c r="Q34" s="16"/>
      <c r="R34" s="16"/>
      <c r="S34" s="16"/>
      <c r="T34" s="16"/>
      <c r="U34" s="16"/>
      <c r="V34" s="16"/>
      <c r="W34" s="16"/>
      <c r="X34" s="16"/>
      <c r="Y34" s="16"/>
      <c r="Z34" s="16"/>
    </row>
    <row r="35">
      <c r="A35" s="16" t="str">
        <f>IFERROR(__xludf.DUMMYFUNCTION("""COMPUTED_VALUE"""),"Tim Kennedy")</f>
        <v>Tim Kennedy</v>
      </c>
      <c r="B35" s="16" t="str">
        <f>IFERROR(__xludf.DUMMYFUNCTION("""COMPUTED_VALUE"""),"tkennedy@guidewire.com")</f>
        <v>tkennedy@guidewire.com</v>
      </c>
      <c r="C35" s="16" t="str">
        <f>IFERROR(__xludf.DUMMYFUNCTION("""COMPUTED_VALUE"""),"Director, Technology Alliances")</f>
        <v>Director, Technology Alliances</v>
      </c>
      <c r="D35" s="16"/>
      <c r="E35" s="16"/>
      <c r="F35" s="16"/>
      <c r="G35" s="16"/>
      <c r="H35" s="16"/>
      <c r="I35" s="16"/>
      <c r="J35" s="16"/>
      <c r="K35" s="16"/>
      <c r="L35" s="16"/>
      <c r="M35" s="16"/>
      <c r="N35" s="16"/>
      <c r="O35" s="16"/>
      <c r="P35" s="16"/>
      <c r="Q35" s="16"/>
      <c r="R35" s="16"/>
      <c r="S35" s="16"/>
      <c r="T35" s="16"/>
      <c r="U35" s="16"/>
      <c r="V35" s="16"/>
      <c r="W35" s="16"/>
      <c r="X35" s="16"/>
      <c r="Y35" s="16"/>
      <c r="Z35" s="16"/>
    </row>
    <row r="36">
      <c r="A36" s="16" t="str">
        <f>IFERROR(__xludf.DUMMYFUNCTION("""COMPUTED_VALUE"""),"Tony Rosati")</f>
        <v>Tony Rosati</v>
      </c>
      <c r="B36" s="16" t="str">
        <f>IFERROR(__xludf.DUMMYFUNCTION("""COMPUTED_VALUE"""),"trosati@guidewire.com")</f>
        <v>trosati@guidewire.com</v>
      </c>
      <c r="C36" s="16" t="str">
        <f>IFERROR(__xludf.DUMMYFUNCTION("""COMPUTED_VALUE"""),"Global Consulting Alliances")</f>
        <v>Global Consulting Alliances</v>
      </c>
      <c r="D36" s="16"/>
      <c r="E36" s="16"/>
      <c r="F36" s="16"/>
      <c r="G36" s="16"/>
      <c r="H36" s="16"/>
      <c r="I36" s="16"/>
      <c r="J36" s="16"/>
      <c r="K36" s="16"/>
      <c r="L36" s="16"/>
      <c r="M36" s="16"/>
      <c r="N36" s="16"/>
      <c r="O36" s="16"/>
      <c r="P36" s="16"/>
      <c r="Q36" s="16"/>
      <c r="R36" s="16"/>
      <c r="S36" s="16"/>
      <c r="T36" s="16"/>
      <c r="U36" s="16"/>
      <c r="V36" s="16"/>
      <c r="W36" s="16"/>
      <c r="X36" s="16"/>
      <c r="Y36" s="16"/>
      <c r="Z36" s="16"/>
    </row>
    <row r="37">
      <c r="A37" s="16" t="str">
        <f>IFERROR(__xludf.DUMMYFUNCTION("""COMPUTED_VALUE"""),"Vivienne Hoary")</f>
        <v>Vivienne Hoary</v>
      </c>
      <c r="B37" s="16" t="str">
        <f>IFERROR(__xludf.DUMMYFUNCTION("""COMPUTED_VALUE"""),"vhoary@guidewire.com")</f>
        <v>vhoary@guidewire.com</v>
      </c>
      <c r="C37" s="16" t="str">
        <f>IFERROR(__xludf.DUMMYFUNCTION("""COMPUTED_VALUE"""),"Technology Alliance Manager")</f>
        <v>Technology Alliance Manager</v>
      </c>
      <c r="D37" s="16"/>
      <c r="E37" s="16"/>
      <c r="F37" s="16"/>
      <c r="G37" s="16"/>
      <c r="H37" s="16"/>
      <c r="I37" s="16"/>
      <c r="J37" s="16"/>
      <c r="K37" s="16"/>
      <c r="L37" s="16"/>
      <c r="M37" s="16"/>
      <c r="N37" s="16"/>
      <c r="O37" s="16"/>
      <c r="P37" s="16"/>
      <c r="Q37" s="16"/>
      <c r="R37" s="16"/>
      <c r="S37" s="16"/>
      <c r="T37" s="16"/>
      <c r="U37" s="16"/>
      <c r="V37" s="16"/>
      <c r="W37" s="16"/>
      <c r="X37" s="16"/>
      <c r="Y37" s="16"/>
      <c r="Z37" s="16"/>
    </row>
    <row r="38">
      <c r="A38" s="16" t="str">
        <f>IFERROR(__xludf.DUMMYFUNCTION("""COMPUTED_VALUE"""),"Will Murphy")</f>
        <v>Will Murphy</v>
      </c>
      <c r="B38" s="16" t="str">
        <f>IFERROR(__xludf.DUMMYFUNCTION("""COMPUTED_VALUE"""),"wmurphy@guidewire.com")</f>
        <v>wmurphy@guidewire.com</v>
      </c>
      <c r="C38" s="16" t="str">
        <f>IFERROR(__xludf.DUMMYFUNCTION("""COMPUTED_VALUE"""),"VP Technology Alliances")</f>
        <v>VP Technology Alliances</v>
      </c>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tr">
        <f>IFERROR(__xludf.DUMMYFUNCTION("IMPORTRANGE(""https://docs.google.com/spreadsheets/d/1oFbyWxkC8heYznfw1h4dnXBL4l2AX10e3McVtA5anLI/edit"", ""AllianceManagers!A:Z"")"),"Manager")</f>
        <v>Manager</v>
      </c>
      <c r="B1" s="16" t="str">
        <f>IFERROR(__xludf.DUMMYFUNCTION("""COMPUTED_VALUE"""),"Email")</f>
        <v>Email</v>
      </c>
      <c r="C1" s="16" t="str">
        <f>IFERROR(__xludf.DUMMYFUNCTION("""COMPUTED_VALUE"""),"Title")</f>
        <v>Title</v>
      </c>
      <c r="D1" s="16" t="str">
        <f>IFERROR(__xludf.DUMMYFUNCTION("""COMPUTED_VALUE"""),"AuthRole")</f>
        <v>AuthRole</v>
      </c>
      <c r="E1" s="16" t="str">
        <f>IFERROR(__xludf.DUMMYFUNCTION("""COMPUTED_VALUE"""),"Role")</f>
        <v>Role</v>
      </c>
      <c r="F1" s="16" t="str">
        <f>IFERROR(__xludf.DUMMYFUNCTION("""COMPUTED_VALUE"""),"EmailAccess")</f>
        <v>EmailAccess</v>
      </c>
      <c r="G1" s="16" t="str">
        <f>IFERROR(__xludf.DUMMYFUNCTION("""COMPUTED_VALUE"""),"ReturnName")</f>
        <v>ReturnName</v>
      </c>
      <c r="H1" s="16" t="str">
        <f>IFERROR(__xludf.DUMMYFUNCTION("""COMPUTED_VALUE"""),"ReturnEmail")</f>
        <v>ReturnEmail</v>
      </c>
      <c r="I1" s="16" t="str">
        <f>IFERROR(__xludf.DUMMYFUNCTION("""COMPUTED_VALUE"""),"Function")</f>
        <v>Function</v>
      </c>
      <c r="J1" s="16" t="str">
        <f>IFERROR(__xludf.DUMMYFUNCTION("""COMPUTED_VALUE"""),"MondayBoards")</f>
        <v>MondayBoards</v>
      </c>
      <c r="K1" s="16" t="str">
        <f>IFERROR(__xludf.DUMMYFUNCTION("""COMPUTED_VALUE"""),"MondayRole")</f>
        <v>MondayRole</v>
      </c>
      <c r="L1" s="16" t="str">
        <f>IFERROR(__xludf.DUMMYFUNCTION("""COMPUTED_VALUE"""),"Reports")</f>
        <v>Reports</v>
      </c>
      <c r="M1" s="16" t="str">
        <f>IFERROR(__xludf.DUMMYFUNCTION("""COMPUTED_VALUE"""),"UID")</f>
        <v>UID</v>
      </c>
      <c r="N1" s="16"/>
      <c r="O1" s="16"/>
      <c r="P1" s="16"/>
      <c r="Q1" s="16"/>
      <c r="R1" s="16"/>
      <c r="S1" s="16"/>
      <c r="T1" s="16"/>
      <c r="U1" s="16"/>
      <c r="V1" s="16"/>
      <c r="W1" s="16"/>
      <c r="X1" s="16"/>
      <c r="Y1" s="16"/>
    </row>
    <row r="2" hidden="1">
      <c r="A2" s="16" t="str">
        <f>IFERROR(__xludf.DUMMYFUNCTION("""COMPUTED_VALUE"""),"Aaron Shaw")</f>
        <v>Aaron Shaw</v>
      </c>
      <c r="B2" s="16" t="str">
        <f>IFERROR(__xludf.DUMMYFUNCTION("""COMPUTED_VALUE"""),"aashaw@guidewire.com")</f>
        <v>aashaw@guidewire.com</v>
      </c>
      <c r="C2" s="16" t="str">
        <f>IFERROR(__xludf.DUMMYFUNCTION("""COMPUTED_VALUE"""),"Global Technology Alliance Manager")</f>
        <v>Global Technology Alliance Manager</v>
      </c>
      <c r="D2" s="16" t="str">
        <f>IFERROR(__xludf.DUMMYFUNCTION("""COMPUTED_VALUE"""),"BASIC")</f>
        <v>BASIC</v>
      </c>
      <c r="E2" s="16" t="str">
        <f>IFERROR(__xludf.DUMMYFUNCTION("""COMPUTED_VALUE"""),"Director")</f>
        <v>Director</v>
      </c>
      <c r="F2" s="16" t="str">
        <f>IFERROR(__xludf.DUMMYFUNCTION("""COMPUTED_VALUE"""),"AllianceManagerAccess")</f>
        <v>AllianceManagerAccess</v>
      </c>
      <c r="G2" s="16" t="str">
        <f>IFERROR(__xludf.DUMMYFUNCTION("""COMPUTED_VALUE"""),"Aaron Shaw")</f>
        <v>Aaron Shaw</v>
      </c>
      <c r="H2" s="16" t="str">
        <f>IFERROR(__xludf.DUMMYFUNCTION("""COMPUTED_VALUE"""),"aashaw@guidewire.com")</f>
        <v>aashaw@guidewire.com</v>
      </c>
      <c r="I2" s="16" t="str">
        <f>IFERROR(__xludf.DUMMYFUNCTION("""COMPUTED_VALUE"""),"PartnerManagement")</f>
        <v>PartnerManagement</v>
      </c>
      <c r="J2"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2" s="16" t="str">
        <f>IFERROR(__xludf.DUMMYFUNCTION("""COMPUTED_VALUE"""),"User")</f>
        <v>User</v>
      </c>
      <c r="L2" s="16"/>
      <c r="M2" s="16" t="str">
        <f>IFERROR(__xludf.DUMMYFUNCTION("""COMPUTED_VALUE"""),"88ab7c311bc011e2")</f>
        <v>88ab7c311bc011e2</v>
      </c>
      <c r="N2" s="16"/>
      <c r="O2" s="16"/>
      <c r="P2" s="16"/>
      <c r="Q2" s="16"/>
      <c r="R2" s="16"/>
      <c r="S2" s="16"/>
      <c r="T2" s="16"/>
      <c r="U2" s="16"/>
      <c r="V2" s="16"/>
      <c r="W2" s="16"/>
      <c r="X2" s="16"/>
      <c r="Y2" s="16"/>
    </row>
    <row r="3" hidden="1">
      <c r="A3" s="16" t="str">
        <f>IFERROR(__xludf.DUMMYFUNCTION("""COMPUTED_VALUE"""),"Customer Success")</f>
        <v>Customer Success</v>
      </c>
      <c r="B3" s="16" t="str">
        <f>IFERROR(__xludf.DUMMYFUNCTION("""COMPUTED_VALUE"""),"tkennedy@guidewire.com")</f>
        <v>tkennedy@guidewire.com</v>
      </c>
      <c r="C3" s="16" t="str">
        <f>IFERROR(__xludf.DUMMYFUNCTION("""COMPUTED_VALUE"""),"Customer Success Team")</f>
        <v>Customer Success Team</v>
      </c>
      <c r="D3" s="16" t="str">
        <f>IFERROR(__xludf.DUMMYFUNCTION("""COMPUTED_VALUE"""),"BASIC")</f>
        <v>BASIC</v>
      </c>
      <c r="E3" s="16" t="str">
        <f>IFERROR(__xludf.DUMMYFUNCTION("""COMPUTED_VALUE"""),"Admin")</f>
        <v>Admin</v>
      </c>
      <c r="F3" s="16" t="str">
        <f>IFERROR(__xludf.DUMMYFUNCTION("""COMPUTED_VALUE"""),"NoAccess")</f>
        <v>NoAccess</v>
      </c>
      <c r="G3" s="16"/>
      <c r="H3" s="16"/>
      <c r="I3" s="16" t="str">
        <f>IFERROR(__xludf.DUMMYFUNCTION("""COMPUTED_VALUE"""),"GSC")</f>
        <v>GSC</v>
      </c>
      <c r="J3" s="16" t="str">
        <f>IFERROR(__xludf.DUMMYFUNCTION("""COMPUTED_VALUE"""),"PartnerActivites, PartnerHealthHeatmap, PartnerManagement, SolutionOps, MarketingProjects, Marketplace")</f>
        <v>PartnerActivites, PartnerHealthHeatmap, PartnerManagement, SolutionOps, MarketingProjects, Marketplace</v>
      </c>
      <c r="K3" s="16" t="str">
        <f>IFERROR(__xludf.DUMMYFUNCTION("""COMPUTED_VALUE"""),"User")</f>
        <v>User</v>
      </c>
      <c r="L3" s="16"/>
      <c r="M3" s="16" t="str">
        <f>IFERROR(__xludf.DUMMYFUNCTION("""COMPUTED_VALUE"""),"95f9bbab2bffe41a")</f>
        <v>95f9bbab2bffe41a</v>
      </c>
      <c r="N3" s="16"/>
      <c r="O3" s="16"/>
      <c r="P3" s="16"/>
      <c r="Q3" s="16"/>
      <c r="R3" s="16"/>
      <c r="S3" s="16"/>
      <c r="T3" s="16"/>
      <c r="U3" s="16"/>
      <c r="V3" s="16"/>
      <c r="W3" s="16"/>
      <c r="X3" s="16"/>
      <c r="Y3" s="16"/>
    </row>
    <row r="4" hidden="1">
      <c r="A4" s="16" t="str">
        <f>IFERROR(__xludf.DUMMYFUNCTION("""COMPUTED_VALUE"""),"Delli Bhaskar Jagadeesan")</f>
        <v>Delli Bhaskar Jagadeesan</v>
      </c>
      <c r="B4" s="16" t="str">
        <f>IFERROR(__xludf.DUMMYFUNCTION("""COMPUTED_VALUE"""),"djagadeesan@guidewire.com")</f>
        <v>djagadeesan@guidewire.com</v>
      </c>
      <c r="C4" s="16" t="str">
        <f>IFERROR(__xludf.DUMMYFUNCTION("""COMPUTED_VALUE"""),"Principal Technology Evangelist")</f>
        <v>Principal Technology Evangelist</v>
      </c>
      <c r="D4" s="16" t="str">
        <f>IFERROR(__xludf.DUMMYFUNCTION("""COMPUTED_VALUE"""),"BASIC")</f>
        <v>BASIC</v>
      </c>
      <c r="E4" s="16" t="str">
        <f>IFERROR(__xludf.DUMMYFUNCTION("""COMPUTED_VALUE"""),"Admin")</f>
        <v>Admin</v>
      </c>
      <c r="F4" s="16" t="str">
        <f>IFERROR(__xludf.DUMMYFUNCTION("""COMPUTED_VALUE"""),"NoAccess")</f>
        <v>NoAccess</v>
      </c>
      <c r="G4" s="16"/>
      <c r="H4" s="16"/>
      <c r="I4" s="16" t="str">
        <f>IFERROR(__xludf.DUMMYFUNCTION("""COMPUTED_VALUE"""),"GSC")</f>
        <v>GSC</v>
      </c>
      <c r="J4" s="16" t="str">
        <f>IFERROR(__xludf.DUMMYFUNCTION("""COMPUTED_VALUE"""),"PartnerActivites, PartnerHealthHeatmap, PartnerManagement, SolutionOps, MarketingProjects, Marketplace")</f>
        <v>PartnerActivites, PartnerHealthHeatmap, PartnerManagement, SolutionOps, MarketingProjects, Marketplace</v>
      </c>
      <c r="K4" s="16" t="str">
        <f>IFERROR(__xludf.DUMMYFUNCTION("""COMPUTED_VALUE"""),"User")</f>
        <v>User</v>
      </c>
      <c r="L4" s="16"/>
      <c r="M4" s="16" t="str">
        <f>IFERROR(__xludf.DUMMYFUNCTION("""COMPUTED_VALUE"""),"231b6521c7488a5b")</f>
        <v>231b6521c7488a5b</v>
      </c>
      <c r="N4" s="16"/>
      <c r="O4" s="16"/>
      <c r="P4" s="16"/>
      <c r="Q4" s="16"/>
      <c r="R4" s="16"/>
      <c r="S4" s="16"/>
      <c r="T4" s="16"/>
      <c r="U4" s="16"/>
      <c r="V4" s="16"/>
      <c r="W4" s="16"/>
      <c r="X4" s="16"/>
      <c r="Y4" s="16"/>
    </row>
    <row r="5" hidden="1">
      <c r="A5" s="16" t="str">
        <f>IFERROR(__xludf.DUMMYFUNCTION("""COMPUTED_VALUE"""),"Drew Birtwistle")</f>
        <v>Drew Birtwistle</v>
      </c>
      <c r="B5" s="16" t="str">
        <f>IFERROR(__xludf.DUMMYFUNCTION("""COMPUTED_VALUE"""),"dbirtwistle@guidewire.com")</f>
        <v>dbirtwistle@guidewire.com</v>
      </c>
      <c r="C5" s="16" t="str">
        <f>IFERROR(__xludf.DUMMYFUNCTION("""COMPUTED_VALUE"""),"Director Product Management Ecosystem")</f>
        <v>Director Product Management Ecosystem</v>
      </c>
      <c r="D5" s="16" t="str">
        <f>IFERROR(__xludf.DUMMYFUNCTION("""COMPUTED_VALUE"""),"BASIC")</f>
        <v>BASIC</v>
      </c>
      <c r="E5" s="16" t="str">
        <f>IFERROR(__xludf.DUMMYFUNCTION("""COMPUTED_VALUE"""),"Admin")</f>
        <v>Admin</v>
      </c>
      <c r="F5" s="16" t="str">
        <f>IFERROR(__xludf.DUMMYFUNCTION("""COMPUTED_VALUE"""),"NoAccess")</f>
        <v>NoAccess</v>
      </c>
      <c r="G5" s="16"/>
      <c r="H5" s="16"/>
      <c r="I5" s="16" t="str">
        <f>IFERROR(__xludf.DUMMYFUNCTION("""COMPUTED_VALUE"""),"PartnerManagement")</f>
        <v>PartnerManagement</v>
      </c>
      <c r="J5" s="16" t="str">
        <f>IFERROR(__xludf.DUMMYFUNCTION("""COMPUTED_VALUE"""),"PartnerActivites, PartnerHealthHeatmap, PartnerManagement, SolutionOps, MarketingProjects, Marketplace")</f>
        <v>PartnerActivites, PartnerHealthHeatmap, PartnerManagement, SolutionOps, MarketingProjects, Marketplace</v>
      </c>
      <c r="K5" s="16" t="str">
        <f>IFERROR(__xludf.DUMMYFUNCTION("""COMPUTED_VALUE"""),"User")</f>
        <v>User</v>
      </c>
      <c r="L5" s="16"/>
      <c r="M5" s="16" t="str">
        <f>IFERROR(__xludf.DUMMYFUNCTION("""COMPUTED_VALUE"""),"afb196cf6f0305ff")</f>
        <v>afb196cf6f0305ff</v>
      </c>
      <c r="N5" s="16"/>
      <c r="O5" s="16"/>
      <c r="P5" s="16"/>
      <c r="Q5" s="16"/>
      <c r="R5" s="16"/>
      <c r="S5" s="16"/>
      <c r="T5" s="16"/>
      <c r="U5" s="16"/>
      <c r="V5" s="16"/>
      <c r="W5" s="16"/>
      <c r="X5" s="16"/>
      <c r="Y5" s="16"/>
    </row>
    <row r="6" hidden="1">
      <c r="A6" s="16" t="str">
        <f>IFERROR(__xludf.DUMMYFUNCTION("""COMPUTED_VALUE"""),"Eric Apse")</f>
        <v>Eric Apse</v>
      </c>
      <c r="B6" s="16" t="str">
        <f>IFERROR(__xludf.DUMMYFUNCTION("""COMPUTED_VALUE"""),"eapse@guidewire.com")</f>
        <v>eapse@guidewire.com</v>
      </c>
      <c r="C6" s="16" t="str">
        <f>IFERROR(__xludf.DUMMYFUNCTION("""COMPUTED_VALUE"""),"Senior Global Technology Alliance Director")</f>
        <v>Senior Global Technology Alliance Director</v>
      </c>
      <c r="D6" s="16" t="str">
        <f>IFERROR(__xludf.DUMMYFUNCTION("""COMPUTED_VALUE"""),"BASIC")</f>
        <v>BASIC</v>
      </c>
      <c r="E6" s="16" t="str">
        <f>IFERROR(__xludf.DUMMYFUNCTION("""COMPUTED_VALUE"""),"Director")</f>
        <v>Director</v>
      </c>
      <c r="F6" s="16" t="str">
        <f>IFERROR(__xludf.DUMMYFUNCTION("""COMPUTED_VALUE"""),"AllianceManagerAccess")</f>
        <v>AllianceManagerAccess</v>
      </c>
      <c r="G6" s="16" t="str">
        <f>IFERROR(__xludf.DUMMYFUNCTION("""COMPUTED_VALUE"""),"Eric Apse")</f>
        <v>Eric Apse</v>
      </c>
      <c r="H6" s="16" t="str">
        <f>IFERROR(__xludf.DUMMYFUNCTION("""COMPUTED_VALUE"""),"eapse@guidewire.com")</f>
        <v>eapse@guidewire.com</v>
      </c>
      <c r="I6" s="16" t="str">
        <f>IFERROR(__xludf.DUMMYFUNCTION("""COMPUTED_VALUE"""),"PartnerManagement")</f>
        <v>PartnerManagement</v>
      </c>
      <c r="J6" s="16" t="str">
        <f>IFERROR(__xludf.DUMMYFUNCTION("""COMPUTED_VALUE"""),"MarketingApprovals, 2026MarketingApprovals, MarketingCalendar, Activity Stats, PartnerActivites, PartnerHealthHeatmap, PartnerManagement, SolutionOps, Marketplace, MarketingProjects")</f>
        <v>MarketingApprovals, 2026MarketingApprovals, MarketingCalendar, Activity Stats, PartnerActivites, PartnerHealthHeatmap, PartnerManagement, SolutionOps, Marketplace, MarketingProjects</v>
      </c>
      <c r="K6" s="16" t="str">
        <f>IFERROR(__xludf.DUMMYFUNCTION("""COMPUTED_VALUE"""),"SrDirector")</f>
        <v>SrDirector</v>
      </c>
      <c r="L6" s="16" t="str">
        <f>IFERROR(__xludf.DUMMYFUNCTION("""COMPUTED_VALUE"""),"Aaron Shaw, Eric Apse, Fatima Aoulagha-Bannou, Gregg Rabenold, Kelly Clayton, Ketaki Padhye, Vivienne Hoary, Tim Kennedy, Shannon Spies, Rod Gowin, Paul Harper")</f>
        <v>Aaron Shaw, Eric Apse, Fatima Aoulagha-Bannou, Gregg Rabenold, Kelly Clayton, Ketaki Padhye, Vivienne Hoary, Tim Kennedy, Shannon Spies, Rod Gowin, Paul Harper</v>
      </c>
      <c r="M6" s="16" t="str">
        <f>IFERROR(__xludf.DUMMYFUNCTION("""COMPUTED_VALUE"""),"0e8eac820dbd7ff2")</f>
        <v>0e8eac820dbd7ff2</v>
      </c>
      <c r="N6" s="16"/>
      <c r="O6" s="16"/>
      <c r="P6" s="16"/>
      <c r="Q6" s="16"/>
      <c r="R6" s="16"/>
      <c r="S6" s="16"/>
      <c r="T6" s="16"/>
      <c r="U6" s="16"/>
      <c r="V6" s="16"/>
      <c r="W6" s="16"/>
      <c r="X6" s="16"/>
      <c r="Y6" s="16"/>
    </row>
    <row r="7" hidden="1">
      <c r="A7" s="16" t="str">
        <f>IFERROR(__xludf.DUMMYFUNCTION("""COMPUTED_VALUE"""),"Fatima Aoulagha-Bannou")</f>
        <v>Fatima Aoulagha-Bannou</v>
      </c>
      <c r="B7" s="16" t="str">
        <f>IFERROR(__xludf.DUMMYFUNCTION("""COMPUTED_VALUE"""),"faoulagha@guidewire.com")</f>
        <v>faoulagha@guidewire.com</v>
      </c>
      <c r="C7" s="16" t="str">
        <f>IFERROR(__xludf.DUMMYFUNCTION("""COMPUTED_VALUE"""),"Global Technology Alliances Partner Buisiness Development")</f>
        <v>Global Technology Alliances Partner Buisiness Development</v>
      </c>
      <c r="D7" s="16" t="str">
        <f>IFERROR(__xludf.DUMMYFUNCTION("""COMPUTED_VALUE"""),"BASIC")</f>
        <v>BASIC</v>
      </c>
      <c r="E7" s="16" t="str">
        <f>IFERROR(__xludf.DUMMYFUNCTION("""COMPUTED_VALUE"""),"Director")</f>
        <v>Director</v>
      </c>
      <c r="F7" s="16" t="str">
        <f>IFERROR(__xludf.DUMMYFUNCTION("""COMPUTED_VALUE"""),"AllianceManagerAccess")</f>
        <v>AllianceManagerAccess</v>
      </c>
      <c r="G7" s="16" t="str">
        <f>IFERROR(__xludf.DUMMYFUNCTION("""COMPUTED_VALUE"""),"Fatima Aoulagha-Bannou")</f>
        <v>Fatima Aoulagha-Bannou</v>
      </c>
      <c r="H7" s="16" t="str">
        <f>IFERROR(__xludf.DUMMYFUNCTION("""COMPUTED_VALUE"""),"faoulagha@guidewire.com")</f>
        <v>faoulagha@guidewire.com</v>
      </c>
      <c r="I7" s="16" t="str">
        <f>IFERROR(__xludf.DUMMYFUNCTION("""COMPUTED_VALUE"""),"PartnerManagement")</f>
        <v>PartnerManagement</v>
      </c>
      <c r="J7"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7" s="16" t="str">
        <f>IFERROR(__xludf.DUMMYFUNCTION("""COMPUTED_VALUE"""),"Manager")</f>
        <v>Manager</v>
      </c>
      <c r="L7" s="16" t="str">
        <f>IFERROR(__xludf.DUMMYFUNCTION("""COMPUTED_VALUE"""),"Vivienne Hoary")</f>
        <v>Vivienne Hoary</v>
      </c>
      <c r="M7" s="16" t="str">
        <f>IFERROR(__xludf.DUMMYFUNCTION("""COMPUTED_VALUE"""),"cca315d1f6bf7e0d")</f>
        <v>cca315d1f6bf7e0d</v>
      </c>
      <c r="N7" s="16"/>
      <c r="O7" s="16"/>
      <c r="P7" s="16"/>
      <c r="Q7" s="16"/>
      <c r="R7" s="16"/>
      <c r="S7" s="16"/>
      <c r="T7" s="16"/>
      <c r="U7" s="16"/>
      <c r="V7" s="16"/>
      <c r="W7" s="16"/>
      <c r="X7" s="16"/>
      <c r="Y7" s="16"/>
    </row>
    <row r="8">
      <c r="A8" s="16" t="str">
        <f>IFERROR(__xludf.DUMMYFUNCTION("""COMPUTED_VALUE"""),"Ian Doyle")</f>
        <v>Ian Doyle</v>
      </c>
      <c r="B8" s="16" t="str">
        <f>IFERROR(__xludf.DUMMYFUNCTION("""COMPUTED_VALUE"""),"idoyle@guidewire.com")</f>
        <v>idoyle@guidewire.com</v>
      </c>
      <c r="C8" s="16" t="str">
        <f>IFERROR(__xludf.DUMMYFUNCTION("""COMPUTED_VALUE"""),"Director, Global Delivery")</f>
        <v>Director, Global Delivery</v>
      </c>
      <c r="D8" s="16" t="str">
        <f>IFERROR(__xludf.DUMMYFUNCTION("""COMPUTED_VALUE"""),"BASIC")</f>
        <v>BASIC</v>
      </c>
      <c r="E8" s="16" t="str">
        <f>IFERROR(__xludf.DUMMYFUNCTION("""COMPUTED_VALUE"""),"TechTeam")</f>
        <v>TechTeam</v>
      </c>
      <c r="F8" s="16" t="str">
        <f>IFERROR(__xludf.DUMMYFUNCTION("""COMPUTED_VALUE"""),"NoAccess")</f>
        <v>NoAccess</v>
      </c>
      <c r="G8" s="16"/>
      <c r="H8" s="16"/>
      <c r="I8" s="16" t="str">
        <f>IFERROR(__xludf.DUMMYFUNCTION("""COMPUTED_VALUE"""),"GSC")</f>
        <v>GSC</v>
      </c>
      <c r="J8" s="16" t="str">
        <f>IFERROR(__xludf.DUMMYFUNCTION("""COMPUTED_VALUE"""),"PartnerActivites, PartnerHealthHeatmap, PartnerManagement, SolutionOps, MarketingProjects, Marketplace")</f>
        <v>PartnerActivites, PartnerHealthHeatmap, PartnerManagement, SolutionOps, MarketingProjects, Marketplace</v>
      </c>
      <c r="K8" s="16" t="str">
        <f>IFERROR(__xludf.DUMMYFUNCTION("""COMPUTED_VALUE"""),"User")</f>
        <v>User</v>
      </c>
      <c r="L8" s="16"/>
      <c r="M8" s="16" t="str">
        <f>IFERROR(__xludf.DUMMYFUNCTION("""COMPUTED_VALUE"""),"695e072b07e2a274")</f>
        <v>695e072b07e2a274</v>
      </c>
      <c r="N8" s="16"/>
      <c r="O8" s="16"/>
      <c r="P8" s="16"/>
      <c r="Q8" s="16"/>
      <c r="R8" s="16"/>
      <c r="S8" s="16"/>
      <c r="T8" s="16"/>
      <c r="U8" s="16"/>
      <c r="V8" s="16"/>
      <c r="W8" s="16"/>
      <c r="X8" s="16"/>
      <c r="Y8" s="16"/>
    </row>
    <row r="9">
      <c r="A9" s="16" t="str">
        <f>IFERROR(__xludf.DUMMYFUNCTION("""COMPUTED_VALUE"""),"Jay Grayson")</f>
        <v>Jay Grayson</v>
      </c>
      <c r="B9" s="16" t="str">
        <f>IFERROR(__xludf.DUMMYFUNCTION("""COMPUTED_VALUE"""),"jgrayson@guidewire.com")</f>
        <v>jgrayson@guidewire.com</v>
      </c>
      <c r="C9" s="16" t="str">
        <f>IFERROR(__xludf.DUMMYFUNCTION("""COMPUTED_VALUE"""),"VP Corporate Development")</f>
        <v>VP Corporate Development</v>
      </c>
      <c r="D9" s="16" t="str">
        <f>IFERROR(__xludf.DUMMYFUNCTION("""COMPUTED_VALUE"""),"BASIC")</f>
        <v>BASIC</v>
      </c>
      <c r="E9" s="16" t="str">
        <f>IFERROR(__xludf.DUMMYFUNCTION("""COMPUTED_VALUE"""),"Admin")</f>
        <v>Admin</v>
      </c>
      <c r="F9" s="16" t="str">
        <f>IFERROR(__xludf.DUMMYFUNCTION("""COMPUTED_VALUE"""),"NoAccess")</f>
        <v>NoAccess</v>
      </c>
      <c r="G9" s="16"/>
      <c r="H9" s="16"/>
      <c r="I9" s="16" t="str">
        <f>IFERROR(__xludf.DUMMYFUNCTION("""COMPUTED_VALUE"""),"PartnerManagement")</f>
        <v>PartnerManagement</v>
      </c>
      <c r="J9" s="16" t="str">
        <f>IFERROR(__xludf.DUMMYFUNCTION("""COMPUTED_VALUE"""),"PartnerActivites, PartnerHealthHeatmap, PartnerManagement, SolutionOps, MarketingProjects, Marketplace")</f>
        <v>PartnerActivites, PartnerHealthHeatmap, PartnerManagement, SolutionOps, MarketingProjects, Marketplace</v>
      </c>
      <c r="K9" s="16" t="str">
        <f>IFERROR(__xludf.DUMMYFUNCTION("""COMPUTED_VALUE"""),"User")</f>
        <v>User</v>
      </c>
      <c r="L9" s="16"/>
      <c r="M9" s="16" t="str">
        <f>IFERROR(__xludf.DUMMYFUNCTION("""COMPUTED_VALUE"""),"dfe1f6be2215de9c")</f>
        <v>dfe1f6be2215de9c</v>
      </c>
      <c r="N9" s="16"/>
      <c r="O9" s="16"/>
      <c r="P9" s="16"/>
      <c r="Q9" s="16"/>
      <c r="R9" s="16"/>
      <c r="S9" s="16"/>
      <c r="T9" s="16"/>
      <c r="U9" s="16"/>
      <c r="V9" s="16"/>
      <c r="W9" s="16"/>
      <c r="X9" s="16"/>
      <c r="Y9" s="16"/>
    </row>
    <row r="10">
      <c r="A10" s="16" t="str">
        <f>IFERROR(__xludf.DUMMYFUNCTION("""COMPUTED_VALUE"""),"Julie Higuchi")</f>
        <v>Julie Higuchi</v>
      </c>
      <c r="B10" s="16" t="str">
        <f>IFERROR(__xludf.DUMMYFUNCTION("""COMPUTED_VALUE"""),"jhiguchi@guidewire.com")</f>
        <v>jhiguchi@guidewire.com</v>
      </c>
      <c r="C10" s="16" t="str">
        <f>IFERROR(__xludf.DUMMYFUNCTION("""COMPUTED_VALUE"""),"Allliance Markets and Enablement Manager")</f>
        <v>Allliance Markets and Enablement Manager</v>
      </c>
      <c r="D10" s="16" t="str">
        <f>IFERROR(__xludf.DUMMYFUNCTION("""COMPUTED_VALUE"""),"SUPERUSER")</f>
        <v>SUPERUSER</v>
      </c>
      <c r="E10" s="16" t="str">
        <f>IFERROR(__xludf.DUMMYFUNCTION("""COMPUTED_VALUE"""),"Admin")</f>
        <v>Admin</v>
      </c>
      <c r="F10" s="16" t="str">
        <f>IFERROR(__xludf.DUMMYFUNCTION("""COMPUTED_VALUE"""),"FullAccess")</f>
        <v>FullAccess</v>
      </c>
      <c r="G10" s="16" t="str">
        <f>IFERROR(__xludf.DUMMYFUNCTION("""COMPUTED_VALUE"""),"Julie Higuchi")</f>
        <v>Julie Higuchi</v>
      </c>
      <c r="H10" s="16" t="str">
        <f>IFERROR(__xludf.DUMMYFUNCTION("""COMPUTED_VALUE"""),"jhiguchi@guidewire.com")</f>
        <v>jhiguchi@guidewire.com</v>
      </c>
      <c r="I10" s="16" t="str">
        <f>IFERROR(__xludf.DUMMYFUNCTION("""COMPUTED_VALUE"""),"Marketing")</f>
        <v>Marketing</v>
      </c>
      <c r="J10" s="16" t="str">
        <f>IFERROR(__xludf.DUMMYFUNCTION("""COMPUTED_VALUE"""),"2026MarketingApprovals, MarketingCalendar, MarketingProjects, Activity Stats")</f>
        <v>2026MarketingApprovals, MarketingCalendar, MarketingProjects, Activity Stats</v>
      </c>
      <c r="K10" s="16" t="str">
        <f>IFERROR(__xludf.DUMMYFUNCTION("""COMPUTED_VALUE"""),"Admin")</f>
        <v>Admin</v>
      </c>
      <c r="L10" s="16"/>
      <c r="M10" s="16" t="str">
        <f>IFERROR(__xludf.DUMMYFUNCTION("""COMPUTED_VALUE"""),"295b3097d9516c38")</f>
        <v>295b3097d9516c38</v>
      </c>
      <c r="N10" s="16"/>
      <c r="O10" s="16"/>
      <c r="P10" s="16"/>
      <c r="Q10" s="16"/>
      <c r="R10" s="16"/>
      <c r="S10" s="16"/>
      <c r="T10" s="16"/>
      <c r="U10" s="16"/>
      <c r="V10" s="16"/>
      <c r="W10" s="16"/>
      <c r="X10" s="16"/>
      <c r="Y10" s="16"/>
    </row>
    <row r="11">
      <c r="A11" s="16" t="str">
        <f>IFERROR(__xludf.DUMMYFUNCTION("""COMPUTED_VALUE"""),"Kayla Page")</f>
        <v>Kayla Page</v>
      </c>
      <c r="B11" s="16" t="str">
        <f>IFERROR(__xludf.DUMMYFUNCTION("""COMPUTED_VALUE"""),"kapage@guidewire.com")</f>
        <v>kapage@guidewire.com</v>
      </c>
      <c r="C11" s="16" t="str">
        <f>IFERROR(__xludf.DUMMYFUNCTION("""COMPUTED_VALUE"""),"Technology Alliances Operation Manager")</f>
        <v>Technology Alliances Operation Manager</v>
      </c>
      <c r="D11" s="16" t="str">
        <f>IFERROR(__xludf.DUMMYFUNCTION("""COMPUTED_VALUE"""),"SUPERUSER")</f>
        <v>SUPERUSER</v>
      </c>
      <c r="E11" s="16" t="str">
        <f>IFERROR(__xludf.DUMMYFUNCTION("""COMPUTED_VALUE"""),"Admin")</f>
        <v>Admin</v>
      </c>
      <c r="F11" s="16" t="str">
        <f>IFERROR(__xludf.DUMMYFUNCTION("""COMPUTED_VALUE"""),"FullAccess")</f>
        <v>FullAccess</v>
      </c>
      <c r="G11" s="16" t="str">
        <f>IFERROR(__xludf.DUMMYFUNCTION("""COMPUTED_VALUE"""),"Guidewire Technology Alliance Operations")</f>
        <v>Guidewire Technology Alliance Operations</v>
      </c>
      <c r="H11" s="16" t="str">
        <f>IFERROR(__xludf.DUMMYFUNCTION("""COMPUTED_VALUE"""),"techallianceops@guidewire.com")</f>
        <v>techallianceops@guidewire.com</v>
      </c>
      <c r="I11" s="16" t="str">
        <f>IFERROR(__xludf.DUMMYFUNCTION("""COMPUTED_VALUE"""),"TechOps")</f>
        <v>TechOps</v>
      </c>
      <c r="J11" s="16" t="str">
        <f>IFERROR(__xludf.DUMMYFUNCTION("""COMPUTED_VALUE"""),"MarketingApprovals, 2026MarketingApprovals, MarketingCalendar, Activity Stats, PartnerActivites, PartnerHealthHeatmap, PartnerManagement, SolutionOps, Marketplace, MarketingProjects")</f>
        <v>MarketingApprovals, 2026MarketingApprovals, MarketingCalendar, Activity Stats, PartnerActivites, PartnerHealthHeatmap, PartnerManagement, SolutionOps, Marketplace, MarketingProjects</v>
      </c>
      <c r="K11" s="16" t="str">
        <f>IFERROR(__xludf.DUMMYFUNCTION("""COMPUTED_VALUE"""),"Admin")</f>
        <v>Admin</v>
      </c>
      <c r="L11" s="16"/>
      <c r="M11" s="16" t="str">
        <f>IFERROR(__xludf.DUMMYFUNCTION("""COMPUTED_VALUE"""),"1e1bc3c1d1ae6adf")</f>
        <v>1e1bc3c1d1ae6adf</v>
      </c>
      <c r="N11" s="16"/>
      <c r="O11" s="16"/>
      <c r="P11" s="16"/>
      <c r="Q11" s="16"/>
      <c r="R11" s="16"/>
      <c r="S11" s="16"/>
      <c r="T11" s="16"/>
      <c r="U11" s="16"/>
      <c r="V11" s="16"/>
      <c r="W11" s="16"/>
      <c r="X11" s="16"/>
      <c r="Y11" s="16"/>
    </row>
    <row r="12">
      <c r="A12" s="16" t="str">
        <f>IFERROR(__xludf.DUMMYFUNCTION("""COMPUTED_VALUE"""),"Kelly Clayton")</f>
        <v>Kelly Clayton</v>
      </c>
      <c r="B12" s="16" t="str">
        <f>IFERROR(__xludf.DUMMYFUNCTION("""COMPUTED_VALUE"""),"kclayton@guidewire.com")</f>
        <v>kclayton@guidewire.com</v>
      </c>
      <c r="C12" s="16" t="str">
        <f>IFERROR(__xludf.DUMMYFUNCTION("""COMPUTED_VALUE"""),"Senior Global Technology Alliance Manager")</f>
        <v>Senior Global Technology Alliance Manager</v>
      </c>
      <c r="D12" s="16" t="str">
        <f>IFERROR(__xludf.DUMMYFUNCTION("""COMPUTED_VALUE"""),"BASIC")</f>
        <v>BASIC</v>
      </c>
      <c r="E12" s="16" t="str">
        <f>IFERROR(__xludf.DUMMYFUNCTION("""COMPUTED_VALUE"""),"Director")</f>
        <v>Director</v>
      </c>
      <c r="F12" s="16" t="str">
        <f>IFERROR(__xludf.DUMMYFUNCTION("""COMPUTED_VALUE"""),"AllianceManagerAccess")</f>
        <v>AllianceManagerAccess</v>
      </c>
      <c r="G12" s="16" t="str">
        <f>IFERROR(__xludf.DUMMYFUNCTION("""COMPUTED_VALUE"""),"Kelly Clayton")</f>
        <v>Kelly Clayton</v>
      </c>
      <c r="H12" s="16" t="str">
        <f>IFERROR(__xludf.DUMMYFUNCTION("""COMPUTED_VALUE"""),"kclayton@guidewire.com")</f>
        <v>kclayton@guidewire.com</v>
      </c>
      <c r="I12" s="16" t="str">
        <f>IFERROR(__xludf.DUMMYFUNCTION("""COMPUTED_VALUE"""),"PartnerManagement")</f>
        <v>PartnerManagement</v>
      </c>
      <c r="J12"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12" s="16" t="str">
        <f>IFERROR(__xludf.DUMMYFUNCTION("""COMPUTED_VALUE"""),"User")</f>
        <v>User</v>
      </c>
      <c r="L12" s="16"/>
      <c r="M12" s="16" t="str">
        <f>IFERROR(__xludf.DUMMYFUNCTION("""COMPUTED_VALUE"""),"aa281f57ec746c97")</f>
        <v>aa281f57ec746c97</v>
      </c>
      <c r="N12" s="16"/>
      <c r="O12" s="16"/>
      <c r="P12" s="16"/>
      <c r="Q12" s="16"/>
      <c r="R12" s="16"/>
      <c r="S12" s="16"/>
      <c r="T12" s="16"/>
      <c r="U12" s="16"/>
      <c r="V12" s="16"/>
      <c r="W12" s="16"/>
      <c r="X12" s="16"/>
      <c r="Y12" s="16"/>
    </row>
    <row r="13">
      <c r="A13" s="16" t="str">
        <f>IFERROR(__xludf.DUMMYFUNCTION("""COMPUTED_VALUE"""),"Ketaki Padhye")</f>
        <v>Ketaki Padhye</v>
      </c>
      <c r="B13" s="16" t="str">
        <f>IFERROR(__xludf.DUMMYFUNCTION("""COMPUTED_VALUE"""),"kpadhye@guidewire.com")</f>
        <v>kpadhye@guidewire.com</v>
      </c>
      <c r="C13" s="16" t="str">
        <f>IFERROR(__xludf.DUMMYFUNCTION("""COMPUTED_VALUE"""),"Senior RegionalTechnology Alliance Manager")</f>
        <v>Senior RegionalTechnology Alliance Manager</v>
      </c>
      <c r="D13" s="16" t="str">
        <f>IFERROR(__xludf.DUMMYFUNCTION("""COMPUTED_VALUE"""),"BASIC")</f>
        <v>BASIC</v>
      </c>
      <c r="E13" s="16" t="str">
        <f>IFERROR(__xludf.DUMMYFUNCTION("""COMPUTED_VALUE"""),"Director")</f>
        <v>Director</v>
      </c>
      <c r="F13" s="16" t="str">
        <f>IFERROR(__xludf.DUMMYFUNCTION("""COMPUTED_VALUE"""),"NoAccess")</f>
        <v>NoAccess</v>
      </c>
      <c r="G13" s="16"/>
      <c r="H13" s="16"/>
      <c r="I13" s="16" t="str">
        <f>IFERROR(__xludf.DUMMYFUNCTION("""COMPUTED_VALUE"""),"PartnerManagement")</f>
        <v>PartnerManagement</v>
      </c>
      <c r="J13" s="16" t="str">
        <f>IFERROR(__xludf.DUMMYFUNCTION("""COMPUTED_VALUE"""),"PartnerActivites, PartnerHealthHeatmap, PartnerManagement, SolutionOps, MarketingProjects, Marketplace")</f>
        <v>PartnerActivites, PartnerHealthHeatmap, PartnerManagement, SolutionOps, MarketingProjects, Marketplace</v>
      </c>
      <c r="K13" s="16" t="str">
        <f>IFERROR(__xludf.DUMMYFUNCTION("""COMPUTED_VALUE"""),"User")</f>
        <v>User</v>
      </c>
      <c r="L13" s="16"/>
      <c r="M13" s="16" t="str">
        <f>IFERROR(__xludf.DUMMYFUNCTION("""COMPUTED_VALUE"""),"eb731de2db50609b")</f>
        <v>eb731de2db50609b</v>
      </c>
      <c r="N13" s="16"/>
      <c r="O13" s="16"/>
      <c r="P13" s="16"/>
      <c r="Q13" s="16"/>
      <c r="R13" s="16"/>
      <c r="S13" s="16"/>
      <c r="T13" s="16"/>
      <c r="U13" s="16"/>
      <c r="V13" s="16"/>
      <c r="W13" s="16"/>
      <c r="X13" s="16"/>
      <c r="Y13" s="16"/>
    </row>
    <row r="14">
      <c r="A14" s="16" t="str">
        <f>IFERROR(__xludf.DUMMYFUNCTION("""COMPUTED_VALUE"""),"Kyle Strumberger")</f>
        <v>Kyle Strumberger</v>
      </c>
      <c r="B14" s="16" t="str">
        <f>IFERROR(__xludf.DUMMYFUNCTION("""COMPUTED_VALUE"""),"kstrumberger@guidewire.com")</f>
        <v>kstrumberger@guidewire.com</v>
      </c>
      <c r="C14" s="16" t="str">
        <f>IFERROR(__xludf.DUMMYFUNCTION("""COMPUTED_VALUE"""),"Marketplace Manager")</f>
        <v>Marketplace Manager</v>
      </c>
      <c r="D14" s="16" t="str">
        <f>IFERROR(__xludf.DUMMYFUNCTION("""COMPUTED_VALUE"""),"BASIC")</f>
        <v>BASIC</v>
      </c>
      <c r="E14" s="16" t="str">
        <f>IFERROR(__xludf.DUMMYFUNCTION("""COMPUTED_VALUE"""),"Admin")</f>
        <v>Admin</v>
      </c>
      <c r="F14" s="16" t="str">
        <f>IFERROR(__xludf.DUMMYFUNCTION("""COMPUTED_VALUE"""),"NoAccess")</f>
        <v>NoAccess</v>
      </c>
      <c r="G14" s="16"/>
      <c r="H14" s="16"/>
      <c r="I14" s="16" t="str">
        <f>IFERROR(__xludf.DUMMYFUNCTION("""COMPUTED_VALUE"""),"Marketplace")</f>
        <v>Marketplace</v>
      </c>
      <c r="J14" s="16" t="str">
        <f>IFERROR(__xludf.DUMMYFUNCTION("""COMPUTED_VALUE"""),"PartnerActivites, PartnerHealthHeatmap, PartnerManagement, SolutionOps, MarketingProjects, Marketplace")</f>
        <v>PartnerActivites, PartnerHealthHeatmap, PartnerManagement, SolutionOps, MarketingProjects, Marketplace</v>
      </c>
      <c r="K14" s="16" t="str">
        <f>IFERROR(__xludf.DUMMYFUNCTION("""COMPUTED_VALUE"""),"User")</f>
        <v>User</v>
      </c>
      <c r="L14" s="16"/>
      <c r="M14" s="16" t="str">
        <f>IFERROR(__xludf.DUMMYFUNCTION("""COMPUTED_VALUE"""),"1ce038729a591160")</f>
        <v>1ce038729a591160</v>
      </c>
      <c r="N14" s="16"/>
      <c r="O14" s="16"/>
      <c r="P14" s="16"/>
      <c r="Q14" s="16"/>
      <c r="R14" s="16"/>
      <c r="S14" s="16"/>
      <c r="T14" s="16"/>
      <c r="U14" s="16"/>
      <c r="V14" s="16"/>
      <c r="W14" s="16"/>
      <c r="X14" s="16"/>
      <c r="Y14" s="16"/>
    </row>
    <row r="15">
      <c r="A15" s="16" t="str">
        <f>IFERROR(__xludf.DUMMYFUNCTION("""COMPUTED_VALUE"""),"Lisa Vingerhoet")</f>
        <v>Lisa Vingerhoet</v>
      </c>
      <c r="B15" s="16" t="str">
        <f>IFERROR(__xludf.DUMMYFUNCTION("""COMPUTED_VALUE"""),"lvingerhoet@guidewire.com")</f>
        <v>lvingerhoet@guidewire.com</v>
      </c>
      <c r="C15" s="16" t="str">
        <f>IFERROR(__xludf.DUMMYFUNCTION("""COMPUTED_VALUE"""),"Global Technology Alliance Partner Specialist")</f>
        <v>Global Technology Alliance Partner Specialist</v>
      </c>
      <c r="D15" s="16" t="str">
        <f>IFERROR(__xludf.DUMMYFUNCTION("""COMPUTED_VALUE"""),"BASIC")</f>
        <v>BASIC</v>
      </c>
      <c r="E15" s="16" t="str">
        <f>IFERROR(__xludf.DUMMYFUNCTION("""COMPUTED_VALUE"""),"Director")</f>
        <v>Director</v>
      </c>
      <c r="F15" s="16" t="str">
        <f>IFERROR(__xludf.DUMMYFUNCTION("""COMPUTED_VALUE"""),"NoAccess")</f>
        <v>NoAccess</v>
      </c>
      <c r="G15" s="16"/>
      <c r="H15" s="16"/>
      <c r="I15" s="16" t="str">
        <f>IFERROR(__xludf.DUMMYFUNCTION("""COMPUTED_VALUE"""),"TechOps")</f>
        <v>TechOps</v>
      </c>
      <c r="J15" s="16" t="str">
        <f>IFERROR(__xludf.DUMMYFUNCTION("""COMPUTED_VALUE"""),"2026MarketingApprovals, MarketingCalendar, SolutionOps, PartnerHealthHeatmap")</f>
        <v>2026MarketingApprovals, MarketingCalendar, SolutionOps, PartnerHealthHeatmap</v>
      </c>
      <c r="K15" s="16" t="str">
        <f>IFERROR(__xludf.DUMMYFUNCTION("""COMPUTED_VALUE"""),"SrDirector")</f>
        <v>SrDirector</v>
      </c>
      <c r="L15" s="16" t="str">
        <f>IFERROR(__xludf.DUMMYFUNCTION("""COMPUTED_VALUE"""),"Lisa Vingerhoet, Julie Higuchi")</f>
        <v>Lisa Vingerhoet, Julie Higuchi</v>
      </c>
      <c r="M15" s="16" t="str">
        <f>IFERROR(__xludf.DUMMYFUNCTION("""COMPUTED_VALUE"""),"d21718d507b30af5")</f>
        <v>d21718d507b30af5</v>
      </c>
      <c r="N15" s="16"/>
      <c r="O15" s="16"/>
      <c r="P15" s="16"/>
      <c r="Q15" s="16"/>
      <c r="R15" s="16"/>
      <c r="S15" s="16"/>
      <c r="T15" s="16"/>
      <c r="U15" s="16"/>
      <c r="V15" s="16"/>
      <c r="W15" s="16"/>
      <c r="X15" s="16"/>
      <c r="Y15" s="16"/>
    </row>
    <row r="16">
      <c r="A16" s="16" t="str">
        <f>IFERROR(__xludf.DUMMYFUNCTION("""COMPUTED_VALUE"""),"Melinda Earlywine")</f>
        <v>Melinda Earlywine</v>
      </c>
      <c r="B16" s="16" t="str">
        <f>IFERROR(__xludf.DUMMYFUNCTION("""COMPUTED_VALUE"""),"mearlywine@guidewire.com")</f>
        <v>mearlywine@guidewire.com</v>
      </c>
      <c r="C16" s="16" t="str">
        <f>IFERROR(__xludf.DUMMYFUNCTION("""COMPUTED_VALUE"""),"Solution Alliance Markets Enablement Director")</f>
        <v>Solution Alliance Markets Enablement Director</v>
      </c>
      <c r="D16" s="16" t="str">
        <f>IFERROR(__xludf.DUMMYFUNCTION("""COMPUTED_VALUE"""),"BASIC")</f>
        <v>BASIC</v>
      </c>
      <c r="E16" s="16" t="str">
        <f>IFERROR(__xludf.DUMMYFUNCTION("""COMPUTED_VALUE"""),"Admin")</f>
        <v>Admin</v>
      </c>
      <c r="F16" s="16" t="str">
        <f>IFERROR(__xludf.DUMMYFUNCTION("""COMPUTED_VALUE"""),"NoAccess")</f>
        <v>NoAccess</v>
      </c>
      <c r="G16" s="16"/>
      <c r="H16" s="16"/>
      <c r="I16" s="16" t="str">
        <f>IFERROR(__xludf.DUMMYFUNCTION("""COMPUTED_VALUE"""),"Marketing")</f>
        <v>Marketing</v>
      </c>
      <c r="J16" s="16" t="str">
        <f>IFERROR(__xludf.DUMMYFUNCTION("""COMPUTED_VALUE"""),"2026MarketingApprovals, MarketingCalendar, MarketingProjects")</f>
        <v>2026MarketingApprovals, MarketingCalendar, MarketingProjects</v>
      </c>
      <c r="K16" s="16" t="str">
        <f>IFERROR(__xludf.DUMMYFUNCTION("""COMPUTED_VALUE"""),"SrDirector")</f>
        <v>SrDirector</v>
      </c>
      <c r="L16" s="16" t="str">
        <f>IFERROR(__xludf.DUMMYFUNCTION("""COMPUTED_VALUE"""),"Melinda Earlywine, Julie Higuchi")</f>
        <v>Melinda Earlywine, Julie Higuchi</v>
      </c>
      <c r="M16" s="16" t="str">
        <f>IFERROR(__xludf.DUMMYFUNCTION("""COMPUTED_VALUE"""),"73ce1335862d099a")</f>
        <v>73ce1335862d099a</v>
      </c>
      <c r="N16" s="16"/>
      <c r="O16" s="16"/>
      <c r="P16" s="16"/>
      <c r="Q16" s="16"/>
      <c r="R16" s="16"/>
      <c r="S16" s="16"/>
      <c r="T16" s="16"/>
      <c r="U16" s="16"/>
      <c r="V16" s="16"/>
      <c r="W16" s="16"/>
      <c r="X16" s="16"/>
      <c r="Y16" s="16"/>
    </row>
    <row r="17">
      <c r="A17" s="16" t="str">
        <f>IFERROR(__xludf.DUMMYFUNCTION("""COMPUTED_VALUE"""),"Nathan Ash")</f>
        <v>Nathan Ash</v>
      </c>
      <c r="B17" s="16" t="str">
        <f>IFERROR(__xludf.DUMMYFUNCTION("""COMPUTED_VALUE"""),"naash@guidewire.com")</f>
        <v>naash@guidewire.com</v>
      </c>
      <c r="C17" s="16" t="str">
        <f>IFERROR(__xludf.DUMMYFUNCTION("""COMPUTED_VALUE"""),"Channel and Partner Sales Manage")</f>
        <v>Channel and Partner Sales Manage</v>
      </c>
      <c r="D17" s="16" t="str">
        <f>IFERROR(__xludf.DUMMYFUNCTION("""COMPUTED_VALUE"""),"BASIC")</f>
        <v>BASIC</v>
      </c>
      <c r="E17" s="16" t="str">
        <f>IFERROR(__xludf.DUMMYFUNCTION("""COMPUTED_VALUE"""),"Admin")</f>
        <v>Admin</v>
      </c>
      <c r="F17" s="16" t="str">
        <f>IFERROR(__xludf.DUMMYFUNCTION("""COMPUTED_VALUE"""),"NoAccess")</f>
        <v>NoAccess</v>
      </c>
      <c r="G17" s="16"/>
      <c r="H17" s="16"/>
      <c r="I17" s="16" t="str">
        <f>IFERROR(__xludf.DUMMYFUNCTION("""COMPUTED_VALUE"""),"PartnerManagement")</f>
        <v>PartnerManagement</v>
      </c>
      <c r="J17"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17" s="16" t="str">
        <f>IFERROR(__xludf.DUMMYFUNCTION("""COMPUTED_VALUE"""),"User")</f>
        <v>User</v>
      </c>
      <c r="L17" s="16"/>
      <c r="M17" s="16" t="str">
        <f>IFERROR(__xludf.DUMMYFUNCTION("""COMPUTED_VALUE"""),"2f25ef1e964e3554")</f>
        <v>2f25ef1e964e3554</v>
      </c>
      <c r="N17" s="16"/>
      <c r="O17" s="16"/>
      <c r="P17" s="16"/>
      <c r="Q17" s="16"/>
      <c r="R17" s="16"/>
      <c r="S17" s="16"/>
      <c r="T17" s="16"/>
      <c r="U17" s="16"/>
      <c r="V17" s="16"/>
      <c r="W17" s="16"/>
      <c r="X17" s="16"/>
      <c r="Y17" s="16"/>
    </row>
    <row r="18">
      <c r="A18" s="16" t="str">
        <f>IFERROR(__xludf.DUMMYFUNCTION("""COMPUTED_VALUE"""),"Partner Marketing")</f>
        <v>Partner Marketing</v>
      </c>
      <c r="B18" s="16" t="str">
        <f>IFERROR(__xludf.DUMMYFUNCTION("""COMPUTED_VALUE"""),"partnermarketing@guidewire.com")</f>
        <v>partnermarketing@guidewire.com</v>
      </c>
      <c r="C18" s="16" t="str">
        <f>IFERROR(__xludf.DUMMYFUNCTION("""COMPUTED_VALUE"""),"Guidewire Partner Marketing")</f>
        <v>Guidewire Partner Marketing</v>
      </c>
      <c r="D18" s="16" t="str">
        <f>IFERROR(__xludf.DUMMYFUNCTION("""COMPUTED_VALUE"""),"SUPERUSER")</f>
        <v>SUPERUSER</v>
      </c>
      <c r="E18" s="16" t="str">
        <f>IFERROR(__xludf.DUMMYFUNCTION("""COMPUTED_VALUE"""),"Admin")</f>
        <v>Admin</v>
      </c>
      <c r="F18" s="16" t="str">
        <f>IFERROR(__xludf.DUMMYFUNCTION("""COMPUTED_VALUE"""),"FullAccess")</f>
        <v>FullAccess</v>
      </c>
      <c r="G18" s="16" t="str">
        <f>IFERROR(__xludf.DUMMYFUNCTION("""COMPUTED_VALUE"""),"Partner Marketing")</f>
        <v>Partner Marketing</v>
      </c>
      <c r="H18" s="16" t="str">
        <f>IFERROR(__xludf.DUMMYFUNCTION("""COMPUTED_VALUE"""),"partnermarketing@guidewire.com")</f>
        <v>partnermarketing@guidewire.com</v>
      </c>
      <c r="I18" s="16" t="str">
        <f>IFERROR(__xludf.DUMMYFUNCTION("""COMPUTED_VALUE"""),"Marketing")</f>
        <v>Marketing</v>
      </c>
      <c r="J18" s="16" t="str">
        <f>IFERROR(__xludf.DUMMYFUNCTION("""COMPUTED_VALUE"""),"2026MarketingApprovals, MarketingCalendar, MarketingProjects, Activity Stats")</f>
        <v>2026MarketingApprovals, MarketingCalendar, MarketingProjects, Activity Stats</v>
      </c>
      <c r="K18" s="16" t="str">
        <f>IFERROR(__xludf.DUMMYFUNCTION("""COMPUTED_VALUE"""),"User")</f>
        <v>User</v>
      </c>
      <c r="L18" s="16"/>
      <c r="M18" s="16" t="str">
        <f>IFERROR(__xludf.DUMMYFUNCTION("""COMPUTED_VALUE"""),"3dbd9e0636d9bb37")</f>
        <v>3dbd9e0636d9bb37</v>
      </c>
      <c r="N18" s="16"/>
      <c r="O18" s="16"/>
      <c r="P18" s="16"/>
      <c r="Q18" s="16"/>
      <c r="R18" s="16"/>
      <c r="S18" s="16"/>
      <c r="T18" s="16"/>
      <c r="U18" s="16"/>
      <c r="V18" s="16"/>
      <c r="W18" s="16"/>
      <c r="X18" s="16"/>
      <c r="Y18" s="16"/>
    </row>
    <row r="19">
      <c r="A19" s="16" t="str">
        <f>IFERROR(__xludf.DUMMYFUNCTION("""COMPUTED_VALUE"""),"Paul Harper")</f>
        <v>Paul Harper</v>
      </c>
      <c r="B19" s="16" t="str">
        <f>IFERROR(__xludf.DUMMYFUNCTION("""COMPUTED_VALUE"""),"pharper@guidewire.com")</f>
        <v>pharper@guidewire.com</v>
      </c>
      <c r="C19" s="16" t="str">
        <f>IFERROR(__xludf.DUMMYFUNCTION("""COMPUTED_VALUE"""),"Senior Global Technology Alliance Manager")</f>
        <v>Senior Global Technology Alliance Manager</v>
      </c>
      <c r="D19" s="16" t="str">
        <f>IFERROR(__xludf.DUMMYFUNCTION("""COMPUTED_VALUE"""),"BASIC")</f>
        <v>BASIC</v>
      </c>
      <c r="E19" s="16" t="str">
        <f>IFERROR(__xludf.DUMMYFUNCTION("""COMPUTED_VALUE"""),"Director")</f>
        <v>Director</v>
      </c>
      <c r="F19" s="16" t="str">
        <f>IFERROR(__xludf.DUMMYFUNCTION("""COMPUTED_VALUE"""),"AllianceManagerAccess")</f>
        <v>AllianceManagerAccess</v>
      </c>
      <c r="G19" s="16" t="str">
        <f>IFERROR(__xludf.DUMMYFUNCTION("""COMPUTED_VALUE"""),"Paul Harper")</f>
        <v>Paul Harper</v>
      </c>
      <c r="H19" s="16" t="str">
        <f>IFERROR(__xludf.DUMMYFUNCTION("""COMPUTED_VALUE"""),"pharper@guidewire.com")</f>
        <v>pharper@guidewire.com</v>
      </c>
      <c r="I19" s="16" t="str">
        <f>IFERROR(__xludf.DUMMYFUNCTION("""COMPUTED_VALUE"""),"PartnerManagement")</f>
        <v>PartnerManagement</v>
      </c>
      <c r="J19"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19" s="16" t="str">
        <f>IFERROR(__xludf.DUMMYFUNCTION("""COMPUTED_VALUE"""),"User")</f>
        <v>User</v>
      </c>
      <c r="L19" s="16"/>
      <c r="M19" s="16" t="str">
        <f>IFERROR(__xludf.DUMMYFUNCTION("""COMPUTED_VALUE"""),"d8da4b00d2b07d08")</f>
        <v>d8da4b00d2b07d08</v>
      </c>
      <c r="N19" s="16"/>
      <c r="O19" s="16"/>
      <c r="P19" s="16"/>
      <c r="Q19" s="16"/>
      <c r="R19" s="16"/>
      <c r="S19" s="16"/>
      <c r="T19" s="16"/>
      <c r="U19" s="16"/>
      <c r="V19" s="16"/>
      <c r="W19" s="16"/>
      <c r="X19" s="16"/>
      <c r="Y19" s="16"/>
    </row>
    <row r="20">
      <c r="A20" s="16" t="str">
        <f>IFERROR(__xludf.DUMMYFUNCTION("""COMPUTED_VALUE"""),"Richard Pauly")</f>
        <v>Richard Pauly</v>
      </c>
      <c r="B20" s="16" t="str">
        <f>IFERROR(__xludf.DUMMYFUNCTION("""COMPUTED_VALUE"""),"rpauly@guidewire.com")</f>
        <v>rpauly@guidewire.com</v>
      </c>
      <c r="C20" s="16" t="str">
        <f>IFERROR(__xludf.DUMMYFUNCTION("""COMPUTED_VALUE"""),"Senior Director, Marketplace")</f>
        <v>Senior Director, Marketplace</v>
      </c>
      <c r="D20" s="16" t="str">
        <f>IFERROR(__xludf.DUMMYFUNCTION("""COMPUTED_VALUE"""),"BASIC")</f>
        <v>BASIC</v>
      </c>
      <c r="E20" s="16" t="str">
        <f>IFERROR(__xludf.DUMMYFUNCTION("""COMPUTED_VALUE"""),"Admin")</f>
        <v>Admin</v>
      </c>
      <c r="F20" s="16" t="str">
        <f>IFERROR(__xludf.DUMMYFUNCTION("""COMPUTED_VALUE"""),"NoAccess")</f>
        <v>NoAccess</v>
      </c>
      <c r="G20" s="16"/>
      <c r="H20" s="16"/>
      <c r="I20" s="16" t="str">
        <f>IFERROR(__xludf.DUMMYFUNCTION("""COMPUTED_VALUE"""),"Marketplace")</f>
        <v>Marketplace</v>
      </c>
      <c r="J20"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20" s="16" t="str">
        <f>IFERROR(__xludf.DUMMYFUNCTION("""COMPUTED_VALUE"""),"SrDirector")</f>
        <v>SrDirector</v>
      </c>
      <c r="L20" s="16" t="str">
        <f>IFERROR(__xludf.DUMMYFUNCTION("""COMPUTED_VALUE"""),"Richard Pauly, Kyle Strumberger")</f>
        <v>Richard Pauly, Kyle Strumberger</v>
      </c>
      <c r="M20" s="16" t="str">
        <f>IFERROR(__xludf.DUMMYFUNCTION("""COMPUTED_VALUE"""),"385b4f34ff221df4")</f>
        <v>385b4f34ff221df4</v>
      </c>
      <c r="N20" s="16"/>
      <c r="O20" s="16"/>
      <c r="P20" s="16"/>
      <c r="Q20" s="16"/>
      <c r="R20" s="16"/>
      <c r="S20" s="16"/>
      <c r="T20" s="16"/>
      <c r="U20" s="16"/>
      <c r="V20" s="16"/>
      <c r="W20" s="16"/>
      <c r="X20" s="16"/>
      <c r="Y20" s="16"/>
    </row>
    <row r="21">
      <c r="A21" s="16" t="str">
        <f>IFERROR(__xludf.DUMMYFUNCTION("""COMPUTED_VALUE"""),"Rod Gowin")</f>
        <v>Rod Gowin</v>
      </c>
      <c r="B21" s="16" t="str">
        <f>IFERROR(__xludf.DUMMYFUNCTION("""COMPUTED_VALUE"""),"rgowin@guidewire.com")</f>
        <v>rgowin@guidewire.com</v>
      </c>
      <c r="C21" s="16" t="str">
        <f>IFERROR(__xludf.DUMMYFUNCTION("""COMPUTED_VALUE"""),"Senior RegionalTechnology Alliance Manager")</f>
        <v>Senior RegionalTechnology Alliance Manager</v>
      </c>
      <c r="D21" s="16" t="str">
        <f>IFERROR(__xludf.DUMMYFUNCTION("""COMPUTED_VALUE"""),"BASIC")</f>
        <v>BASIC</v>
      </c>
      <c r="E21" s="16" t="str">
        <f>IFERROR(__xludf.DUMMYFUNCTION("""COMPUTED_VALUE"""),"Director")</f>
        <v>Director</v>
      </c>
      <c r="F21" s="16" t="str">
        <f>IFERROR(__xludf.DUMMYFUNCTION("""COMPUTED_VALUE"""),"AllianceManagerAccess")</f>
        <v>AllianceManagerAccess</v>
      </c>
      <c r="G21" s="16" t="str">
        <f>IFERROR(__xludf.DUMMYFUNCTION("""COMPUTED_VALUE"""),"Rod Gowin")</f>
        <v>Rod Gowin</v>
      </c>
      <c r="H21" s="16" t="str">
        <f>IFERROR(__xludf.DUMMYFUNCTION("""COMPUTED_VALUE"""),"rgowin@guidewire.com")</f>
        <v>rgowin@guidewire.com</v>
      </c>
      <c r="I21" s="16" t="str">
        <f>IFERROR(__xludf.DUMMYFUNCTION("""COMPUTED_VALUE"""),"PartnerManagement")</f>
        <v>PartnerManagement</v>
      </c>
      <c r="J21"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21" s="16" t="str">
        <f>IFERROR(__xludf.DUMMYFUNCTION("""COMPUTED_VALUE"""),"User")</f>
        <v>User</v>
      </c>
      <c r="L21" s="16"/>
      <c r="M21" s="16" t="str">
        <f>IFERROR(__xludf.DUMMYFUNCTION("""COMPUTED_VALUE"""),"9779c13548002968")</f>
        <v>9779c13548002968</v>
      </c>
      <c r="N21" s="16"/>
      <c r="O21" s="16"/>
      <c r="P21" s="16"/>
      <c r="Q21" s="16"/>
      <c r="R21" s="16"/>
      <c r="S21" s="16"/>
      <c r="T21" s="16"/>
      <c r="U21" s="16"/>
      <c r="V21" s="16"/>
      <c r="W21" s="16"/>
      <c r="X21" s="16"/>
      <c r="Y21" s="16"/>
    </row>
    <row r="22">
      <c r="A22" s="16" t="str">
        <f>IFERROR(__xludf.DUMMYFUNCTION("""COMPUTED_VALUE"""),"Rusty Gaynes")</f>
        <v>Rusty Gaynes</v>
      </c>
      <c r="B22" s="16" t="str">
        <f>IFERROR(__xludf.DUMMYFUNCTION("""COMPUTED_VALUE"""),"rgaynes@guidewire.com")</f>
        <v>rgaynes@guidewire.com</v>
      </c>
      <c r="C22" s="16" t="str">
        <f>IFERROR(__xludf.DUMMYFUNCTION("""COMPUTED_VALUE"""),"Senior Partner Sales Manager")</f>
        <v>Senior Partner Sales Manager</v>
      </c>
      <c r="D22" s="16" t="str">
        <f>IFERROR(__xludf.DUMMYFUNCTION("""COMPUTED_VALUE"""),"BASIC")</f>
        <v>BASIC</v>
      </c>
      <c r="E22" s="16" t="str">
        <f>IFERROR(__xludf.DUMMYFUNCTION("""COMPUTED_VALUE"""),"Admin")</f>
        <v>Admin</v>
      </c>
      <c r="F22" s="16" t="str">
        <f>IFERROR(__xludf.DUMMYFUNCTION("""COMPUTED_VALUE"""),"NoAccess")</f>
        <v>NoAccess</v>
      </c>
      <c r="G22" s="16"/>
      <c r="H22" s="16"/>
      <c r="I22" s="16" t="str">
        <f>IFERROR(__xludf.DUMMYFUNCTION("""COMPUTED_VALUE"""),"PartnerManagement")</f>
        <v>PartnerManagement</v>
      </c>
      <c r="J22" s="16" t="str">
        <f>IFERROR(__xludf.DUMMYFUNCTION("""COMPUTED_VALUE"""),"PartnerActivites, PartnerHealthHeatmap, PartnerManagement, SolutionOps, MarketingProjects, Marketplace")</f>
        <v>PartnerActivites, PartnerHealthHeatmap, PartnerManagement, SolutionOps, MarketingProjects, Marketplace</v>
      </c>
      <c r="K22" s="16" t="str">
        <f>IFERROR(__xludf.DUMMYFUNCTION("""COMPUTED_VALUE"""),"Admin")</f>
        <v>Admin</v>
      </c>
      <c r="L22" s="16"/>
      <c r="M22" s="16" t="str">
        <f>IFERROR(__xludf.DUMMYFUNCTION("""COMPUTED_VALUE"""),"c7b5fc8020aa24d3")</f>
        <v>c7b5fc8020aa24d3</v>
      </c>
      <c r="N22" s="16"/>
      <c r="O22" s="16"/>
      <c r="P22" s="16"/>
      <c r="Q22" s="16"/>
      <c r="R22" s="16"/>
      <c r="S22" s="16"/>
      <c r="T22" s="16"/>
      <c r="U22" s="16"/>
      <c r="V22" s="16"/>
      <c r="W22" s="16"/>
      <c r="X22" s="16"/>
      <c r="Y22" s="16"/>
    </row>
    <row r="23">
      <c r="A23" s="16" t="str">
        <f>IFERROR(__xludf.DUMMYFUNCTION("""COMPUTED_VALUE"""),"Shannon Spies")</f>
        <v>Shannon Spies</v>
      </c>
      <c r="B23" s="16" t="str">
        <f>IFERROR(__xludf.DUMMYFUNCTION("""COMPUTED_VALUE"""),"syates@guidewire.com")</f>
        <v>syates@guidewire.com</v>
      </c>
      <c r="C23" s="16" t="str">
        <f>IFERROR(__xludf.DUMMYFUNCTION("""COMPUTED_VALUE"""),"Global Technology Alliance Manager")</f>
        <v>Global Technology Alliance Manager</v>
      </c>
      <c r="D23" s="16" t="str">
        <f>IFERROR(__xludf.DUMMYFUNCTION("""COMPUTED_VALUE"""),"BASIC")</f>
        <v>BASIC</v>
      </c>
      <c r="E23" s="16" t="str">
        <f>IFERROR(__xludf.DUMMYFUNCTION("""COMPUTED_VALUE"""),"Director")</f>
        <v>Director</v>
      </c>
      <c r="F23" s="16" t="str">
        <f>IFERROR(__xludf.DUMMYFUNCTION("""COMPUTED_VALUE"""),"AllianceManagerAccess")</f>
        <v>AllianceManagerAccess</v>
      </c>
      <c r="G23" s="16" t="str">
        <f>IFERROR(__xludf.DUMMYFUNCTION("""COMPUTED_VALUE"""),"Shannon Spies")</f>
        <v>Shannon Spies</v>
      </c>
      <c r="H23" s="16" t="str">
        <f>IFERROR(__xludf.DUMMYFUNCTION("""COMPUTED_VALUE"""),"syates@guidewire.com")</f>
        <v>syates@guidewire.com</v>
      </c>
      <c r="I23" s="16" t="str">
        <f>IFERROR(__xludf.DUMMYFUNCTION("""COMPUTED_VALUE"""),"PartnerManagement")</f>
        <v>PartnerManagement</v>
      </c>
      <c r="J23"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23" s="16" t="str">
        <f>IFERROR(__xludf.DUMMYFUNCTION("""COMPUTED_VALUE"""),"User")</f>
        <v>User</v>
      </c>
      <c r="L23" s="16"/>
      <c r="M23" s="16" t="str">
        <f>IFERROR(__xludf.DUMMYFUNCTION("""COMPUTED_VALUE"""),"36f60957efcf1e11")</f>
        <v>36f60957efcf1e11</v>
      </c>
      <c r="N23" s="16"/>
      <c r="O23" s="16"/>
      <c r="P23" s="16"/>
      <c r="Q23" s="16"/>
      <c r="R23" s="16"/>
      <c r="S23" s="16"/>
      <c r="T23" s="16"/>
      <c r="U23" s="16"/>
      <c r="V23" s="16"/>
      <c r="W23" s="16"/>
      <c r="X23" s="16"/>
      <c r="Y23" s="16"/>
    </row>
    <row r="24">
      <c r="A24" s="16" t="str">
        <f>IFERROR(__xludf.DUMMYFUNCTION("""COMPUTED_VALUE"""),"Syed Ali")</f>
        <v>Syed Ali</v>
      </c>
      <c r="B24" s="16" t="str">
        <f>IFERROR(__xludf.DUMMYFUNCTION("""COMPUTED_VALUE"""),"syali@guidewire.com ")</f>
        <v>syali@guidewire.com </v>
      </c>
      <c r="C24" s="16"/>
      <c r="D24" s="16" t="str">
        <f>IFERROR(__xludf.DUMMYFUNCTION("""COMPUTED_VALUE"""),"BASIC")</f>
        <v>BASIC</v>
      </c>
      <c r="E24" s="16" t="str">
        <f>IFERROR(__xludf.DUMMYFUNCTION("""COMPUTED_VALUE"""),"TechTeam")</f>
        <v>TechTeam</v>
      </c>
      <c r="F24" s="16" t="str">
        <f>IFERROR(__xludf.DUMMYFUNCTION("""COMPUTED_VALUE"""),"NoAccess")</f>
        <v>NoAccess</v>
      </c>
      <c r="G24" s="16"/>
      <c r="H24" s="16"/>
      <c r="I24" s="16" t="str">
        <f>IFERROR(__xludf.DUMMYFUNCTION("""COMPUTED_VALUE"""),"GSC")</f>
        <v>GSC</v>
      </c>
      <c r="J24" s="16" t="str">
        <f>IFERROR(__xludf.DUMMYFUNCTION("""COMPUTED_VALUE"""),"PartnerActivites, PartnerHealthHeatmap, PartnerManagement, SolutionOps, MarketingProjects, Marketplace")</f>
        <v>PartnerActivites, PartnerHealthHeatmap, PartnerManagement, SolutionOps, MarketingProjects, Marketplace</v>
      </c>
      <c r="K24" s="16" t="str">
        <f>IFERROR(__xludf.DUMMYFUNCTION("""COMPUTED_VALUE"""),"User")</f>
        <v>User</v>
      </c>
      <c r="L24" s="16"/>
      <c r="M24" s="16" t="str">
        <f>IFERROR(__xludf.DUMMYFUNCTION("""COMPUTED_VALUE"""),"64fb8e2bf75fcfa8")</f>
        <v>64fb8e2bf75fcfa8</v>
      </c>
      <c r="N24" s="16"/>
      <c r="O24" s="16"/>
      <c r="P24" s="16"/>
      <c r="Q24" s="16"/>
      <c r="R24" s="16"/>
      <c r="S24" s="16"/>
      <c r="T24" s="16"/>
      <c r="U24" s="16"/>
      <c r="V24" s="16"/>
      <c r="W24" s="16"/>
      <c r="X24" s="16"/>
      <c r="Y24" s="16"/>
    </row>
    <row r="25">
      <c r="A25" s="16" t="str">
        <f>IFERROR(__xludf.DUMMYFUNCTION("""COMPUTED_VALUE"""),"Ted Ogrean")</f>
        <v>Ted Ogrean</v>
      </c>
      <c r="B25" s="16" t="str">
        <f>IFERROR(__xludf.DUMMYFUNCTION("""COMPUTED_VALUE"""),"togrean@guidewire.com")</f>
        <v>togrean@guidewire.com</v>
      </c>
      <c r="C25" s="16" t="str">
        <f>IFERROR(__xludf.DUMMYFUNCTION("""COMPUTED_VALUE"""),"Director, Marketplace Delivery")</f>
        <v>Director, Marketplace Delivery</v>
      </c>
      <c r="D25" s="16" t="str">
        <f>IFERROR(__xludf.DUMMYFUNCTION("""COMPUTED_VALUE"""),"BASIC")</f>
        <v>BASIC</v>
      </c>
      <c r="E25" s="16" t="str">
        <f>IFERROR(__xludf.DUMMYFUNCTION("""COMPUTED_VALUE"""),"TechTeam")</f>
        <v>TechTeam</v>
      </c>
      <c r="F25" s="16" t="str">
        <f>IFERROR(__xludf.DUMMYFUNCTION("""COMPUTED_VALUE"""),"NoAccess")</f>
        <v>NoAccess</v>
      </c>
      <c r="G25" s="16"/>
      <c r="H25" s="16"/>
      <c r="I25" s="16" t="str">
        <f>IFERROR(__xludf.DUMMYFUNCTION("""COMPUTED_VALUE"""),"GSC")</f>
        <v>GSC</v>
      </c>
      <c r="J25" s="16" t="str">
        <f>IFERROR(__xludf.DUMMYFUNCTION("""COMPUTED_VALUE"""),"PartnerActivites, PartnerHealthHeatmap, PartnerManagement, SolutionOps, MarketingProjects, Marketplace")</f>
        <v>PartnerActivites, PartnerHealthHeatmap, PartnerManagement, SolutionOps, MarketingProjects, Marketplace</v>
      </c>
      <c r="K25" s="16" t="str">
        <f>IFERROR(__xludf.DUMMYFUNCTION("""COMPUTED_VALUE"""),"User")</f>
        <v>User</v>
      </c>
      <c r="L25" s="16"/>
      <c r="M25" s="16" t="str">
        <f>IFERROR(__xludf.DUMMYFUNCTION("""COMPUTED_VALUE"""),"790e00120dc92c11")</f>
        <v>790e00120dc92c11</v>
      </c>
      <c r="N25" s="16"/>
      <c r="O25" s="16"/>
      <c r="P25" s="16"/>
      <c r="Q25" s="16"/>
      <c r="R25" s="16"/>
      <c r="S25" s="16"/>
      <c r="T25" s="16"/>
      <c r="U25" s="16"/>
      <c r="V25" s="16"/>
      <c r="W25" s="16"/>
      <c r="X25" s="16"/>
      <c r="Y25" s="16"/>
    </row>
    <row r="26">
      <c r="A26" s="16" t="str">
        <f>IFERROR(__xludf.DUMMYFUNCTION("""COMPUTED_VALUE"""),"Tim Kennedy")</f>
        <v>Tim Kennedy</v>
      </c>
      <c r="B26" s="16" t="str">
        <f>IFERROR(__xludf.DUMMYFUNCTION("""COMPUTED_VALUE"""),"tkennedy@guidewire.com")</f>
        <v>tkennedy@guidewire.com</v>
      </c>
      <c r="C26" s="16" t="str">
        <f>IFERROR(__xludf.DUMMYFUNCTION("""COMPUTED_VALUE"""),"Technology Alliance Director")</f>
        <v>Technology Alliance Director</v>
      </c>
      <c r="D26" s="16" t="str">
        <f>IFERROR(__xludf.DUMMYFUNCTION("""COMPUTED_VALUE"""),"ADMIN")</f>
        <v>ADMIN</v>
      </c>
      <c r="E26" s="16" t="str">
        <f>IFERROR(__xludf.DUMMYFUNCTION("""COMPUTED_VALUE"""),"Director")</f>
        <v>Director</v>
      </c>
      <c r="F26" s="16" t="str">
        <f>IFERROR(__xludf.DUMMYFUNCTION("""COMPUTED_VALUE"""),"FullAccess")</f>
        <v>FullAccess</v>
      </c>
      <c r="G26" s="16" t="str">
        <f>IFERROR(__xludf.DUMMYFUNCTION("""COMPUTED_VALUE"""),"Tim Kennedy")</f>
        <v>Tim Kennedy</v>
      </c>
      <c r="H26" s="16" t="str">
        <f>IFERROR(__xludf.DUMMYFUNCTION("""COMPUTED_VALUE"""),"tkennedy@guidewire.com")</f>
        <v>tkennedy@guidewire.com</v>
      </c>
      <c r="I26" s="16" t="str">
        <f>IFERROR(__xludf.DUMMYFUNCTION("""COMPUTED_VALUE"""),"PartnerManagement")</f>
        <v>PartnerManagement</v>
      </c>
      <c r="J26" s="16" t="str">
        <f>IFERROR(__xludf.DUMMYFUNCTION("""COMPUTED_VALUE"""),"MarketingApprovals, 2026MarketingApprovals, MarketingCalendar, Activity Stats, PartnerActivites, PartnerHealthHeatmap, PartnerManagement, SolutionOps, Marketplace, MarketingProjects")</f>
        <v>MarketingApprovals, 2026MarketingApprovals, MarketingCalendar, Activity Stats, PartnerActivites, PartnerHealthHeatmap, PartnerManagement, SolutionOps, Marketplace, MarketingProjects</v>
      </c>
      <c r="K26" s="16" t="str">
        <f>IFERROR(__xludf.DUMMYFUNCTION("""COMPUTED_VALUE"""),"SrDirector")</f>
        <v>SrDirector</v>
      </c>
      <c r="L26" s="16" t="str">
        <f>IFERROR(__xludf.DUMMYFUNCTION("""COMPUTED_VALUE"""),"Aaron Shaw, Shannon Spies, Rod Gowin, Tim Kennedy")</f>
        <v>Aaron Shaw, Shannon Spies, Rod Gowin, Tim Kennedy</v>
      </c>
      <c r="M26" s="16" t="str">
        <f>IFERROR(__xludf.DUMMYFUNCTION("""COMPUTED_VALUE"""),"95f9bbab2bffe41a")</f>
        <v>95f9bbab2bffe41a</v>
      </c>
      <c r="N26" s="16"/>
      <c r="O26" s="16"/>
      <c r="P26" s="16"/>
      <c r="Q26" s="16"/>
      <c r="R26" s="16"/>
      <c r="S26" s="16"/>
      <c r="T26" s="16"/>
      <c r="U26" s="16"/>
      <c r="V26" s="16"/>
      <c r="W26" s="16"/>
      <c r="X26" s="16"/>
      <c r="Y26" s="16"/>
    </row>
    <row r="27">
      <c r="A27" s="16" t="str">
        <f>IFERROR(__xludf.DUMMYFUNCTION("""COMPUTED_VALUE"""),"Vivienne Hoary")</f>
        <v>Vivienne Hoary</v>
      </c>
      <c r="B27" s="16" t="str">
        <f>IFERROR(__xludf.DUMMYFUNCTION("""COMPUTED_VALUE"""),"vhoary@guidewire.com")</f>
        <v>vhoary@guidewire.com</v>
      </c>
      <c r="C27" s="16" t="str">
        <f>IFERROR(__xludf.DUMMYFUNCTION("""COMPUTED_VALUE"""),"Technology Alliance Manager")</f>
        <v>Technology Alliance Manager</v>
      </c>
      <c r="D27" s="16" t="str">
        <f>IFERROR(__xludf.DUMMYFUNCTION("""COMPUTED_VALUE"""),"BASIC")</f>
        <v>BASIC</v>
      </c>
      <c r="E27" s="16" t="str">
        <f>IFERROR(__xludf.DUMMYFUNCTION("""COMPUTED_VALUE"""),"Director")</f>
        <v>Director</v>
      </c>
      <c r="F27" s="16" t="str">
        <f>IFERROR(__xludf.DUMMYFUNCTION("""COMPUTED_VALUE"""),"AllianceManagerAccess")</f>
        <v>AllianceManagerAccess</v>
      </c>
      <c r="G27" s="16" t="str">
        <f>IFERROR(__xludf.DUMMYFUNCTION("""COMPUTED_VALUE"""),"Vivienne Hoary")</f>
        <v>Vivienne Hoary</v>
      </c>
      <c r="H27" s="16" t="str">
        <f>IFERROR(__xludf.DUMMYFUNCTION("""COMPUTED_VALUE"""),"vhoary@guidewire.com")</f>
        <v>vhoary@guidewire.com</v>
      </c>
      <c r="I27" s="16" t="str">
        <f>IFERROR(__xludf.DUMMYFUNCTION("""COMPUTED_VALUE"""),"PartnerManagement")</f>
        <v>PartnerManagement</v>
      </c>
      <c r="J27" s="16" t="str">
        <f>IFERROR(__xludf.DUMMYFUNCTION("""COMPUTED_VALUE"""),"MarketingCalendar, PartnerActivites, PartnerHealthHeatmap, PartnerManagement, SolutionOps, MarketingProjects, Marketplace")</f>
        <v>MarketingCalendar, PartnerActivites, PartnerHealthHeatmap, PartnerManagement, SolutionOps, MarketingProjects, Marketplace</v>
      </c>
      <c r="K27" s="16" t="str">
        <f>IFERROR(__xludf.DUMMYFUNCTION("""COMPUTED_VALUE"""),"User")</f>
        <v>User</v>
      </c>
      <c r="L27" s="16"/>
      <c r="M27" s="16" t="str">
        <f>IFERROR(__xludf.DUMMYFUNCTION("""COMPUTED_VALUE"""),"7b6f255a393e36ac")</f>
        <v>7b6f255a393e36ac</v>
      </c>
      <c r="N27" s="16"/>
      <c r="O27" s="16"/>
      <c r="P27" s="16"/>
      <c r="Q27" s="16"/>
      <c r="R27" s="16"/>
      <c r="S27" s="16"/>
      <c r="T27" s="16"/>
      <c r="U27" s="16"/>
      <c r="V27" s="16"/>
      <c r="W27" s="16"/>
      <c r="X27" s="16"/>
      <c r="Y27" s="16"/>
    </row>
    <row r="28">
      <c r="A28" s="16" t="str">
        <f>IFERROR(__xludf.DUMMYFUNCTION("""COMPUTED_VALUE"""),"Will Murphy")</f>
        <v>Will Murphy</v>
      </c>
      <c r="B28" s="16" t="str">
        <f>IFERROR(__xludf.DUMMYFUNCTION("""COMPUTED_VALUE"""),"wmurphy@guidewire.com")</f>
        <v>wmurphy@guidewire.com</v>
      </c>
      <c r="C28" s="16" t="str">
        <f>IFERROR(__xludf.DUMMYFUNCTION("""COMPUTED_VALUE"""),"VP Technology Alliances")</f>
        <v>VP Technology Alliances</v>
      </c>
      <c r="D28" s="16" t="str">
        <f>IFERROR(__xludf.DUMMYFUNCTION("""COMPUTED_VALUE"""),"BASIC")</f>
        <v>BASIC</v>
      </c>
      <c r="E28" s="16" t="str">
        <f>IFERROR(__xludf.DUMMYFUNCTION("""COMPUTED_VALUE"""),"Admin")</f>
        <v>Admin</v>
      </c>
      <c r="F28" s="16" t="str">
        <f>IFERROR(__xludf.DUMMYFUNCTION("""COMPUTED_VALUE"""),"NoAccess")</f>
        <v>NoAccess</v>
      </c>
      <c r="G28" s="16"/>
      <c r="H28" s="16"/>
      <c r="I28" s="16" t="str">
        <f>IFERROR(__xludf.DUMMYFUNCTION("""COMPUTED_VALUE"""),"VP")</f>
        <v>VP</v>
      </c>
      <c r="J28" s="16" t="str">
        <f>IFERROR(__xludf.DUMMYFUNCTION("""COMPUTED_VALUE"""),"MarketingCalendar, PartnerActivites, PartnerHealthHeatmap, PartnerManagement, SolutionOps, MarketingProjects, Marketplace, MarketingApprovals, 2026MarketingApprovals, Activity Stats")</f>
        <v>MarketingCalendar, PartnerActivites, PartnerHealthHeatmap, PartnerManagement, SolutionOps, MarketingProjects, Marketplace, MarketingApprovals, 2026MarketingApprovals, Activity Stats</v>
      </c>
      <c r="K28" s="16" t="str">
        <f>IFERROR(__xludf.DUMMYFUNCTION("""COMPUTED_VALUE"""),"User")</f>
        <v>User</v>
      </c>
      <c r="L28" s="16"/>
      <c r="M28" s="16" t="str">
        <f>IFERROR(__xludf.DUMMYFUNCTION("""COMPUTED_VALUE"""),"384a8e96b7b15609")</f>
        <v>384a8e96b7b15609</v>
      </c>
      <c r="N28" s="16"/>
      <c r="O28" s="16"/>
      <c r="P28" s="16"/>
      <c r="Q28" s="16"/>
      <c r="R28" s="16"/>
      <c r="S28" s="16"/>
      <c r="T28" s="16"/>
      <c r="U28" s="16"/>
      <c r="V28" s="16"/>
      <c r="W28" s="16"/>
      <c r="X28" s="16"/>
      <c r="Y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 customWidth="1" min="2" max="2" width="12.25"/>
    <col customWidth="1" min="3" max="3" width="10.0"/>
    <col customWidth="1" min="4" max="4" width="7.75"/>
    <col customWidth="1" min="5" max="5" width="106.88"/>
    <col customWidth="1" min="6" max="6" width="19.13"/>
    <col customWidth="1" min="7" max="7" width="10.13"/>
    <col customWidth="1" min="8" max="8" width="10.0"/>
    <col customWidth="1" min="9" max="9" width="8.88"/>
    <col customWidth="1" min="10" max="10" width="11.0"/>
    <col customWidth="1" min="11" max="11" width="12.25"/>
    <col customWidth="1" min="12" max="12" width="4.38"/>
    <col customWidth="1" min="13" max="13" width="12.0"/>
    <col customWidth="1" min="14" max="14" width="44.5"/>
    <col customWidth="1" min="15" max="15" width="19.13"/>
  </cols>
  <sheetData>
    <row r="1">
      <c r="A1" s="1" t="s">
        <v>836</v>
      </c>
      <c r="B1" s="1" t="s">
        <v>13</v>
      </c>
      <c r="C1" s="1" t="s">
        <v>14</v>
      </c>
      <c r="D1" s="1" t="s">
        <v>25</v>
      </c>
      <c r="E1" s="1" t="s">
        <v>837</v>
      </c>
      <c r="F1" s="1" t="s">
        <v>75</v>
      </c>
      <c r="G1" s="1" t="s">
        <v>838</v>
      </c>
      <c r="H1" s="1" t="s">
        <v>839</v>
      </c>
      <c r="I1" s="1" t="s">
        <v>840</v>
      </c>
      <c r="J1" s="1" t="s">
        <v>841</v>
      </c>
      <c r="K1" s="1" t="s">
        <v>842</v>
      </c>
      <c r="L1" s="1" t="s">
        <v>23</v>
      </c>
      <c r="M1" s="1" t="s">
        <v>843</v>
      </c>
      <c r="N1" s="1" t="s">
        <v>12</v>
      </c>
      <c r="O1" s="1" t="s">
        <v>27</v>
      </c>
    </row>
    <row r="2">
      <c r="A2" s="1" t="s">
        <v>287</v>
      </c>
      <c r="B2" s="1">
        <v>1.1428906921E10</v>
      </c>
      <c r="C2" s="1">
        <v>8.705508201E9</v>
      </c>
      <c r="D2" s="10"/>
      <c r="E2" s="10"/>
      <c r="F2" s="1" t="s">
        <v>5</v>
      </c>
      <c r="G2" s="1" t="s">
        <v>844</v>
      </c>
      <c r="H2" s="1" t="s">
        <v>845</v>
      </c>
      <c r="I2" s="1" t="s">
        <v>846</v>
      </c>
      <c r="J2" s="1">
        <v>1.8402617065E10</v>
      </c>
      <c r="K2" s="1">
        <v>1.8402617066E10</v>
      </c>
      <c r="L2" s="10"/>
      <c r="M2" s="1" t="s">
        <v>847</v>
      </c>
      <c r="N2" s="1" t="s">
        <v>287</v>
      </c>
      <c r="O2" s="1" t="s">
        <v>5</v>
      </c>
    </row>
    <row r="3">
      <c r="A3" s="1" t="s">
        <v>423</v>
      </c>
      <c r="B3" s="1">
        <v>1.1428896407E10</v>
      </c>
      <c r="C3" s="1">
        <v>8.705508201E9</v>
      </c>
      <c r="D3" s="10"/>
      <c r="E3" s="10"/>
      <c r="F3" s="1" t="s">
        <v>5</v>
      </c>
      <c r="G3" s="1" t="s">
        <v>844</v>
      </c>
      <c r="H3" s="1" t="s">
        <v>845</v>
      </c>
      <c r="I3" s="1" t="s">
        <v>846</v>
      </c>
      <c r="J3" s="1">
        <v>1.8402616813E10</v>
      </c>
      <c r="K3" s="1">
        <v>1.8402616815E10</v>
      </c>
      <c r="L3" s="10"/>
      <c r="M3" s="1" t="s">
        <v>128</v>
      </c>
      <c r="N3" s="1" t="s">
        <v>423</v>
      </c>
      <c r="O3" s="1" t="s">
        <v>5</v>
      </c>
    </row>
    <row r="4">
      <c r="A4" s="1" t="s">
        <v>287</v>
      </c>
      <c r="B4" s="1">
        <v>1.1428442783E10</v>
      </c>
      <c r="C4" s="1">
        <v>8.705508201E9</v>
      </c>
      <c r="D4" s="10"/>
      <c r="E4" s="10"/>
      <c r="F4" s="1" t="s">
        <v>5</v>
      </c>
      <c r="G4" s="1" t="s">
        <v>844</v>
      </c>
      <c r="H4" s="1" t="s">
        <v>848</v>
      </c>
      <c r="I4" s="1" t="s">
        <v>846</v>
      </c>
      <c r="J4" s="1">
        <v>1.8402609254E10</v>
      </c>
      <c r="K4" s="1">
        <v>1.8402609253E10</v>
      </c>
      <c r="L4" s="10"/>
      <c r="M4" s="1" t="s">
        <v>847</v>
      </c>
      <c r="N4" s="1" t="s">
        <v>287</v>
      </c>
      <c r="O4" s="1" t="s">
        <v>5</v>
      </c>
    </row>
    <row r="5">
      <c r="A5" s="1" t="s">
        <v>425</v>
      </c>
      <c r="B5" s="1">
        <v>1.142723298E10</v>
      </c>
      <c r="C5" s="1">
        <v>8.705508201E9</v>
      </c>
      <c r="D5" s="10"/>
      <c r="E5" s="10"/>
      <c r="F5" s="1" t="s">
        <v>426</v>
      </c>
      <c r="G5" s="1" t="s">
        <v>844</v>
      </c>
      <c r="H5" s="1" t="s">
        <v>849</v>
      </c>
      <c r="I5" s="1" t="s">
        <v>846</v>
      </c>
      <c r="J5" s="1">
        <v>1.8402585657E10</v>
      </c>
      <c r="K5" s="1">
        <v>1.8402585645E10</v>
      </c>
      <c r="L5" s="10"/>
      <c r="M5" s="1" t="s">
        <v>128</v>
      </c>
      <c r="N5" s="1" t="s">
        <v>425</v>
      </c>
      <c r="O5" s="1" t="s">
        <v>426</v>
      </c>
    </row>
    <row r="6">
      <c r="A6" s="1" t="s">
        <v>428</v>
      </c>
      <c r="B6" s="1">
        <v>1.1427182266E10</v>
      </c>
      <c r="C6" s="1">
        <v>8.705508201E9</v>
      </c>
      <c r="D6" s="10"/>
      <c r="E6" s="10"/>
      <c r="F6" s="1" t="s">
        <v>32</v>
      </c>
      <c r="G6" s="1" t="s">
        <v>844</v>
      </c>
      <c r="H6" s="1" t="s">
        <v>849</v>
      </c>
      <c r="I6" s="1" t="s">
        <v>846</v>
      </c>
      <c r="J6" s="1">
        <v>1.8402585523E10</v>
      </c>
      <c r="K6" s="1">
        <v>1.8402585524E10</v>
      </c>
      <c r="L6" s="10"/>
      <c r="M6" s="1" t="s">
        <v>128</v>
      </c>
      <c r="N6" s="1" t="s">
        <v>428</v>
      </c>
      <c r="O6" s="1" t="s">
        <v>32</v>
      </c>
    </row>
    <row r="7">
      <c r="A7" s="1" t="s">
        <v>430</v>
      </c>
      <c r="B7" s="1">
        <v>1.1427193258E10</v>
      </c>
      <c r="C7" s="1">
        <v>8.705508201E9</v>
      </c>
      <c r="D7" s="10"/>
      <c r="E7" s="10"/>
      <c r="F7" s="1" t="s">
        <v>431</v>
      </c>
      <c r="G7" s="1" t="s">
        <v>844</v>
      </c>
      <c r="H7" s="1" t="s">
        <v>849</v>
      </c>
      <c r="I7" s="1" t="s">
        <v>846</v>
      </c>
      <c r="J7" s="1">
        <v>1.8402585265E10</v>
      </c>
      <c r="K7" s="1">
        <v>1.8402585264E10</v>
      </c>
      <c r="L7" s="10"/>
      <c r="M7" s="1" t="s">
        <v>128</v>
      </c>
      <c r="N7" s="1" t="s">
        <v>430</v>
      </c>
      <c r="O7" s="1" t="s">
        <v>431</v>
      </c>
    </row>
    <row r="8">
      <c r="A8" s="1" t="s">
        <v>433</v>
      </c>
      <c r="B8" s="1">
        <v>1.1427185074E10</v>
      </c>
      <c r="C8" s="1">
        <v>8.705508201E9</v>
      </c>
      <c r="D8" s="10"/>
      <c r="E8" s="10"/>
      <c r="F8" s="1" t="s">
        <v>426</v>
      </c>
      <c r="G8" s="1" t="s">
        <v>844</v>
      </c>
      <c r="H8" s="1" t="s">
        <v>849</v>
      </c>
      <c r="I8" s="1" t="s">
        <v>846</v>
      </c>
      <c r="J8" s="1">
        <v>1.8402585089E10</v>
      </c>
      <c r="K8" s="1">
        <v>1.840258509E10</v>
      </c>
      <c r="L8" s="10"/>
      <c r="M8" s="1" t="s">
        <v>128</v>
      </c>
      <c r="N8" s="1" t="s">
        <v>433</v>
      </c>
      <c r="O8" s="1" t="s">
        <v>426</v>
      </c>
    </row>
    <row r="9">
      <c r="A9" s="1" t="s">
        <v>435</v>
      </c>
      <c r="B9" s="1">
        <v>1.1426988576E10</v>
      </c>
      <c r="C9" s="1">
        <v>8.705508201E9</v>
      </c>
      <c r="D9" s="10"/>
      <c r="E9" s="10"/>
      <c r="F9" s="1" t="s">
        <v>436</v>
      </c>
      <c r="G9" s="1" t="s">
        <v>844</v>
      </c>
      <c r="H9" s="1" t="s">
        <v>849</v>
      </c>
      <c r="I9" s="1" t="s">
        <v>846</v>
      </c>
      <c r="J9" s="1">
        <v>1.8402582976E10</v>
      </c>
      <c r="K9" s="1">
        <v>1.8402582978E10</v>
      </c>
      <c r="L9" s="10"/>
      <c r="M9" s="1" t="s">
        <v>128</v>
      </c>
      <c r="N9" s="1" t="s">
        <v>435</v>
      </c>
      <c r="O9" s="1" t="s">
        <v>436</v>
      </c>
    </row>
    <row r="10">
      <c r="A10" s="1" t="s">
        <v>438</v>
      </c>
      <c r="B10" s="1">
        <v>1.1426987836E10</v>
      </c>
      <c r="C10" s="1">
        <v>8.705508201E9</v>
      </c>
      <c r="D10" s="10"/>
      <c r="E10" s="10"/>
      <c r="F10" s="1" t="s">
        <v>439</v>
      </c>
      <c r="G10" s="1" t="s">
        <v>844</v>
      </c>
      <c r="H10" s="1" t="s">
        <v>849</v>
      </c>
      <c r="I10" s="1" t="s">
        <v>846</v>
      </c>
      <c r="J10" s="1">
        <v>1.8402581254E10</v>
      </c>
      <c r="K10" s="1">
        <v>1.8402581255E10</v>
      </c>
      <c r="L10" s="10"/>
      <c r="M10" s="1" t="s">
        <v>128</v>
      </c>
      <c r="N10" s="1" t="s">
        <v>438</v>
      </c>
      <c r="O10" s="1" t="s">
        <v>439</v>
      </c>
    </row>
    <row r="11">
      <c r="A11" s="1" t="s">
        <v>441</v>
      </c>
      <c r="B11" s="1">
        <v>1.1426990728E10</v>
      </c>
      <c r="C11" s="1">
        <v>8.705508201E9</v>
      </c>
      <c r="D11" s="10"/>
      <c r="E11" s="10"/>
      <c r="F11" s="1" t="s">
        <v>442</v>
      </c>
      <c r="G11" s="1" t="s">
        <v>844</v>
      </c>
      <c r="H11" s="1" t="s">
        <v>849</v>
      </c>
      <c r="I11" s="1" t="s">
        <v>846</v>
      </c>
      <c r="J11" s="1">
        <v>1.8402581135E10</v>
      </c>
      <c r="K11" s="1">
        <v>1.840258114E10</v>
      </c>
      <c r="L11" s="10"/>
      <c r="M11" s="1" t="s">
        <v>128</v>
      </c>
      <c r="N11" s="1" t="s">
        <v>441</v>
      </c>
      <c r="O11" s="1" t="s">
        <v>442</v>
      </c>
    </row>
    <row r="12">
      <c r="A12" s="1" t="s">
        <v>444</v>
      </c>
      <c r="B12" s="1">
        <v>1.1426974881E10</v>
      </c>
      <c r="C12" s="1">
        <v>8.705508201E9</v>
      </c>
      <c r="D12" s="10"/>
      <c r="E12" s="10"/>
      <c r="F12" s="1" t="s">
        <v>32</v>
      </c>
      <c r="G12" s="1" t="s">
        <v>844</v>
      </c>
      <c r="H12" s="1" t="s">
        <v>849</v>
      </c>
      <c r="I12" s="1" t="s">
        <v>846</v>
      </c>
      <c r="J12" s="1">
        <v>1.8402581058E10</v>
      </c>
      <c r="K12" s="1">
        <v>1.8402581059E10</v>
      </c>
      <c r="L12" s="10"/>
      <c r="M12" s="1" t="s">
        <v>128</v>
      </c>
      <c r="N12" s="1" t="s">
        <v>444</v>
      </c>
      <c r="O12" s="1" t="s">
        <v>32</v>
      </c>
    </row>
    <row r="13">
      <c r="A13" s="1" t="s">
        <v>446</v>
      </c>
      <c r="B13" s="1">
        <v>1.142696898E10</v>
      </c>
      <c r="C13" s="1">
        <v>8.705508201E9</v>
      </c>
      <c r="D13" s="10"/>
      <c r="E13" s="10"/>
      <c r="F13" s="1" t="s">
        <v>426</v>
      </c>
      <c r="G13" s="1" t="s">
        <v>844</v>
      </c>
      <c r="H13" s="1" t="s">
        <v>849</v>
      </c>
      <c r="I13" s="1" t="s">
        <v>846</v>
      </c>
      <c r="J13" s="1">
        <v>1.8402580968E10</v>
      </c>
      <c r="K13" s="1">
        <v>1.8402581007E10</v>
      </c>
      <c r="L13" s="10"/>
      <c r="M13" s="1" t="s">
        <v>128</v>
      </c>
      <c r="N13" s="1" t="s">
        <v>446</v>
      </c>
      <c r="O13" s="1" t="s">
        <v>426</v>
      </c>
    </row>
    <row r="14">
      <c r="A14" s="1" t="s">
        <v>448</v>
      </c>
      <c r="B14" s="1">
        <v>1.1426969371E10</v>
      </c>
      <c r="C14" s="1">
        <v>8.705508201E9</v>
      </c>
      <c r="D14" s="10"/>
      <c r="E14" s="10"/>
      <c r="F14" s="1" t="s">
        <v>439</v>
      </c>
      <c r="G14" s="1" t="s">
        <v>844</v>
      </c>
      <c r="H14" s="1" t="s">
        <v>849</v>
      </c>
      <c r="I14" s="1" t="s">
        <v>846</v>
      </c>
      <c r="J14" s="1">
        <v>1.8402580878E10</v>
      </c>
      <c r="K14" s="1">
        <v>1.8402580881E10</v>
      </c>
      <c r="L14" s="10"/>
      <c r="M14" s="1" t="s">
        <v>128</v>
      </c>
      <c r="N14" s="1" t="s">
        <v>448</v>
      </c>
      <c r="O14" s="1" t="s">
        <v>439</v>
      </c>
    </row>
    <row r="15">
      <c r="A15" s="1" t="s">
        <v>450</v>
      </c>
      <c r="B15" s="1">
        <v>1.1426931255E10</v>
      </c>
      <c r="C15" s="1">
        <v>8.705508201E9</v>
      </c>
      <c r="D15" s="10"/>
      <c r="E15" s="10"/>
      <c r="F15" s="1" t="s">
        <v>439</v>
      </c>
      <c r="G15" s="1" t="s">
        <v>844</v>
      </c>
      <c r="H15" s="1" t="s">
        <v>849</v>
      </c>
      <c r="I15" s="1" t="s">
        <v>846</v>
      </c>
      <c r="J15" s="1">
        <v>1.8402580733E10</v>
      </c>
      <c r="K15" s="1">
        <v>1.8402580731E10</v>
      </c>
      <c r="L15" s="10"/>
      <c r="M15" s="1" t="s">
        <v>128</v>
      </c>
      <c r="N15" s="1" t="s">
        <v>450</v>
      </c>
      <c r="O15" s="1" t="s">
        <v>439</v>
      </c>
    </row>
    <row r="16">
      <c r="A16" s="1" t="s">
        <v>452</v>
      </c>
      <c r="B16" s="1">
        <v>1.1426932088E10</v>
      </c>
      <c r="C16" s="1">
        <v>8.705508201E9</v>
      </c>
      <c r="D16" s="10"/>
      <c r="E16" s="10"/>
      <c r="F16" s="1" t="s">
        <v>439</v>
      </c>
      <c r="G16" s="1" t="s">
        <v>844</v>
      </c>
      <c r="H16" s="1" t="s">
        <v>845</v>
      </c>
      <c r="I16" s="1" t="s">
        <v>846</v>
      </c>
      <c r="J16" s="1">
        <v>1.8402580659E10</v>
      </c>
      <c r="K16" s="1">
        <v>1.840258066E10</v>
      </c>
      <c r="L16" s="10"/>
      <c r="M16" s="1" t="s">
        <v>128</v>
      </c>
      <c r="N16" s="1" t="s">
        <v>452</v>
      </c>
      <c r="O16" s="1" t="s">
        <v>439</v>
      </c>
    </row>
    <row r="17">
      <c r="A17" s="1" t="s">
        <v>454</v>
      </c>
      <c r="B17" s="1">
        <v>1.1426932007E10</v>
      </c>
      <c r="C17" s="1">
        <v>8.705508201E9</v>
      </c>
      <c r="D17" s="10"/>
      <c r="E17" s="10"/>
      <c r="F17" s="1" t="s">
        <v>436</v>
      </c>
      <c r="G17" s="1" t="s">
        <v>844</v>
      </c>
      <c r="H17" s="1" t="s">
        <v>849</v>
      </c>
      <c r="I17" s="1" t="s">
        <v>846</v>
      </c>
      <c r="J17" s="1">
        <v>1.8402580557E10</v>
      </c>
      <c r="K17" s="1">
        <v>1.8402580551E10</v>
      </c>
      <c r="L17" s="10"/>
      <c r="M17" s="1" t="s">
        <v>128</v>
      </c>
      <c r="N17" s="1" t="s">
        <v>454</v>
      </c>
      <c r="O17" s="1" t="s">
        <v>436</v>
      </c>
    </row>
    <row r="18">
      <c r="A18" s="1" t="s">
        <v>456</v>
      </c>
      <c r="B18" s="1">
        <v>1.1426922375E10</v>
      </c>
      <c r="C18" s="1">
        <v>8.705508201E9</v>
      </c>
      <c r="D18" s="10"/>
      <c r="E18" s="10"/>
      <c r="F18" s="1" t="s">
        <v>436</v>
      </c>
      <c r="G18" s="1" t="s">
        <v>844</v>
      </c>
      <c r="H18" s="1" t="s">
        <v>849</v>
      </c>
      <c r="I18" s="1" t="s">
        <v>846</v>
      </c>
      <c r="J18" s="1">
        <v>1.8402580437E10</v>
      </c>
      <c r="K18" s="1">
        <v>1.8402580436E10</v>
      </c>
      <c r="L18" s="10"/>
      <c r="M18" s="1" t="s">
        <v>128</v>
      </c>
      <c r="N18" s="1" t="s">
        <v>456</v>
      </c>
      <c r="O18" s="1" t="s">
        <v>436</v>
      </c>
    </row>
    <row r="19">
      <c r="A19" s="1" t="s">
        <v>458</v>
      </c>
      <c r="B19" s="1">
        <v>1.1426924771E10</v>
      </c>
      <c r="C19" s="1">
        <v>8.705508201E9</v>
      </c>
      <c r="D19" s="10"/>
      <c r="E19" s="10"/>
      <c r="F19" s="1" t="s">
        <v>431</v>
      </c>
      <c r="G19" s="1" t="s">
        <v>844</v>
      </c>
      <c r="H19" s="1" t="s">
        <v>849</v>
      </c>
      <c r="I19" s="1" t="s">
        <v>846</v>
      </c>
      <c r="J19" s="1">
        <v>1.8402579805E10</v>
      </c>
      <c r="K19" s="1">
        <v>1.8402579804E10</v>
      </c>
      <c r="L19" s="10"/>
      <c r="M19" s="1" t="s">
        <v>128</v>
      </c>
      <c r="N19" s="1" t="s">
        <v>458</v>
      </c>
      <c r="O19" s="1" t="s">
        <v>431</v>
      </c>
    </row>
    <row r="20">
      <c r="A20" s="1" t="s">
        <v>460</v>
      </c>
      <c r="B20" s="1">
        <v>1.1426906641E10</v>
      </c>
      <c r="C20" s="1">
        <v>8.705508201E9</v>
      </c>
      <c r="D20" s="10"/>
      <c r="E20" s="10"/>
      <c r="F20" s="1" t="s">
        <v>431</v>
      </c>
      <c r="G20" s="1" t="s">
        <v>844</v>
      </c>
      <c r="H20" s="1" t="s">
        <v>849</v>
      </c>
      <c r="I20" s="1" t="s">
        <v>846</v>
      </c>
      <c r="J20" s="1">
        <v>1.840257966E10</v>
      </c>
      <c r="K20" s="1">
        <v>1.8402579662E10</v>
      </c>
      <c r="L20" s="10"/>
      <c r="M20" s="1" t="s">
        <v>128</v>
      </c>
      <c r="N20" s="1" t="s">
        <v>460</v>
      </c>
      <c r="O20" s="1" t="s">
        <v>431</v>
      </c>
    </row>
    <row r="21">
      <c r="A21" s="1" t="s">
        <v>462</v>
      </c>
      <c r="B21" s="1">
        <v>1.1426902498E10</v>
      </c>
      <c r="C21" s="1">
        <v>8.705508201E9</v>
      </c>
      <c r="D21" s="10"/>
      <c r="E21" s="10"/>
      <c r="F21" s="1" t="s">
        <v>32</v>
      </c>
      <c r="G21" s="1" t="s">
        <v>844</v>
      </c>
      <c r="H21" s="1" t="s">
        <v>849</v>
      </c>
      <c r="I21" s="1" t="s">
        <v>846</v>
      </c>
      <c r="J21" s="1">
        <v>1.8402579565E10</v>
      </c>
      <c r="K21" s="1">
        <v>1.8402579566E10</v>
      </c>
      <c r="L21" s="10"/>
      <c r="M21" s="1" t="s">
        <v>128</v>
      </c>
      <c r="N21" s="1" t="s">
        <v>462</v>
      </c>
      <c r="O21" s="1" t="s">
        <v>32</v>
      </c>
    </row>
    <row r="22">
      <c r="A22" s="1" t="s">
        <v>464</v>
      </c>
      <c r="B22" s="1">
        <v>1.1426882583E10</v>
      </c>
      <c r="C22" s="1">
        <v>8.705508201E9</v>
      </c>
      <c r="D22" s="10"/>
      <c r="E22" s="10"/>
      <c r="F22" s="1" t="s">
        <v>431</v>
      </c>
      <c r="G22" s="1" t="s">
        <v>844</v>
      </c>
      <c r="H22" s="1" t="s">
        <v>845</v>
      </c>
      <c r="I22" s="1" t="s">
        <v>846</v>
      </c>
      <c r="J22" s="1">
        <v>1.8402579438E10</v>
      </c>
      <c r="K22" s="1">
        <v>1.8402579436E10</v>
      </c>
      <c r="L22" s="10"/>
      <c r="M22" s="1" t="s">
        <v>128</v>
      </c>
      <c r="N22" s="1" t="s">
        <v>464</v>
      </c>
      <c r="O22" s="1" t="s">
        <v>431</v>
      </c>
    </row>
    <row r="23">
      <c r="A23" s="1" t="s">
        <v>466</v>
      </c>
      <c r="B23" s="1">
        <v>1.1426870999E10</v>
      </c>
      <c r="C23" s="1">
        <v>8.705508201E9</v>
      </c>
      <c r="D23" s="10"/>
      <c r="E23" s="10"/>
      <c r="F23" s="1" t="s">
        <v>426</v>
      </c>
      <c r="G23" s="1" t="s">
        <v>844</v>
      </c>
      <c r="H23" s="1" t="s">
        <v>849</v>
      </c>
      <c r="I23" s="1" t="s">
        <v>846</v>
      </c>
      <c r="J23" s="1">
        <v>1.840257933E10</v>
      </c>
      <c r="K23" s="1">
        <v>1.8402579333E10</v>
      </c>
      <c r="L23" s="10"/>
      <c r="M23" s="1" t="s">
        <v>128</v>
      </c>
      <c r="N23" s="1" t="s">
        <v>466</v>
      </c>
      <c r="O23" s="1" t="s">
        <v>426</v>
      </c>
    </row>
    <row r="24">
      <c r="A24" s="1" t="s">
        <v>468</v>
      </c>
      <c r="B24" s="1">
        <v>1.1426885524E10</v>
      </c>
      <c r="C24" s="1">
        <v>8.705508201E9</v>
      </c>
      <c r="D24" s="10"/>
      <c r="E24" s="10"/>
      <c r="F24" s="1" t="s">
        <v>431</v>
      </c>
      <c r="G24" s="1" t="s">
        <v>844</v>
      </c>
      <c r="H24" s="1" t="s">
        <v>849</v>
      </c>
      <c r="I24" s="1" t="s">
        <v>846</v>
      </c>
      <c r="J24" s="1">
        <v>1.8402579105E10</v>
      </c>
      <c r="K24" s="1">
        <v>1.8402579103E10</v>
      </c>
      <c r="L24" s="10"/>
      <c r="M24" s="1" t="s">
        <v>128</v>
      </c>
      <c r="N24" s="1" t="s">
        <v>468</v>
      </c>
      <c r="O24" s="1" t="s">
        <v>431</v>
      </c>
    </row>
    <row r="25">
      <c r="A25" s="1" t="s">
        <v>470</v>
      </c>
      <c r="B25" s="1">
        <v>1.1426860496E10</v>
      </c>
      <c r="C25" s="1">
        <v>8.705508201E9</v>
      </c>
      <c r="D25" s="10"/>
      <c r="E25" s="10"/>
      <c r="F25" s="1" t="s">
        <v>426</v>
      </c>
      <c r="G25" s="1" t="s">
        <v>844</v>
      </c>
      <c r="H25" s="1" t="s">
        <v>849</v>
      </c>
      <c r="I25" s="1" t="s">
        <v>846</v>
      </c>
      <c r="J25" s="1">
        <v>1.8402578968E10</v>
      </c>
      <c r="K25" s="1">
        <v>1.8402578967E10</v>
      </c>
      <c r="L25" s="10"/>
      <c r="M25" s="1" t="s">
        <v>128</v>
      </c>
      <c r="N25" s="1" t="s">
        <v>470</v>
      </c>
      <c r="O25" s="1" t="s">
        <v>426</v>
      </c>
    </row>
    <row r="26">
      <c r="A26" s="1" t="s">
        <v>472</v>
      </c>
      <c r="B26" s="1">
        <v>1.1426857042E10</v>
      </c>
      <c r="C26" s="1">
        <v>8.705508201E9</v>
      </c>
      <c r="D26" s="10"/>
      <c r="E26" s="10"/>
      <c r="F26" s="1" t="s">
        <v>426</v>
      </c>
      <c r="G26" s="1" t="s">
        <v>844</v>
      </c>
      <c r="H26" s="1" t="s">
        <v>845</v>
      </c>
      <c r="I26" s="1" t="s">
        <v>846</v>
      </c>
      <c r="J26" s="1">
        <v>1.8402578799E10</v>
      </c>
      <c r="K26" s="1">
        <v>1.84025788E10</v>
      </c>
      <c r="L26" s="10"/>
      <c r="M26" s="1" t="s">
        <v>128</v>
      </c>
      <c r="N26" s="1" t="s">
        <v>472</v>
      </c>
      <c r="O26" s="1" t="s">
        <v>426</v>
      </c>
    </row>
    <row r="27">
      <c r="A27" s="1" t="s">
        <v>474</v>
      </c>
      <c r="B27" s="1">
        <v>1.142683563E10</v>
      </c>
      <c r="C27" s="1">
        <v>8.705508201E9</v>
      </c>
      <c r="D27" s="10"/>
      <c r="E27" s="10"/>
      <c r="F27" s="1" t="s">
        <v>439</v>
      </c>
      <c r="G27" s="1" t="s">
        <v>844</v>
      </c>
      <c r="H27" s="1" t="s">
        <v>849</v>
      </c>
      <c r="I27" s="1" t="s">
        <v>846</v>
      </c>
      <c r="J27" s="1">
        <v>1.8402578687E10</v>
      </c>
      <c r="K27" s="1">
        <v>1.8402578688E10</v>
      </c>
      <c r="L27" s="10"/>
      <c r="M27" s="1" t="s">
        <v>847</v>
      </c>
      <c r="N27" s="1" t="s">
        <v>474</v>
      </c>
      <c r="O27" s="1" t="s">
        <v>439</v>
      </c>
    </row>
    <row r="28">
      <c r="A28" s="1" t="s">
        <v>476</v>
      </c>
      <c r="B28" s="1">
        <v>1.1426488337E10</v>
      </c>
      <c r="C28" s="1">
        <v>8.705508201E9</v>
      </c>
      <c r="D28" s="10"/>
      <c r="E28" s="10"/>
      <c r="F28" s="1" t="s">
        <v>426</v>
      </c>
      <c r="G28" s="1" t="s">
        <v>844</v>
      </c>
      <c r="H28" s="1" t="s">
        <v>849</v>
      </c>
      <c r="I28" s="1" t="s">
        <v>846</v>
      </c>
      <c r="J28" s="1">
        <v>1.840257845E10</v>
      </c>
      <c r="K28" s="1">
        <v>1.8402578447E10</v>
      </c>
      <c r="L28" s="10"/>
      <c r="M28" s="1" t="s">
        <v>128</v>
      </c>
      <c r="N28" s="1" t="s">
        <v>476</v>
      </c>
      <c r="O28" s="1" t="s">
        <v>426</v>
      </c>
    </row>
    <row r="29">
      <c r="A29" s="1" t="s">
        <v>271</v>
      </c>
      <c r="B29" s="1">
        <v>1.1426283116E10</v>
      </c>
      <c r="C29" s="1">
        <v>8.705508201E9</v>
      </c>
      <c r="D29" s="10"/>
      <c r="E29" s="1" t="s">
        <v>850</v>
      </c>
      <c r="F29" s="1" t="s">
        <v>5</v>
      </c>
      <c r="G29" s="1" t="s">
        <v>844</v>
      </c>
      <c r="H29" s="1" t="s">
        <v>845</v>
      </c>
      <c r="I29" s="1" t="s">
        <v>846</v>
      </c>
      <c r="J29" s="1">
        <v>1.8402568518E10</v>
      </c>
      <c r="K29" s="1">
        <v>1.840256852E10</v>
      </c>
      <c r="L29" s="10"/>
      <c r="M29" s="1" t="s">
        <v>847</v>
      </c>
      <c r="N29" s="1" t="s">
        <v>271</v>
      </c>
      <c r="O29" s="1" t="s">
        <v>5</v>
      </c>
    </row>
    <row r="30">
      <c r="A30" s="1" t="s">
        <v>254</v>
      </c>
      <c r="B30" s="1">
        <v>1.142627771E10</v>
      </c>
      <c r="C30" s="1">
        <v>8.705508201E9</v>
      </c>
      <c r="D30" s="10"/>
      <c r="E30" s="1" t="s">
        <v>851</v>
      </c>
      <c r="F30" s="1" t="s">
        <v>5</v>
      </c>
      <c r="G30" s="1" t="s">
        <v>844</v>
      </c>
      <c r="H30" s="1" t="s">
        <v>848</v>
      </c>
      <c r="I30" s="1" t="s">
        <v>846</v>
      </c>
      <c r="J30" s="1">
        <v>1.8402568372E10</v>
      </c>
      <c r="K30" s="1">
        <v>1.8402568373E10</v>
      </c>
      <c r="L30" s="10"/>
      <c r="M30" s="1" t="s">
        <v>847</v>
      </c>
      <c r="N30" s="1" t="s">
        <v>254</v>
      </c>
      <c r="O30" s="1" t="s">
        <v>5</v>
      </c>
    </row>
    <row r="31">
      <c r="A31" s="1" t="s">
        <v>241</v>
      </c>
      <c r="B31" s="1">
        <v>1.1426251754E10</v>
      </c>
      <c r="C31" s="1">
        <v>8.705508201E9</v>
      </c>
      <c r="D31" s="10"/>
      <c r="E31" s="1" t="s">
        <v>852</v>
      </c>
      <c r="F31" s="1" t="s">
        <v>5</v>
      </c>
      <c r="G31" s="1" t="s">
        <v>844</v>
      </c>
      <c r="H31" s="1" t="s">
        <v>848</v>
      </c>
      <c r="I31" s="1" t="s">
        <v>846</v>
      </c>
      <c r="J31" s="1">
        <v>1.8402568111E10</v>
      </c>
      <c r="K31" s="1">
        <v>1.8402568112E10</v>
      </c>
      <c r="L31" s="10"/>
      <c r="M31" s="1" t="s">
        <v>847</v>
      </c>
      <c r="N31" s="1" t="s">
        <v>239</v>
      </c>
      <c r="O31" s="1" t="s">
        <v>5</v>
      </c>
    </row>
    <row r="32">
      <c r="A32" s="1" t="s">
        <v>478</v>
      </c>
      <c r="B32" s="1">
        <v>1.1426266508E10</v>
      </c>
      <c r="C32" s="1">
        <v>8.705508201E9</v>
      </c>
      <c r="D32" s="10"/>
      <c r="E32" s="1" t="s">
        <v>853</v>
      </c>
      <c r="F32" s="1" t="s">
        <v>5</v>
      </c>
      <c r="G32" s="1" t="s">
        <v>844</v>
      </c>
      <c r="H32" s="1" t="s">
        <v>849</v>
      </c>
      <c r="I32" s="1" t="s">
        <v>846</v>
      </c>
      <c r="J32" s="1">
        <v>1.8402567609E10</v>
      </c>
      <c r="K32" s="1">
        <v>1.840256761E10</v>
      </c>
      <c r="L32" s="10"/>
      <c r="M32" s="1" t="s">
        <v>128</v>
      </c>
      <c r="N32" s="1" t="s">
        <v>478</v>
      </c>
      <c r="O32" s="1" t="s">
        <v>5</v>
      </c>
    </row>
    <row r="33">
      <c r="A33" s="1" t="s">
        <v>323</v>
      </c>
      <c r="B33" s="1">
        <v>1.1426249222E10</v>
      </c>
      <c r="C33" s="1">
        <v>8.705508201E9</v>
      </c>
      <c r="D33" s="10"/>
      <c r="E33" s="1" t="s">
        <v>854</v>
      </c>
      <c r="F33" s="1" t="s">
        <v>5</v>
      </c>
      <c r="G33" s="1" t="s">
        <v>844</v>
      </c>
      <c r="H33" s="1" t="s">
        <v>848</v>
      </c>
      <c r="I33" s="1" t="s">
        <v>846</v>
      </c>
      <c r="J33" s="1">
        <v>1.8402567457E10</v>
      </c>
      <c r="K33" s="1">
        <v>1.8402567456E10</v>
      </c>
      <c r="L33" s="10"/>
      <c r="M33" s="1" t="s">
        <v>128</v>
      </c>
      <c r="N33" s="1" t="s">
        <v>323</v>
      </c>
      <c r="O33" s="1" t="s">
        <v>5</v>
      </c>
    </row>
    <row r="34">
      <c r="A34" s="1" t="s">
        <v>480</v>
      </c>
      <c r="B34" s="1">
        <v>1.1426248637E10</v>
      </c>
      <c r="C34" s="1">
        <v>8.705508201E9</v>
      </c>
      <c r="D34" s="10"/>
      <c r="E34" s="10"/>
      <c r="F34" s="1" t="s">
        <v>5</v>
      </c>
      <c r="G34" s="1" t="s">
        <v>844</v>
      </c>
      <c r="H34" s="1" t="s">
        <v>845</v>
      </c>
      <c r="I34" s="1" t="s">
        <v>846</v>
      </c>
      <c r="J34" s="1">
        <v>1.8402567312E10</v>
      </c>
      <c r="K34" s="1">
        <v>1.8402567311E10</v>
      </c>
      <c r="L34" s="10"/>
      <c r="M34" s="1" t="s">
        <v>847</v>
      </c>
      <c r="N34" s="1" t="s">
        <v>480</v>
      </c>
      <c r="O34" s="1" t="s">
        <v>5</v>
      </c>
    </row>
    <row r="35">
      <c r="A35" s="1" t="s">
        <v>482</v>
      </c>
      <c r="B35" s="1">
        <v>1.1426231946E10</v>
      </c>
      <c r="C35" s="1">
        <v>8.705508201E9</v>
      </c>
      <c r="D35" s="10"/>
      <c r="E35" s="1" t="s">
        <v>855</v>
      </c>
      <c r="F35" s="1" t="s">
        <v>5</v>
      </c>
      <c r="G35" s="1" t="s">
        <v>844</v>
      </c>
      <c r="H35" s="1" t="s">
        <v>845</v>
      </c>
      <c r="I35" s="1" t="s">
        <v>846</v>
      </c>
      <c r="J35" s="1">
        <v>1.8402567162E10</v>
      </c>
      <c r="K35" s="1">
        <v>1.8402567161E10</v>
      </c>
      <c r="L35" s="10"/>
      <c r="M35" s="1" t="s">
        <v>128</v>
      </c>
      <c r="N35" s="1" t="s">
        <v>482</v>
      </c>
      <c r="O35" s="1" t="s">
        <v>5</v>
      </c>
    </row>
    <row r="36">
      <c r="A36" s="1" t="s">
        <v>856</v>
      </c>
      <c r="B36" s="1">
        <v>1.1416633623E10</v>
      </c>
      <c r="C36" s="1">
        <v>8.705508201E9</v>
      </c>
      <c r="D36" s="10"/>
      <c r="E36" s="10"/>
      <c r="F36" s="1" t="s">
        <v>439</v>
      </c>
      <c r="G36" s="1" t="s">
        <v>844</v>
      </c>
      <c r="H36" s="1" t="s">
        <v>845</v>
      </c>
      <c r="I36" s="1" t="s">
        <v>846</v>
      </c>
      <c r="J36" s="1">
        <v>1.8402404464E10</v>
      </c>
      <c r="K36" s="1">
        <v>1.8402404465E10</v>
      </c>
      <c r="L36" s="10"/>
      <c r="M36" s="1" t="s">
        <v>847</v>
      </c>
      <c r="N36" s="1" t="s">
        <v>484</v>
      </c>
      <c r="O36" s="1" t="s">
        <v>439</v>
      </c>
    </row>
    <row r="37">
      <c r="A37" s="1" t="s">
        <v>304</v>
      </c>
      <c r="B37" s="1">
        <v>1.1425931219E10</v>
      </c>
      <c r="C37" s="1">
        <v>8.705508201E9</v>
      </c>
      <c r="D37" s="10"/>
      <c r="E37" s="10"/>
      <c r="F37" s="1" t="s">
        <v>5</v>
      </c>
      <c r="G37" s="1" t="s">
        <v>857</v>
      </c>
      <c r="H37" s="1" t="s">
        <v>845</v>
      </c>
      <c r="I37" s="1" t="s">
        <v>846</v>
      </c>
      <c r="J37" s="1">
        <v>1.8402561158E10</v>
      </c>
      <c r="K37" s="1">
        <v>1.8402561152E10</v>
      </c>
      <c r="L37" s="10"/>
      <c r="M37" s="1" t="s">
        <v>128</v>
      </c>
      <c r="N37" s="1" t="s">
        <v>303</v>
      </c>
      <c r="O37" s="1" t="s">
        <v>5</v>
      </c>
    </row>
    <row r="38">
      <c r="A38" s="1" t="s">
        <v>486</v>
      </c>
      <c r="B38" s="1">
        <v>1.1416792834E10</v>
      </c>
      <c r="C38" s="1">
        <v>8.705508201E9</v>
      </c>
      <c r="D38" s="10"/>
      <c r="E38" s="10"/>
      <c r="F38" s="1" t="s">
        <v>513</v>
      </c>
      <c r="G38" s="1" t="s">
        <v>844</v>
      </c>
      <c r="H38" s="1" t="s">
        <v>848</v>
      </c>
      <c r="I38" s="1" t="s">
        <v>846</v>
      </c>
      <c r="J38" s="1">
        <v>1.8402407351E10</v>
      </c>
      <c r="K38" s="1">
        <v>1.8402407354E10</v>
      </c>
      <c r="L38" s="10"/>
      <c r="M38" s="1" t="s">
        <v>847</v>
      </c>
      <c r="N38" s="1" t="s">
        <v>486</v>
      </c>
      <c r="O38" s="10"/>
    </row>
    <row r="39">
      <c r="A39" s="1" t="s">
        <v>488</v>
      </c>
      <c r="B39" s="1">
        <v>1.1416948168E10</v>
      </c>
      <c r="C39" s="1">
        <v>8.705508201E9</v>
      </c>
      <c r="D39" s="10"/>
      <c r="E39" s="10"/>
      <c r="F39" s="1" t="s">
        <v>32</v>
      </c>
      <c r="G39" s="1" t="s">
        <v>844</v>
      </c>
      <c r="H39" s="1" t="s">
        <v>845</v>
      </c>
      <c r="I39" s="1" t="s">
        <v>846</v>
      </c>
      <c r="J39" s="1">
        <v>1.8402411178E10</v>
      </c>
      <c r="K39" s="1">
        <v>1.8402411177E10</v>
      </c>
      <c r="L39" s="10"/>
      <c r="M39" s="1" t="s">
        <v>847</v>
      </c>
      <c r="N39" s="1" t="s">
        <v>488</v>
      </c>
      <c r="O39" s="1" t="s">
        <v>32</v>
      </c>
    </row>
    <row r="40">
      <c r="A40" s="1" t="s">
        <v>490</v>
      </c>
      <c r="B40" s="1">
        <v>1.1416919307E10</v>
      </c>
      <c r="C40" s="1">
        <v>8.705508201E9</v>
      </c>
      <c r="D40" s="10"/>
      <c r="E40" s="10"/>
      <c r="F40" s="1" t="s">
        <v>491</v>
      </c>
      <c r="G40" s="1" t="s">
        <v>844</v>
      </c>
      <c r="H40" s="1" t="s">
        <v>845</v>
      </c>
      <c r="I40" s="1" t="s">
        <v>846</v>
      </c>
      <c r="J40" s="1">
        <v>1.8402409821E10</v>
      </c>
      <c r="K40" s="1">
        <v>1.8402409819E10</v>
      </c>
      <c r="L40" s="10"/>
      <c r="M40" s="1" t="s">
        <v>847</v>
      </c>
      <c r="N40" s="1" t="s">
        <v>490</v>
      </c>
      <c r="O40" s="1" t="s">
        <v>491</v>
      </c>
    </row>
    <row r="41">
      <c r="A41" s="1" t="s">
        <v>493</v>
      </c>
      <c r="B41" s="1">
        <v>1.1416670807E10</v>
      </c>
      <c r="C41" s="1">
        <v>8.705508201E9</v>
      </c>
      <c r="D41" s="10"/>
      <c r="E41" s="10"/>
      <c r="F41" s="1" t="s">
        <v>426</v>
      </c>
      <c r="G41" s="1" t="s">
        <v>844</v>
      </c>
      <c r="H41" s="1" t="s">
        <v>845</v>
      </c>
      <c r="I41" s="1" t="s">
        <v>846</v>
      </c>
      <c r="J41" s="1">
        <v>1.8402404892E10</v>
      </c>
      <c r="K41" s="1">
        <v>1.8402404896E10</v>
      </c>
      <c r="L41" s="10"/>
      <c r="M41" s="1" t="s">
        <v>847</v>
      </c>
      <c r="N41" s="1" t="s">
        <v>493</v>
      </c>
      <c r="O41" s="1" t="s">
        <v>426</v>
      </c>
    </row>
    <row r="42">
      <c r="A42" s="1" t="s">
        <v>495</v>
      </c>
      <c r="B42" s="1">
        <v>1.1425988783E10</v>
      </c>
      <c r="C42" s="1">
        <v>8.705508201E9</v>
      </c>
      <c r="D42" s="10"/>
      <c r="E42" s="1" t="s">
        <v>858</v>
      </c>
      <c r="F42" s="1" t="s">
        <v>5</v>
      </c>
      <c r="G42" s="1" t="s">
        <v>844</v>
      </c>
      <c r="H42" s="1" t="s">
        <v>849</v>
      </c>
      <c r="I42" s="1" t="s">
        <v>846</v>
      </c>
      <c r="J42" s="1">
        <v>1.8402562945E10</v>
      </c>
      <c r="K42" s="1">
        <v>1.8402562936E10</v>
      </c>
      <c r="L42" s="10"/>
      <c r="M42" s="1" t="s">
        <v>128</v>
      </c>
      <c r="N42" s="1" t="s">
        <v>495</v>
      </c>
      <c r="O42" s="1" t="s">
        <v>5</v>
      </c>
    </row>
    <row r="43">
      <c r="A43" s="1" t="s">
        <v>497</v>
      </c>
      <c r="B43" s="1">
        <v>1.1416688772E10</v>
      </c>
      <c r="C43" s="1">
        <v>8.705508201E9</v>
      </c>
      <c r="D43" s="10"/>
      <c r="E43" s="10"/>
      <c r="F43" s="1" t="s">
        <v>426</v>
      </c>
      <c r="G43" s="1" t="s">
        <v>844</v>
      </c>
      <c r="H43" s="1" t="s">
        <v>849</v>
      </c>
      <c r="I43" s="1" t="s">
        <v>846</v>
      </c>
      <c r="J43" s="1">
        <v>1.8402405099E10</v>
      </c>
      <c r="K43" s="1">
        <v>1.8402405102E10</v>
      </c>
      <c r="L43" s="10"/>
      <c r="M43" s="1" t="s">
        <v>128</v>
      </c>
      <c r="N43" s="1" t="s">
        <v>497</v>
      </c>
      <c r="O43" s="1" t="s">
        <v>426</v>
      </c>
    </row>
    <row r="44">
      <c r="A44" s="1" t="s">
        <v>499</v>
      </c>
      <c r="B44" s="1">
        <v>1.141671401E10</v>
      </c>
      <c r="C44" s="1">
        <v>8.705508201E9</v>
      </c>
      <c r="D44" s="10"/>
      <c r="E44" s="10"/>
      <c r="F44" s="1" t="s">
        <v>431</v>
      </c>
      <c r="G44" s="1" t="s">
        <v>844</v>
      </c>
      <c r="H44" s="1" t="s">
        <v>845</v>
      </c>
      <c r="I44" s="1" t="s">
        <v>846</v>
      </c>
      <c r="J44" s="1">
        <v>1.8402405438E10</v>
      </c>
      <c r="K44" s="1">
        <v>1.8402405436E10</v>
      </c>
      <c r="L44" s="10"/>
      <c r="M44" s="1" t="s">
        <v>128</v>
      </c>
      <c r="N44" s="1" t="s">
        <v>499</v>
      </c>
      <c r="O44" s="1" t="s">
        <v>431</v>
      </c>
    </row>
    <row r="45">
      <c r="A45" s="1" t="s">
        <v>501</v>
      </c>
      <c r="B45" s="1">
        <v>1.1416944892E10</v>
      </c>
      <c r="C45" s="1">
        <v>8.705508201E9</v>
      </c>
      <c r="E45" s="10"/>
      <c r="F45" s="1" t="s">
        <v>32</v>
      </c>
      <c r="G45" s="1" t="s">
        <v>844</v>
      </c>
      <c r="H45" s="1" t="s">
        <v>845</v>
      </c>
      <c r="I45" s="1" t="s">
        <v>846</v>
      </c>
      <c r="J45" s="1">
        <v>1.8402410994E10</v>
      </c>
      <c r="K45" s="1">
        <v>1.8402410992E10</v>
      </c>
      <c r="L45" s="10"/>
      <c r="M45" s="1" t="s">
        <v>847</v>
      </c>
      <c r="N45" s="1" t="s">
        <v>501</v>
      </c>
      <c r="O45" s="1" t="s">
        <v>32</v>
      </c>
    </row>
    <row r="46">
      <c r="A46" s="1" t="s">
        <v>278</v>
      </c>
      <c r="B46" s="1">
        <v>1.1426078226E10</v>
      </c>
      <c r="C46" s="1">
        <v>8.705508201E9</v>
      </c>
      <c r="E46" s="1" t="s">
        <v>859</v>
      </c>
      <c r="F46" s="1" t="s">
        <v>5</v>
      </c>
      <c r="G46" s="1" t="s">
        <v>860</v>
      </c>
      <c r="H46" s="1" t="s">
        <v>849</v>
      </c>
      <c r="I46" s="1" t="s">
        <v>846</v>
      </c>
      <c r="J46" s="1">
        <v>1.8402563983E10</v>
      </c>
      <c r="K46" s="1">
        <v>1.8402563985E10</v>
      </c>
      <c r="L46" s="10"/>
      <c r="M46" s="1" t="s">
        <v>128</v>
      </c>
      <c r="N46" s="1" t="s">
        <v>277</v>
      </c>
      <c r="O46" s="1" t="s">
        <v>5</v>
      </c>
    </row>
    <row r="47">
      <c r="A47" s="1" t="s">
        <v>281</v>
      </c>
      <c r="B47" s="1">
        <v>1.1426059749E10</v>
      </c>
      <c r="C47" s="1">
        <v>8.705508201E9</v>
      </c>
      <c r="E47" s="1" t="s">
        <v>861</v>
      </c>
      <c r="F47" s="1" t="s">
        <v>5</v>
      </c>
      <c r="G47" s="1" t="s">
        <v>844</v>
      </c>
      <c r="H47" s="1" t="s">
        <v>845</v>
      </c>
      <c r="I47" s="1" t="s">
        <v>846</v>
      </c>
      <c r="J47" s="1">
        <v>1.8402563866E10</v>
      </c>
      <c r="K47" s="1">
        <v>1.8402563865E10</v>
      </c>
      <c r="L47" s="10"/>
      <c r="M47" s="1" t="s">
        <v>128</v>
      </c>
      <c r="N47" s="1" t="s">
        <v>281</v>
      </c>
      <c r="O47" s="1" t="s">
        <v>5</v>
      </c>
    </row>
    <row r="48">
      <c r="A48" s="1" t="s">
        <v>503</v>
      </c>
      <c r="B48" s="1">
        <v>1.1416861335E10</v>
      </c>
      <c r="C48" s="1">
        <v>8.705508201E9</v>
      </c>
      <c r="E48" s="10"/>
      <c r="F48" s="1" t="s">
        <v>504</v>
      </c>
      <c r="G48" s="1" t="s">
        <v>844</v>
      </c>
      <c r="H48" s="1" t="s">
        <v>845</v>
      </c>
      <c r="I48" s="1" t="s">
        <v>846</v>
      </c>
      <c r="J48" s="1">
        <v>1.8402409E10</v>
      </c>
      <c r="K48" s="1">
        <v>1.8402409002E10</v>
      </c>
      <c r="L48" s="10"/>
      <c r="M48" s="1" t="s">
        <v>847</v>
      </c>
      <c r="N48" s="1" t="s">
        <v>503</v>
      </c>
      <c r="O48" s="1" t="s">
        <v>504</v>
      </c>
    </row>
    <row r="49">
      <c r="A49" s="1" t="s">
        <v>506</v>
      </c>
      <c r="B49" s="1">
        <v>1.1416878214E10</v>
      </c>
      <c r="C49" s="1">
        <v>8.705508201E9</v>
      </c>
      <c r="E49" s="10"/>
      <c r="F49" s="1" t="s">
        <v>504</v>
      </c>
      <c r="G49" s="1" t="s">
        <v>844</v>
      </c>
      <c r="H49" s="1" t="s">
        <v>845</v>
      </c>
      <c r="I49" s="1" t="s">
        <v>846</v>
      </c>
      <c r="J49" s="1">
        <v>1.8402409223E10</v>
      </c>
      <c r="K49" s="1">
        <v>1.8402409227E10</v>
      </c>
      <c r="L49" s="10"/>
      <c r="M49" s="1" t="s">
        <v>847</v>
      </c>
      <c r="N49" s="1" t="s">
        <v>506</v>
      </c>
      <c r="O49" s="1" t="s">
        <v>504</v>
      </c>
    </row>
    <row r="50">
      <c r="A50" s="1" t="s">
        <v>508</v>
      </c>
      <c r="B50" s="1">
        <v>1.1416804648E10</v>
      </c>
      <c r="C50" s="1">
        <v>8.705508201E9</v>
      </c>
      <c r="E50" s="10"/>
      <c r="F50" s="1" t="s">
        <v>431</v>
      </c>
      <c r="G50" s="1" t="s">
        <v>844</v>
      </c>
      <c r="H50" s="1" t="s">
        <v>791</v>
      </c>
      <c r="I50" s="1" t="s">
        <v>846</v>
      </c>
      <c r="J50" s="1">
        <v>1.8402407264E10</v>
      </c>
      <c r="K50" s="1">
        <v>1.8402407256E10</v>
      </c>
      <c r="L50" s="10"/>
      <c r="M50" s="1" t="s">
        <v>847</v>
      </c>
      <c r="N50" s="1" t="s">
        <v>508</v>
      </c>
      <c r="O50" s="1" t="s">
        <v>431</v>
      </c>
    </row>
    <row r="51">
      <c r="A51" s="1" t="s">
        <v>510</v>
      </c>
      <c r="B51" s="1">
        <v>1.1426026636E10</v>
      </c>
      <c r="C51" s="1">
        <v>8.705508201E9</v>
      </c>
      <c r="E51" s="1" t="s">
        <v>862</v>
      </c>
      <c r="F51" s="1" t="s">
        <v>5</v>
      </c>
      <c r="G51" s="1" t="s">
        <v>844</v>
      </c>
      <c r="H51" s="1" t="s">
        <v>863</v>
      </c>
      <c r="I51" s="1" t="s">
        <v>846</v>
      </c>
      <c r="J51" s="1">
        <v>1.840256417E10</v>
      </c>
      <c r="K51" s="1">
        <v>1.8402564171E10</v>
      </c>
      <c r="L51" s="10"/>
      <c r="M51" s="10"/>
      <c r="N51" s="1" t="s">
        <v>510</v>
      </c>
      <c r="O51" s="1" t="s">
        <v>5</v>
      </c>
    </row>
    <row r="52">
      <c r="A52" s="1" t="s">
        <v>512</v>
      </c>
      <c r="B52" s="1">
        <v>1.1416806468E10</v>
      </c>
      <c r="C52" s="1">
        <v>8.705508201E9</v>
      </c>
      <c r="E52" s="10"/>
      <c r="F52" s="1" t="s">
        <v>513</v>
      </c>
      <c r="G52" s="1" t="s">
        <v>844</v>
      </c>
      <c r="H52" s="1" t="s">
        <v>849</v>
      </c>
      <c r="I52" s="1" t="s">
        <v>846</v>
      </c>
      <c r="J52" s="1">
        <v>1.8402407798E10</v>
      </c>
      <c r="K52" s="1">
        <v>1.8402407796E10</v>
      </c>
      <c r="M52" s="1" t="s">
        <v>847</v>
      </c>
      <c r="N52" s="1" t="s">
        <v>512</v>
      </c>
      <c r="O52" s="1" t="s">
        <v>513</v>
      </c>
    </row>
    <row r="53">
      <c r="A53" s="1" t="s">
        <v>515</v>
      </c>
      <c r="B53" s="1">
        <v>1.1416843889E10</v>
      </c>
      <c r="C53" s="1">
        <v>8.705508201E9</v>
      </c>
      <c r="F53" s="1" t="s">
        <v>504</v>
      </c>
      <c r="G53" s="1" t="s">
        <v>844</v>
      </c>
      <c r="H53" s="1" t="s">
        <v>845</v>
      </c>
      <c r="I53" s="1" t="s">
        <v>846</v>
      </c>
      <c r="J53" s="1">
        <v>1.8402408813E10</v>
      </c>
      <c r="K53" s="1">
        <v>1.840240881E10</v>
      </c>
      <c r="M53" s="1" t="s">
        <v>864</v>
      </c>
      <c r="N53" s="1" t="s">
        <v>515</v>
      </c>
      <c r="O53" s="1" t="s">
        <v>504</v>
      </c>
    </row>
    <row r="54">
      <c r="A54" s="1" t="s">
        <v>246</v>
      </c>
      <c r="B54" s="1">
        <v>1.1426083228E10</v>
      </c>
      <c r="C54" s="1">
        <v>8.705508201E9</v>
      </c>
      <c r="E54" s="10"/>
      <c r="F54" s="1" t="s">
        <v>5</v>
      </c>
      <c r="G54" s="1" t="s">
        <v>844</v>
      </c>
      <c r="H54" s="1" t="s">
        <v>849</v>
      </c>
      <c r="I54" s="1" t="s">
        <v>846</v>
      </c>
      <c r="J54" s="1">
        <v>1.8402564263E10</v>
      </c>
      <c r="K54" s="1">
        <v>1.8402564264E10</v>
      </c>
      <c r="M54" s="1" t="s">
        <v>128</v>
      </c>
      <c r="N54" s="1" t="s">
        <v>246</v>
      </c>
      <c r="O54" s="1" t="s">
        <v>5</v>
      </c>
    </row>
    <row r="55">
      <c r="A55" s="1" t="s">
        <v>517</v>
      </c>
      <c r="B55" s="1">
        <v>1.1426082645E10</v>
      </c>
      <c r="C55" s="1">
        <v>8.705508201E9</v>
      </c>
      <c r="E55" s="1" t="s">
        <v>865</v>
      </c>
      <c r="F55" s="1" t="s">
        <v>5</v>
      </c>
      <c r="G55" s="1" t="s">
        <v>857</v>
      </c>
      <c r="H55" s="1" t="s">
        <v>848</v>
      </c>
      <c r="I55" s="1" t="s">
        <v>846</v>
      </c>
      <c r="J55" s="1">
        <v>1.8402564352E10</v>
      </c>
      <c r="K55" s="1">
        <v>1.840256435E10</v>
      </c>
      <c r="M55" s="1" t="s">
        <v>847</v>
      </c>
      <c r="N55" s="1" t="s">
        <v>517</v>
      </c>
      <c r="O55" s="1" t="s">
        <v>5</v>
      </c>
    </row>
    <row r="56">
      <c r="A56" s="1" t="s">
        <v>519</v>
      </c>
      <c r="B56" s="1">
        <v>1.1416699172E10</v>
      </c>
      <c r="C56" s="1">
        <v>8.705508201E9</v>
      </c>
      <c r="F56" s="1" t="s">
        <v>426</v>
      </c>
      <c r="G56" s="1" t="s">
        <v>844</v>
      </c>
      <c r="H56" s="1" t="s">
        <v>845</v>
      </c>
      <c r="I56" s="1" t="s">
        <v>846</v>
      </c>
      <c r="J56" s="1">
        <v>1.8402405223E10</v>
      </c>
      <c r="K56" s="1">
        <v>1.8402405224E10</v>
      </c>
      <c r="M56" s="1" t="s">
        <v>128</v>
      </c>
      <c r="N56" s="1" t="s">
        <v>519</v>
      </c>
      <c r="O56" s="1" t="s">
        <v>426</v>
      </c>
    </row>
    <row r="57">
      <c r="A57" s="1" t="s">
        <v>521</v>
      </c>
      <c r="B57" s="1">
        <v>1.1416872057E10</v>
      </c>
      <c r="C57" s="1">
        <v>8.705508201E9</v>
      </c>
      <c r="F57" s="1" t="s">
        <v>504</v>
      </c>
      <c r="G57" s="1" t="s">
        <v>844</v>
      </c>
      <c r="H57" s="1" t="s">
        <v>845</v>
      </c>
      <c r="I57" s="1" t="s">
        <v>846</v>
      </c>
      <c r="J57" s="1">
        <v>1.8402409269E10</v>
      </c>
      <c r="K57" s="1">
        <v>1.8402409275E10</v>
      </c>
      <c r="M57" s="1" t="s">
        <v>847</v>
      </c>
      <c r="N57" s="1" t="s">
        <v>521</v>
      </c>
      <c r="O57" s="1" t="s">
        <v>504</v>
      </c>
    </row>
    <row r="58">
      <c r="A58" s="1" t="s">
        <v>523</v>
      </c>
      <c r="B58" s="1">
        <v>1.1416903679E10</v>
      </c>
      <c r="C58" s="1">
        <v>8.705508201E9</v>
      </c>
      <c r="F58" s="1" t="s">
        <v>32</v>
      </c>
      <c r="G58" s="1" t="s">
        <v>844</v>
      </c>
      <c r="H58" s="1" t="s">
        <v>845</v>
      </c>
      <c r="I58" s="1" t="s">
        <v>846</v>
      </c>
      <c r="J58" s="1">
        <v>1.8402410902E10</v>
      </c>
      <c r="K58" s="1">
        <v>1.8402410904E10</v>
      </c>
      <c r="M58" s="1" t="s">
        <v>847</v>
      </c>
      <c r="N58" s="1" t="s">
        <v>523</v>
      </c>
      <c r="O58" s="1" t="s">
        <v>32</v>
      </c>
    </row>
    <row r="59">
      <c r="A59" s="1" t="s">
        <v>525</v>
      </c>
      <c r="B59" s="1">
        <v>1.1417599996E10</v>
      </c>
      <c r="C59" s="1">
        <v>8.705508201E9</v>
      </c>
      <c r="E59" s="10"/>
      <c r="F59" s="1" t="s">
        <v>442</v>
      </c>
      <c r="G59" s="1" t="s">
        <v>844</v>
      </c>
      <c r="H59" s="1" t="s">
        <v>845</v>
      </c>
      <c r="I59" s="1" t="s">
        <v>846</v>
      </c>
      <c r="J59" s="1">
        <v>1.8402556782E10</v>
      </c>
      <c r="K59" s="1">
        <v>1.8402556784E10</v>
      </c>
      <c r="M59" s="1" t="s">
        <v>847</v>
      </c>
      <c r="N59" s="1" t="s">
        <v>525</v>
      </c>
      <c r="O59" s="1" t="s">
        <v>442</v>
      </c>
    </row>
    <row r="60">
      <c r="A60" s="1" t="s">
        <v>527</v>
      </c>
      <c r="B60" s="1">
        <v>1.1416928614E10</v>
      </c>
      <c r="C60" s="1">
        <v>8.705508201E9</v>
      </c>
      <c r="F60" s="1" t="s">
        <v>32</v>
      </c>
      <c r="G60" s="1" t="s">
        <v>844</v>
      </c>
      <c r="H60" s="1" t="s">
        <v>845</v>
      </c>
      <c r="I60" s="1" t="s">
        <v>846</v>
      </c>
      <c r="J60" s="1">
        <v>1.8402410494E10</v>
      </c>
      <c r="K60" s="1">
        <v>1.8402410492E10</v>
      </c>
      <c r="M60" s="1" t="s">
        <v>847</v>
      </c>
      <c r="N60" s="1" t="s">
        <v>527</v>
      </c>
      <c r="O60" s="1" t="s">
        <v>32</v>
      </c>
    </row>
    <row r="61">
      <c r="A61" s="1" t="s">
        <v>529</v>
      </c>
      <c r="B61" s="1">
        <v>1.1416686074E10</v>
      </c>
      <c r="C61" s="1">
        <v>8.705508201E9</v>
      </c>
      <c r="E61" s="10"/>
      <c r="F61" s="1" t="s">
        <v>426</v>
      </c>
      <c r="G61" s="1" t="s">
        <v>844</v>
      </c>
      <c r="H61" s="1" t="s">
        <v>863</v>
      </c>
      <c r="I61" s="1" t="s">
        <v>846</v>
      </c>
      <c r="J61" s="1">
        <v>1.8402404979E10</v>
      </c>
      <c r="K61" s="1">
        <v>1.840240498E10</v>
      </c>
      <c r="M61" s="1" t="s">
        <v>128</v>
      </c>
      <c r="N61" s="1" t="s">
        <v>529</v>
      </c>
      <c r="O61" s="10"/>
    </row>
    <row r="62">
      <c r="A62" s="1" t="s">
        <v>227</v>
      </c>
      <c r="B62" s="1">
        <v>1.1426087917E10</v>
      </c>
      <c r="C62" s="1">
        <v>8.705508201E9</v>
      </c>
      <c r="E62" s="1" t="s">
        <v>866</v>
      </c>
      <c r="F62" s="1" t="s">
        <v>5</v>
      </c>
      <c r="G62" s="1" t="s">
        <v>844</v>
      </c>
      <c r="H62" s="1" t="s">
        <v>845</v>
      </c>
      <c r="I62" s="1" t="s">
        <v>846</v>
      </c>
      <c r="J62" s="1">
        <v>1.8402564488E10</v>
      </c>
      <c r="K62" s="1">
        <v>1.840256449E10</v>
      </c>
      <c r="M62" s="1" t="s">
        <v>847</v>
      </c>
      <c r="N62" s="1" t="s">
        <v>227</v>
      </c>
      <c r="O62" s="1" t="s">
        <v>5</v>
      </c>
    </row>
    <row r="63">
      <c r="A63" s="1" t="s">
        <v>867</v>
      </c>
      <c r="B63" s="1">
        <v>1.1416650867E10</v>
      </c>
      <c r="C63" s="1">
        <v>8.705508201E9</v>
      </c>
      <c r="F63" s="1" t="s">
        <v>439</v>
      </c>
      <c r="G63" s="1" t="s">
        <v>844</v>
      </c>
      <c r="H63" s="1" t="s">
        <v>845</v>
      </c>
      <c r="I63" s="1" t="s">
        <v>846</v>
      </c>
      <c r="J63" s="1">
        <v>1.8402404771E10</v>
      </c>
      <c r="K63" s="1">
        <v>1.8402404769E10</v>
      </c>
      <c r="M63" s="1" t="s">
        <v>128</v>
      </c>
      <c r="N63" s="1" t="s">
        <v>867</v>
      </c>
      <c r="O63" s="10"/>
    </row>
    <row r="64">
      <c r="A64" s="1" t="s">
        <v>868</v>
      </c>
      <c r="B64" s="1">
        <v>1.1416702753E10</v>
      </c>
      <c r="C64" s="1">
        <v>8.705508201E9</v>
      </c>
      <c r="E64" s="10"/>
      <c r="F64" s="1" t="s">
        <v>426</v>
      </c>
      <c r="G64" s="1" t="s">
        <v>844</v>
      </c>
      <c r="H64" s="1" t="s">
        <v>845</v>
      </c>
      <c r="I64" s="1" t="s">
        <v>846</v>
      </c>
      <c r="J64" s="1">
        <v>1.8402563361E10</v>
      </c>
      <c r="K64" s="1">
        <v>1.8402405311E10</v>
      </c>
      <c r="M64" s="1" t="s">
        <v>128</v>
      </c>
      <c r="N64" s="1" t="s">
        <v>868</v>
      </c>
      <c r="O64" s="1" t="s">
        <v>426</v>
      </c>
    </row>
    <row r="65">
      <c r="A65" s="1" t="s">
        <v>259</v>
      </c>
      <c r="B65" s="1">
        <v>1.1426109451E10</v>
      </c>
      <c r="C65" s="1">
        <v>8.705508201E9</v>
      </c>
      <c r="E65" s="1" t="s">
        <v>869</v>
      </c>
      <c r="F65" s="1" t="s">
        <v>5</v>
      </c>
      <c r="G65" s="1" t="s">
        <v>844</v>
      </c>
      <c r="H65" s="1" t="s">
        <v>848</v>
      </c>
      <c r="I65" s="1" t="s">
        <v>846</v>
      </c>
      <c r="J65" s="1">
        <v>1.8402564676E10</v>
      </c>
      <c r="K65" s="1">
        <v>1.8402564677E10</v>
      </c>
      <c r="M65" s="1" t="s">
        <v>847</v>
      </c>
      <c r="N65" s="1" t="s">
        <v>259</v>
      </c>
      <c r="O65" s="1" t="s">
        <v>5</v>
      </c>
    </row>
    <row r="66">
      <c r="A66" s="1" t="s">
        <v>531</v>
      </c>
      <c r="B66" s="1">
        <v>1.1416703131E10</v>
      </c>
      <c r="C66" s="1">
        <v>8.705508201E9</v>
      </c>
      <c r="F66" s="1" t="s">
        <v>431</v>
      </c>
      <c r="G66" s="1" t="s">
        <v>844</v>
      </c>
      <c r="H66" s="1" t="s">
        <v>845</v>
      </c>
      <c r="I66" s="1" t="s">
        <v>846</v>
      </c>
      <c r="J66" s="1">
        <v>1.8402407051E10</v>
      </c>
      <c r="K66" s="1">
        <v>1.8402407055E10</v>
      </c>
      <c r="M66" s="1" t="s">
        <v>847</v>
      </c>
      <c r="N66" s="1" t="s">
        <v>531</v>
      </c>
      <c r="O66" s="10"/>
    </row>
    <row r="67">
      <c r="A67" s="1" t="s">
        <v>234</v>
      </c>
      <c r="B67" s="1">
        <v>8.707596675E9</v>
      </c>
      <c r="C67" s="1">
        <v>8.705508201E9</v>
      </c>
      <c r="E67" s="1" t="s">
        <v>870</v>
      </c>
      <c r="F67" s="1" t="s">
        <v>5</v>
      </c>
      <c r="G67" s="1" t="s">
        <v>844</v>
      </c>
      <c r="H67" s="1" t="s">
        <v>848</v>
      </c>
      <c r="I67" s="1" t="s">
        <v>871</v>
      </c>
      <c r="J67" s="1">
        <v>1.8402565546E10</v>
      </c>
      <c r="K67" s="1">
        <v>1.8402565547E10</v>
      </c>
      <c r="M67" s="1" t="s">
        <v>847</v>
      </c>
      <c r="N67" s="1" t="s">
        <v>234</v>
      </c>
      <c r="O67" s="1" t="s">
        <v>5</v>
      </c>
    </row>
    <row r="68">
      <c r="A68" s="1" t="s">
        <v>533</v>
      </c>
      <c r="B68" s="1">
        <v>1.141679985E10</v>
      </c>
      <c r="C68" s="1">
        <v>8.705508201E9</v>
      </c>
      <c r="E68" s="10"/>
      <c r="F68" s="1" t="s">
        <v>504</v>
      </c>
      <c r="G68" s="1" t="s">
        <v>844</v>
      </c>
      <c r="H68" s="1" t="s">
        <v>848</v>
      </c>
      <c r="I68" s="1" t="s">
        <v>846</v>
      </c>
      <c r="J68" s="1">
        <v>1.8402407903E10</v>
      </c>
      <c r="K68" s="1">
        <v>1.8402407901E10</v>
      </c>
      <c r="M68" s="1" t="s">
        <v>847</v>
      </c>
      <c r="N68" s="1" t="s">
        <v>533</v>
      </c>
      <c r="O68" s="1" t="s">
        <v>504</v>
      </c>
    </row>
    <row r="69">
      <c r="A69" s="1" t="s">
        <v>293</v>
      </c>
      <c r="B69" s="1">
        <v>1.1426145034E10</v>
      </c>
      <c r="C69" s="1">
        <v>8.705508201E9</v>
      </c>
      <c r="F69" s="1" t="s">
        <v>5</v>
      </c>
      <c r="G69" s="1" t="s">
        <v>844</v>
      </c>
      <c r="H69" s="1" t="s">
        <v>848</v>
      </c>
      <c r="I69" s="1" t="s">
        <v>846</v>
      </c>
      <c r="J69" s="1">
        <v>1.8402565219E10</v>
      </c>
      <c r="K69" s="1">
        <v>1.8402565212E10</v>
      </c>
      <c r="M69" s="1" t="s">
        <v>847</v>
      </c>
      <c r="N69" s="1" t="s">
        <v>293</v>
      </c>
      <c r="O69" s="1" t="s">
        <v>5</v>
      </c>
    </row>
    <row r="70">
      <c r="A70" s="1" t="s">
        <v>535</v>
      </c>
      <c r="B70" s="1">
        <v>1.1416657893E10</v>
      </c>
      <c r="C70" s="1">
        <v>8.705508201E9</v>
      </c>
      <c r="E70" s="10"/>
      <c r="F70" s="1" t="s">
        <v>439</v>
      </c>
      <c r="G70" s="1" t="s">
        <v>844</v>
      </c>
      <c r="H70" s="1" t="s">
        <v>845</v>
      </c>
      <c r="I70" s="1" t="s">
        <v>846</v>
      </c>
      <c r="J70" s="1">
        <v>1.8402404629E10</v>
      </c>
      <c r="K70" s="1">
        <v>1.8402404637E10</v>
      </c>
      <c r="M70" s="1" t="s">
        <v>128</v>
      </c>
      <c r="N70" s="1" t="s">
        <v>535</v>
      </c>
      <c r="O70" s="1" t="s">
        <v>439</v>
      </c>
    </row>
    <row r="71">
      <c r="A71" s="1" t="s">
        <v>537</v>
      </c>
      <c r="B71" s="1">
        <v>1.1416903682E10</v>
      </c>
      <c r="C71" s="1">
        <v>8.705508201E9</v>
      </c>
      <c r="F71" s="1" t="s">
        <v>491</v>
      </c>
      <c r="G71" s="1" t="s">
        <v>844</v>
      </c>
      <c r="H71" s="1" t="s">
        <v>845</v>
      </c>
      <c r="I71" s="1" t="s">
        <v>846</v>
      </c>
      <c r="J71" s="1">
        <v>1.840241027E10</v>
      </c>
      <c r="K71" s="1">
        <v>1.8402410273E10</v>
      </c>
      <c r="M71" s="1" t="s">
        <v>847</v>
      </c>
      <c r="N71" s="1" t="s">
        <v>537</v>
      </c>
      <c r="O71" s="10"/>
    </row>
    <row r="72">
      <c r="A72" s="1" t="s">
        <v>539</v>
      </c>
      <c r="B72" s="1">
        <v>1.1416860993E10</v>
      </c>
      <c r="C72" s="1">
        <v>8.705508201E9</v>
      </c>
      <c r="F72" s="1" t="s">
        <v>504</v>
      </c>
      <c r="G72" s="1" t="s">
        <v>844</v>
      </c>
      <c r="H72" s="1" t="s">
        <v>845</v>
      </c>
      <c r="I72" s="1" t="s">
        <v>846</v>
      </c>
      <c r="J72" s="1">
        <v>1.8402408094E10</v>
      </c>
      <c r="K72" s="1">
        <v>1.8402408092E10</v>
      </c>
      <c r="M72" s="1" t="s">
        <v>864</v>
      </c>
      <c r="N72" s="1" t="s">
        <v>539</v>
      </c>
      <c r="O72" s="1" t="s">
        <v>504</v>
      </c>
    </row>
    <row r="73">
      <c r="A73" s="1" t="s">
        <v>541</v>
      </c>
      <c r="B73" s="1">
        <v>1.1416814244E10</v>
      </c>
      <c r="C73" s="1">
        <v>8.705508201E9</v>
      </c>
      <c r="F73" s="1" t="s">
        <v>513</v>
      </c>
      <c r="G73" s="1" t="s">
        <v>844</v>
      </c>
      <c r="H73" s="1" t="s">
        <v>849</v>
      </c>
      <c r="I73" s="1" t="s">
        <v>846</v>
      </c>
      <c r="J73" s="1">
        <v>1.8402407709E10</v>
      </c>
      <c r="K73" s="1">
        <v>1.840240771E10</v>
      </c>
      <c r="M73" s="10"/>
      <c r="N73" s="1" t="s">
        <v>541</v>
      </c>
      <c r="O73" s="1" t="s">
        <v>513</v>
      </c>
    </row>
    <row r="74">
      <c r="A74" s="1" t="s">
        <v>872</v>
      </c>
      <c r="B74" s="1">
        <v>1.1416906711E10</v>
      </c>
      <c r="C74" s="1">
        <v>8.705508201E9</v>
      </c>
      <c r="F74" s="1" t="s">
        <v>491</v>
      </c>
      <c r="G74" s="1" t="s">
        <v>844</v>
      </c>
      <c r="H74" s="1" t="s">
        <v>845</v>
      </c>
      <c r="I74" s="1" t="s">
        <v>846</v>
      </c>
      <c r="J74" s="1">
        <v>1.8402409783E10</v>
      </c>
      <c r="K74" s="1">
        <v>1.8402409782E10</v>
      </c>
      <c r="M74" s="1" t="s">
        <v>847</v>
      </c>
      <c r="N74" s="1" t="s">
        <v>543</v>
      </c>
      <c r="O74" s="1" t="s">
        <v>491</v>
      </c>
    </row>
    <row r="75">
      <c r="A75" s="1" t="s">
        <v>545</v>
      </c>
      <c r="B75" s="1">
        <v>1.1416915309E10</v>
      </c>
      <c r="C75" s="1">
        <v>8.705508201E9</v>
      </c>
      <c r="F75" s="1" t="s">
        <v>491</v>
      </c>
      <c r="G75" s="1" t="s">
        <v>844</v>
      </c>
      <c r="H75" s="1" t="s">
        <v>845</v>
      </c>
      <c r="I75" s="1" t="s">
        <v>846</v>
      </c>
      <c r="J75" s="1">
        <v>1.8402410404E10</v>
      </c>
      <c r="K75" s="1">
        <v>1.8402410403E10</v>
      </c>
      <c r="M75" s="1" t="s">
        <v>864</v>
      </c>
      <c r="N75" s="1" t="s">
        <v>545</v>
      </c>
      <c r="O75" s="1" t="s">
        <v>491</v>
      </c>
    </row>
    <row r="76">
      <c r="A76" s="10"/>
      <c r="B76" s="10"/>
      <c r="C76" s="10"/>
      <c r="F76" s="10"/>
      <c r="G76" s="10"/>
      <c r="H76" s="10"/>
      <c r="I76" s="10"/>
      <c r="J76" s="10"/>
      <c r="K76" s="10"/>
      <c r="M76" s="10"/>
      <c r="N76" s="10"/>
      <c r="O76" s="1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3" max="3" width="29.63"/>
    <col customWidth="1" min="4" max="4" width="24.25"/>
  </cols>
  <sheetData>
    <row r="1">
      <c r="A1" s="1" t="s">
        <v>873</v>
      </c>
      <c r="B1" s="1" t="s">
        <v>874</v>
      </c>
      <c r="C1" s="1" t="s">
        <v>875</v>
      </c>
      <c r="D1" s="1" t="s">
        <v>876</v>
      </c>
    </row>
    <row r="2">
      <c r="A2" s="1" t="s">
        <v>30</v>
      </c>
      <c r="B2" s="1">
        <v>9.791255941E9</v>
      </c>
      <c r="C2" s="1" t="s">
        <v>877</v>
      </c>
      <c r="D2" s="21" t="s">
        <v>878</v>
      </c>
    </row>
    <row r="3">
      <c r="A3" s="1" t="s">
        <v>49</v>
      </c>
      <c r="B3" s="1">
        <v>9.79127239E9</v>
      </c>
      <c r="C3" s="1" t="s">
        <v>879</v>
      </c>
      <c r="D3" s="1" t="s">
        <v>880</v>
      </c>
    </row>
    <row r="4">
      <c r="A4" s="1" t="s">
        <v>881</v>
      </c>
      <c r="B4" s="1">
        <v>1.8374691224E10</v>
      </c>
      <c r="C4" s="1" t="s">
        <v>882</v>
      </c>
      <c r="D4" s="1" t="s">
        <v>883</v>
      </c>
      <c r="F4" s="22"/>
    </row>
    <row r="5">
      <c r="A5" s="1" t="s">
        <v>687</v>
      </c>
      <c r="B5" s="23">
        <v>1.837501336E10</v>
      </c>
      <c r="C5" s="1" t="s">
        <v>884</v>
      </c>
      <c r="D5" s="1" t="s">
        <v>42</v>
      </c>
      <c r="F5" s="22"/>
    </row>
    <row r="6">
      <c r="F6" s="22"/>
    </row>
    <row r="7">
      <c r="F7" s="22"/>
    </row>
    <row r="8">
      <c r="F8" s="22"/>
    </row>
    <row r="9">
      <c r="F9" s="2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4" max="4" width="27.88"/>
  </cols>
  <sheetData>
    <row r="1">
      <c r="A1" s="1" t="s">
        <v>9</v>
      </c>
      <c r="B1" s="1" t="s">
        <v>10</v>
      </c>
      <c r="C1" s="1" t="s">
        <v>11</v>
      </c>
      <c r="D1" s="1" t="s">
        <v>12</v>
      </c>
      <c r="E1" s="1" t="s">
        <v>13</v>
      </c>
      <c r="F1" s="1" t="s">
        <v>14</v>
      </c>
      <c r="G1" s="1" t="s">
        <v>885</v>
      </c>
      <c r="H1" s="1" t="s">
        <v>76</v>
      </c>
      <c r="I1" s="1" t="s">
        <v>16</v>
      </c>
      <c r="J1" s="1" t="s">
        <v>886</v>
      </c>
      <c r="K1" s="1" t="s">
        <v>19</v>
      </c>
      <c r="L1" s="1" t="s">
        <v>887</v>
      </c>
      <c r="M1" s="1" t="s">
        <v>888</v>
      </c>
      <c r="N1" s="1" t="s">
        <v>889</v>
      </c>
      <c r="O1" s="1" t="s">
        <v>890</v>
      </c>
      <c r="P1" s="1" t="s">
        <v>118</v>
      </c>
      <c r="Q1" s="1" t="s">
        <v>27</v>
      </c>
      <c r="R1" s="1" t="s">
        <v>118</v>
      </c>
      <c r="S1" s="1" t="s">
        <v>27</v>
      </c>
    </row>
    <row r="2">
      <c r="A2" s="1" t="s">
        <v>891</v>
      </c>
      <c r="B2" s="1" t="s">
        <v>892</v>
      </c>
      <c r="C2" s="1" t="s">
        <v>893</v>
      </c>
      <c r="D2" s="1" t="s">
        <v>122</v>
      </c>
      <c r="E2" s="1">
        <v>1.8024022367E10</v>
      </c>
      <c r="F2" s="1">
        <v>9.770467355E9</v>
      </c>
      <c r="G2" s="1" t="s">
        <v>894</v>
      </c>
      <c r="H2" s="10"/>
      <c r="I2" s="1" t="s">
        <v>231</v>
      </c>
      <c r="J2" s="1">
        <v>2.0</v>
      </c>
      <c r="K2" s="1" t="s">
        <v>895</v>
      </c>
      <c r="L2" s="10"/>
      <c r="M2" s="11"/>
      <c r="N2" s="9">
        <v>45908.0</v>
      </c>
      <c r="Q2" s="10"/>
    </row>
    <row r="3">
      <c r="A3" s="1" t="s">
        <v>896</v>
      </c>
      <c r="B3" s="1" t="s">
        <v>892</v>
      </c>
      <c r="C3" s="1" t="s">
        <v>893</v>
      </c>
      <c r="D3" s="1" t="s">
        <v>122</v>
      </c>
      <c r="E3" s="1">
        <v>1.8024013075E10</v>
      </c>
      <c r="F3" s="1">
        <v>9.770467355E9</v>
      </c>
      <c r="G3" s="1" t="s">
        <v>897</v>
      </c>
      <c r="H3" s="10"/>
      <c r="I3" s="1" t="s">
        <v>231</v>
      </c>
      <c r="J3" s="1">
        <v>4.0</v>
      </c>
      <c r="K3" s="1" t="s">
        <v>898</v>
      </c>
      <c r="L3" s="10"/>
      <c r="M3" s="11"/>
      <c r="N3" s="9">
        <v>45887.0</v>
      </c>
      <c r="Q3" s="10"/>
    </row>
    <row r="4">
      <c r="A4" s="1" t="s">
        <v>899</v>
      </c>
      <c r="B4" s="1" t="s">
        <v>892</v>
      </c>
      <c r="C4" s="1" t="s">
        <v>893</v>
      </c>
      <c r="D4" s="1" t="s">
        <v>122</v>
      </c>
      <c r="E4" s="1">
        <v>1.8023986922E10</v>
      </c>
      <c r="F4" s="1">
        <v>9.770467355E9</v>
      </c>
      <c r="G4" s="1" t="s">
        <v>897</v>
      </c>
      <c r="H4" s="10"/>
      <c r="I4" s="1" t="s">
        <v>231</v>
      </c>
      <c r="J4" s="1">
        <v>1.0</v>
      </c>
      <c r="K4" s="1" t="s">
        <v>895</v>
      </c>
      <c r="L4" s="10"/>
      <c r="M4" s="11"/>
      <c r="N4" s="9">
        <v>45873.0</v>
      </c>
      <c r="Q4" s="10"/>
    </row>
    <row r="5">
      <c r="A5" s="1" t="s">
        <v>900</v>
      </c>
      <c r="B5" s="1" t="s">
        <v>892</v>
      </c>
      <c r="C5" s="1" t="s">
        <v>893</v>
      </c>
      <c r="D5" s="1" t="s">
        <v>122</v>
      </c>
      <c r="E5" s="1">
        <v>1.8023951154E10</v>
      </c>
      <c r="F5" s="1">
        <v>9.770467355E9</v>
      </c>
      <c r="G5" s="1" t="s">
        <v>901</v>
      </c>
      <c r="H5" s="10"/>
      <c r="I5" s="1" t="s">
        <v>231</v>
      </c>
      <c r="J5" s="1">
        <v>4.0</v>
      </c>
      <c r="K5" s="1" t="s">
        <v>898</v>
      </c>
      <c r="L5" s="10"/>
      <c r="M5" s="11"/>
      <c r="N5" s="9">
        <v>45957.0</v>
      </c>
      <c r="Q5" s="10"/>
    </row>
    <row r="6">
      <c r="A6" s="1" t="s">
        <v>902</v>
      </c>
      <c r="B6" s="1" t="s">
        <v>892</v>
      </c>
      <c r="C6" s="1" t="s">
        <v>893</v>
      </c>
      <c r="D6" s="1" t="s">
        <v>122</v>
      </c>
      <c r="E6" s="1">
        <v>1.8023934875E10</v>
      </c>
      <c r="F6" s="1">
        <v>9.770467355E9</v>
      </c>
      <c r="G6" s="1" t="s">
        <v>903</v>
      </c>
      <c r="H6" s="10"/>
      <c r="I6" s="1" t="s">
        <v>231</v>
      </c>
      <c r="J6" s="1">
        <v>1.0</v>
      </c>
      <c r="K6" s="1" t="s">
        <v>898</v>
      </c>
      <c r="L6" s="10"/>
      <c r="M6" s="11"/>
      <c r="N6" s="9">
        <v>45964.0</v>
      </c>
      <c r="Q6" s="10"/>
    </row>
    <row r="7">
      <c r="A7" s="1" t="s">
        <v>904</v>
      </c>
      <c r="B7" s="1" t="s">
        <v>892</v>
      </c>
      <c r="C7" s="1" t="s">
        <v>893</v>
      </c>
      <c r="D7" s="1" t="s">
        <v>122</v>
      </c>
      <c r="E7" s="1">
        <v>1.8023924937E10</v>
      </c>
      <c r="F7" s="1">
        <v>9.770467355E9</v>
      </c>
      <c r="G7" s="1" t="s">
        <v>903</v>
      </c>
      <c r="H7" s="10"/>
      <c r="I7" s="1" t="s">
        <v>231</v>
      </c>
      <c r="J7" s="1">
        <v>1.0</v>
      </c>
      <c r="K7" s="1" t="s">
        <v>905</v>
      </c>
      <c r="L7" s="10"/>
      <c r="M7" s="11"/>
      <c r="N7" s="9">
        <v>45964.0</v>
      </c>
      <c r="Q7" s="10"/>
    </row>
    <row r="8">
      <c r="A8" s="1" t="s">
        <v>906</v>
      </c>
      <c r="B8" s="1" t="s">
        <v>892</v>
      </c>
      <c r="C8" s="1" t="s">
        <v>893</v>
      </c>
      <c r="D8" s="1" t="s">
        <v>122</v>
      </c>
      <c r="E8" s="1">
        <v>1.8023921128E10</v>
      </c>
      <c r="F8" s="1">
        <v>9.770467355E9</v>
      </c>
      <c r="G8" s="1" t="s">
        <v>901</v>
      </c>
      <c r="H8" s="1" t="s">
        <v>441</v>
      </c>
      <c r="I8" s="1" t="s">
        <v>231</v>
      </c>
      <c r="J8" s="1">
        <v>3.0</v>
      </c>
      <c r="K8" s="1" t="s">
        <v>905</v>
      </c>
      <c r="L8" s="10"/>
      <c r="M8" s="11"/>
      <c r="N8" s="9">
        <v>45943.0</v>
      </c>
      <c r="Q8" s="10"/>
    </row>
    <row r="9">
      <c r="A9" s="1" t="s">
        <v>907</v>
      </c>
      <c r="B9" s="1" t="s">
        <v>892</v>
      </c>
      <c r="C9" s="1" t="s">
        <v>893</v>
      </c>
      <c r="D9" s="1" t="s">
        <v>122</v>
      </c>
      <c r="E9" s="1">
        <v>1.8023914409E10</v>
      </c>
      <c r="F9" s="1">
        <v>9.770467355E9</v>
      </c>
      <c r="G9" s="1" t="s">
        <v>901</v>
      </c>
      <c r="H9" s="10"/>
      <c r="I9" s="1" t="s">
        <v>231</v>
      </c>
      <c r="J9" s="1">
        <v>3.0</v>
      </c>
      <c r="K9" s="1" t="s">
        <v>905</v>
      </c>
      <c r="L9" s="10"/>
      <c r="M9" s="11"/>
      <c r="N9" s="9">
        <v>45943.0</v>
      </c>
      <c r="Q9" s="10"/>
    </row>
    <row r="10">
      <c r="A10" s="1" t="s">
        <v>908</v>
      </c>
      <c r="B10" s="1" t="s">
        <v>892</v>
      </c>
      <c r="C10" s="1" t="s">
        <v>893</v>
      </c>
      <c r="D10" s="1" t="s">
        <v>122</v>
      </c>
      <c r="E10" s="1">
        <v>1.8023906048E10</v>
      </c>
      <c r="F10" s="1">
        <v>9.770467355E9</v>
      </c>
      <c r="G10" s="1" t="s">
        <v>901</v>
      </c>
      <c r="H10" s="1" t="s">
        <v>724</v>
      </c>
      <c r="I10" s="1" t="s">
        <v>231</v>
      </c>
      <c r="J10" s="1">
        <v>2.0</v>
      </c>
      <c r="K10" s="1" t="s">
        <v>905</v>
      </c>
      <c r="L10" s="10"/>
      <c r="M10" s="11"/>
      <c r="N10" s="9">
        <v>45936.0</v>
      </c>
      <c r="Q10" s="10"/>
    </row>
    <row r="11">
      <c r="A11" s="1" t="s">
        <v>909</v>
      </c>
      <c r="B11" s="1" t="s">
        <v>892</v>
      </c>
      <c r="C11" s="1" t="s">
        <v>893</v>
      </c>
      <c r="D11" s="1" t="s">
        <v>122</v>
      </c>
      <c r="E11" s="1">
        <v>1.8023862471E10</v>
      </c>
      <c r="F11" s="1">
        <v>9.770467355E9</v>
      </c>
      <c r="G11" s="1" t="s">
        <v>894</v>
      </c>
      <c r="H11" s="1" t="s">
        <v>430</v>
      </c>
      <c r="I11" s="1" t="s">
        <v>231</v>
      </c>
      <c r="J11" s="1">
        <v>4.0</v>
      </c>
      <c r="K11" s="1" t="s">
        <v>910</v>
      </c>
      <c r="L11" s="10"/>
      <c r="M11" s="11"/>
      <c r="N11" s="9">
        <v>45922.0</v>
      </c>
      <c r="Q11" s="10"/>
      <c r="S11" s="24"/>
    </row>
    <row r="12">
      <c r="A12" s="1" t="s">
        <v>911</v>
      </c>
      <c r="B12" s="1" t="s">
        <v>892</v>
      </c>
      <c r="C12" s="1" t="s">
        <v>893</v>
      </c>
      <c r="D12" s="1" t="s">
        <v>122</v>
      </c>
      <c r="E12" s="1">
        <v>1.8023853987E10</v>
      </c>
      <c r="F12" s="1">
        <v>9.770467355E9</v>
      </c>
      <c r="G12" s="1" t="s">
        <v>894</v>
      </c>
      <c r="H12" s="1" t="s">
        <v>430</v>
      </c>
      <c r="I12" s="1" t="s">
        <v>231</v>
      </c>
      <c r="J12" s="1">
        <v>3.0</v>
      </c>
      <c r="K12" s="1" t="s">
        <v>910</v>
      </c>
      <c r="L12" s="10"/>
      <c r="M12" s="11"/>
      <c r="N12" s="9">
        <v>45915.0</v>
      </c>
      <c r="Q12" s="10"/>
    </row>
    <row r="13">
      <c r="A13" s="1" t="s">
        <v>912</v>
      </c>
      <c r="B13" s="1" t="s">
        <v>892</v>
      </c>
      <c r="C13" s="1" t="s">
        <v>893</v>
      </c>
      <c r="D13" s="1" t="s">
        <v>122</v>
      </c>
      <c r="E13" s="1">
        <v>9.771935915E9</v>
      </c>
      <c r="F13" s="1">
        <v>9.770467355E9</v>
      </c>
      <c r="G13" s="1" t="s">
        <v>897</v>
      </c>
      <c r="H13" s="10"/>
      <c r="I13" s="1" t="s">
        <v>231</v>
      </c>
      <c r="J13" s="1">
        <v>2.0</v>
      </c>
      <c r="K13" s="1" t="s">
        <v>895</v>
      </c>
      <c r="L13" s="10"/>
      <c r="M13" s="11"/>
      <c r="N13" s="9">
        <v>45873.0</v>
      </c>
      <c r="Q13" s="10"/>
    </row>
    <row r="14">
      <c r="A14" s="1" t="s">
        <v>913</v>
      </c>
      <c r="B14" s="1" t="s">
        <v>892</v>
      </c>
      <c r="C14" s="1" t="s">
        <v>893</v>
      </c>
      <c r="D14" s="1" t="s">
        <v>122</v>
      </c>
      <c r="E14" s="1">
        <v>9.771935473E9</v>
      </c>
      <c r="F14" s="1">
        <v>9.770467355E9</v>
      </c>
      <c r="G14" s="1" t="s">
        <v>897</v>
      </c>
      <c r="H14" s="10"/>
      <c r="I14" s="1" t="s">
        <v>231</v>
      </c>
      <c r="J14" s="1">
        <v>2.0</v>
      </c>
      <c r="K14" s="1" t="s">
        <v>895</v>
      </c>
      <c r="L14" s="10"/>
      <c r="M14" s="11"/>
      <c r="N14" s="9">
        <v>45873.0</v>
      </c>
      <c r="Q14" s="10"/>
    </row>
    <row r="15">
      <c r="A15" s="1" t="s">
        <v>914</v>
      </c>
      <c r="B15" s="1" t="s">
        <v>892</v>
      </c>
      <c r="C15" s="1" t="s">
        <v>893</v>
      </c>
      <c r="D15" s="1" t="s">
        <v>122</v>
      </c>
      <c r="E15" s="1">
        <v>9.771935508E9</v>
      </c>
      <c r="F15" s="1">
        <v>9.770467355E9</v>
      </c>
      <c r="G15" s="1" t="s">
        <v>897</v>
      </c>
      <c r="H15" s="10"/>
      <c r="I15" s="1" t="s">
        <v>231</v>
      </c>
      <c r="J15" s="1">
        <v>2.0</v>
      </c>
      <c r="K15" s="1" t="s">
        <v>895</v>
      </c>
      <c r="L15" s="10"/>
      <c r="M15" s="11"/>
      <c r="N15" s="9">
        <v>45873.0</v>
      </c>
      <c r="Q15" s="10"/>
    </row>
    <row r="16">
      <c r="A16" s="1" t="s">
        <v>912</v>
      </c>
      <c r="B16" s="1" t="s">
        <v>892</v>
      </c>
      <c r="C16" s="1" t="s">
        <v>893</v>
      </c>
      <c r="D16" s="1" t="s">
        <v>122</v>
      </c>
      <c r="E16" s="1">
        <v>9.771935531E9</v>
      </c>
      <c r="F16" s="1">
        <v>9.770467355E9</v>
      </c>
      <c r="G16" s="1" t="s">
        <v>894</v>
      </c>
      <c r="H16" s="10"/>
      <c r="I16" s="1" t="s">
        <v>231</v>
      </c>
      <c r="J16" s="1">
        <v>2.0</v>
      </c>
      <c r="K16" s="1" t="s">
        <v>895</v>
      </c>
      <c r="L16" s="10"/>
      <c r="M16" s="11"/>
      <c r="N16" s="9">
        <v>45907.0</v>
      </c>
      <c r="Q16" s="10"/>
    </row>
    <row r="17">
      <c r="A17" s="1" t="s">
        <v>915</v>
      </c>
      <c r="B17" s="1" t="s">
        <v>892</v>
      </c>
      <c r="C17" s="1" t="s">
        <v>893</v>
      </c>
      <c r="D17" s="1" t="s">
        <v>122</v>
      </c>
      <c r="E17" s="1">
        <v>1.8023840104E10</v>
      </c>
      <c r="F17" s="1">
        <v>9.770467355E9</v>
      </c>
      <c r="G17" s="1" t="s">
        <v>894</v>
      </c>
      <c r="H17" s="10"/>
      <c r="I17" s="1" t="s">
        <v>231</v>
      </c>
      <c r="J17" s="1">
        <v>2.0</v>
      </c>
      <c r="K17" s="1" t="s">
        <v>895</v>
      </c>
      <c r="L17" s="10"/>
      <c r="M17" s="11"/>
      <c r="N17" s="9">
        <v>45907.0</v>
      </c>
      <c r="Q17" s="10"/>
    </row>
    <row r="18">
      <c r="A18" s="1" t="s">
        <v>914</v>
      </c>
      <c r="B18" s="1" t="s">
        <v>892</v>
      </c>
      <c r="C18" s="1" t="s">
        <v>893</v>
      </c>
      <c r="D18" s="1" t="s">
        <v>122</v>
      </c>
      <c r="E18" s="1">
        <v>9.771935563E9</v>
      </c>
      <c r="F18" s="1">
        <v>9.770467355E9</v>
      </c>
      <c r="G18" s="1" t="s">
        <v>916</v>
      </c>
      <c r="H18" s="10"/>
      <c r="I18" s="1" t="s">
        <v>231</v>
      </c>
      <c r="J18" s="1">
        <v>3.0</v>
      </c>
      <c r="K18" s="1" t="s">
        <v>895</v>
      </c>
      <c r="L18" s="10"/>
      <c r="M18" s="11"/>
      <c r="N18" s="9">
        <v>46006.0</v>
      </c>
      <c r="Q18" s="10"/>
    </row>
    <row r="19">
      <c r="A19" s="1" t="s">
        <v>917</v>
      </c>
      <c r="B19" s="1" t="s">
        <v>892</v>
      </c>
      <c r="C19" s="1" t="s">
        <v>893</v>
      </c>
      <c r="D19" s="1" t="s">
        <v>122</v>
      </c>
      <c r="E19" s="1">
        <v>1.8023842917E10</v>
      </c>
      <c r="F19" s="1">
        <v>9.770467355E9</v>
      </c>
      <c r="G19" s="1" t="s">
        <v>916</v>
      </c>
      <c r="H19" s="10"/>
      <c r="I19" s="1" t="s">
        <v>231</v>
      </c>
      <c r="J19" s="1">
        <v>3.0</v>
      </c>
      <c r="K19" s="1" t="s">
        <v>895</v>
      </c>
      <c r="L19" s="10"/>
      <c r="M19" s="11"/>
      <c r="N19" s="9">
        <v>46006.0</v>
      </c>
      <c r="Q19" s="10"/>
    </row>
    <row r="20">
      <c r="A20" s="1" t="s">
        <v>918</v>
      </c>
      <c r="B20" s="1" t="s">
        <v>892</v>
      </c>
      <c r="C20" s="1" t="s">
        <v>893</v>
      </c>
      <c r="D20" s="1" t="s">
        <v>122</v>
      </c>
      <c r="E20" s="1">
        <v>9.771935591E9</v>
      </c>
      <c r="F20" s="1">
        <v>9.770467355E9</v>
      </c>
      <c r="G20" s="1" t="s">
        <v>901</v>
      </c>
      <c r="H20" s="10"/>
      <c r="I20" s="1" t="s">
        <v>231</v>
      </c>
      <c r="J20" s="1">
        <v>2.0</v>
      </c>
      <c r="K20" s="1" t="s">
        <v>895</v>
      </c>
      <c r="L20" s="10"/>
      <c r="M20" s="11"/>
      <c r="N20" s="9">
        <v>45937.0</v>
      </c>
      <c r="Q20" s="10"/>
    </row>
    <row r="21">
      <c r="A21" s="1" t="s">
        <v>912</v>
      </c>
      <c r="B21" s="1" t="s">
        <v>892</v>
      </c>
      <c r="C21" s="1" t="s">
        <v>893</v>
      </c>
      <c r="D21" s="1" t="s">
        <v>122</v>
      </c>
      <c r="E21" s="1">
        <v>1.8023805292E10</v>
      </c>
      <c r="F21" s="1">
        <v>9.770467355E9</v>
      </c>
      <c r="G21" s="1" t="s">
        <v>903</v>
      </c>
      <c r="H21" s="10"/>
      <c r="I21" s="1" t="s">
        <v>231</v>
      </c>
      <c r="J21" s="1">
        <v>2.0</v>
      </c>
      <c r="K21" s="1" t="s">
        <v>895</v>
      </c>
      <c r="L21" s="11"/>
      <c r="N21" s="9">
        <v>45964.0</v>
      </c>
    </row>
    <row r="22">
      <c r="A22" s="1" t="s">
        <v>913</v>
      </c>
      <c r="B22" s="1" t="s">
        <v>892</v>
      </c>
      <c r="C22" s="1" t="s">
        <v>893</v>
      </c>
      <c r="D22" s="1" t="s">
        <v>122</v>
      </c>
      <c r="E22" s="1">
        <v>1.8023806331E10</v>
      </c>
      <c r="F22" s="1">
        <v>9.770467355E9</v>
      </c>
      <c r="G22" s="1" t="s">
        <v>903</v>
      </c>
      <c r="H22" s="10"/>
      <c r="I22" s="1" t="s">
        <v>231</v>
      </c>
      <c r="J22" s="1">
        <v>2.0</v>
      </c>
      <c r="K22" s="1" t="s">
        <v>895</v>
      </c>
      <c r="L22" s="11"/>
      <c r="N22" s="9">
        <v>45964.0</v>
      </c>
    </row>
    <row r="23">
      <c r="A23" s="1" t="s">
        <v>914</v>
      </c>
      <c r="B23" s="1" t="s">
        <v>892</v>
      </c>
      <c r="C23" s="1" t="s">
        <v>893</v>
      </c>
      <c r="D23" s="1" t="s">
        <v>122</v>
      </c>
      <c r="E23" s="1">
        <v>1.8023807086E10</v>
      </c>
      <c r="F23" s="1">
        <v>9.770467355E9</v>
      </c>
      <c r="G23" s="1" t="s">
        <v>903</v>
      </c>
      <c r="H23" s="10"/>
      <c r="I23" s="1" t="s">
        <v>231</v>
      </c>
      <c r="J23" s="1">
        <v>2.0</v>
      </c>
      <c r="K23" s="1" t="s">
        <v>895</v>
      </c>
      <c r="L23" s="11"/>
      <c r="N23" s="9">
        <v>45964.0</v>
      </c>
    </row>
    <row r="24">
      <c r="A24" s="1" t="s">
        <v>919</v>
      </c>
      <c r="B24" s="1" t="s">
        <v>892</v>
      </c>
      <c r="C24" s="1" t="s">
        <v>893</v>
      </c>
      <c r="D24" s="1" t="s">
        <v>122</v>
      </c>
      <c r="E24" s="1">
        <v>9.77193565E9</v>
      </c>
      <c r="F24" s="1">
        <v>9.770467355E9</v>
      </c>
      <c r="G24" s="1" t="s">
        <v>897</v>
      </c>
      <c r="H24" s="10"/>
      <c r="I24" s="1" t="s">
        <v>231</v>
      </c>
      <c r="J24" s="1">
        <v>3.0</v>
      </c>
      <c r="K24" s="1" t="s">
        <v>920</v>
      </c>
      <c r="L24" s="11"/>
      <c r="N24" s="9">
        <v>45883.0</v>
      </c>
    </row>
    <row r="25">
      <c r="A25" s="1" t="s">
        <v>921</v>
      </c>
      <c r="B25" s="1" t="s">
        <v>892</v>
      </c>
      <c r="C25" s="1" t="s">
        <v>893</v>
      </c>
      <c r="D25" s="1" t="s">
        <v>122</v>
      </c>
      <c r="E25" s="1">
        <v>1.8023473841E10</v>
      </c>
      <c r="F25" s="1">
        <v>9.770467355E9</v>
      </c>
      <c r="G25" s="1" t="s">
        <v>897</v>
      </c>
      <c r="H25" s="1" t="s">
        <v>234</v>
      </c>
      <c r="I25" s="1" t="s">
        <v>231</v>
      </c>
      <c r="J25" s="1">
        <v>2.0</v>
      </c>
      <c r="K25" s="1" t="s">
        <v>920</v>
      </c>
      <c r="L25" s="11"/>
      <c r="N25" s="9">
        <v>45944.0</v>
      </c>
    </row>
    <row r="26">
      <c r="A26" s="1" t="s">
        <v>922</v>
      </c>
      <c r="B26" s="1" t="s">
        <v>892</v>
      </c>
      <c r="C26" s="1" t="s">
        <v>893</v>
      </c>
      <c r="D26" s="1" t="s">
        <v>122</v>
      </c>
      <c r="E26" s="1">
        <v>1.8023745921E10</v>
      </c>
      <c r="F26" s="1">
        <v>9.770467355E9</v>
      </c>
      <c r="G26" s="1" t="s">
        <v>897</v>
      </c>
      <c r="H26" s="1" t="s">
        <v>923</v>
      </c>
      <c r="I26" s="1" t="s">
        <v>231</v>
      </c>
      <c r="J26" s="1">
        <v>3.0</v>
      </c>
      <c r="K26" s="1" t="s">
        <v>920</v>
      </c>
      <c r="L26" s="11"/>
      <c r="N26" s="9">
        <v>45880.0</v>
      </c>
    </row>
    <row r="27">
      <c r="A27" s="1" t="s">
        <v>924</v>
      </c>
      <c r="B27" s="1" t="s">
        <v>892</v>
      </c>
      <c r="C27" s="1" t="s">
        <v>893</v>
      </c>
      <c r="D27" s="1" t="s">
        <v>122</v>
      </c>
      <c r="E27" s="1">
        <v>1.8023752812E10</v>
      </c>
      <c r="F27" s="1">
        <v>9.770467355E9</v>
      </c>
      <c r="G27" s="1" t="s">
        <v>894</v>
      </c>
      <c r="H27" s="1" t="s">
        <v>925</v>
      </c>
      <c r="I27" s="1" t="s">
        <v>231</v>
      </c>
      <c r="J27" s="1">
        <v>2.0</v>
      </c>
      <c r="K27" s="1" t="s">
        <v>920</v>
      </c>
      <c r="L27" s="11"/>
      <c r="N27" s="9">
        <v>45908.0</v>
      </c>
    </row>
    <row r="28">
      <c r="A28" s="1" t="s">
        <v>926</v>
      </c>
      <c r="B28" s="1" t="s">
        <v>892</v>
      </c>
      <c r="C28" s="1" t="s">
        <v>893</v>
      </c>
      <c r="D28" s="1" t="s">
        <v>122</v>
      </c>
      <c r="E28" s="1">
        <v>1.8023762807E10</v>
      </c>
      <c r="F28" s="1">
        <v>9.770467355E9</v>
      </c>
      <c r="G28" s="1" t="s">
        <v>894</v>
      </c>
      <c r="H28" s="1" t="s">
        <v>927</v>
      </c>
      <c r="I28" s="1" t="s">
        <v>231</v>
      </c>
      <c r="J28" s="1">
        <v>3.0</v>
      </c>
      <c r="K28" s="1" t="s">
        <v>920</v>
      </c>
      <c r="L28" s="11"/>
      <c r="N28" s="9">
        <v>45915.0</v>
      </c>
    </row>
    <row r="29">
      <c r="A29" s="1" t="s">
        <v>928</v>
      </c>
      <c r="B29" s="1" t="s">
        <v>892</v>
      </c>
      <c r="C29" s="1" t="s">
        <v>893</v>
      </c>
      <c r="D29" s="1" t="s">
        <v>122</v>
      </c>
      <c r="E29" s="1">
        <v>1.8023773861E10</v>
      </c>
      <c r="F29" s="1">
        <v>9.770467355E9</v>
      </c>
      <c r="G29" s="1" t="s">
        <v>894</v>
      </c>
      <c r="H29" s="1" t="s">
        <v>929</v>
      </c>
      <c r="I29" s="1" t="s">
        <v>231</v>
      </c>
      <c r="J29" s="1">
        <v>4.0</v>
      </c>
      <c r="K29" s="1" t="s">
        <v>920</v>
      </c>
      <c r="L29" s="11"/>
      <c r="N29" s="9">
        <v>45922.0</v>
      </c>
    </row>
    <row r="30">
      <c r="A30" s="1" t="s">
        <v>930</v>
      </c>
      <c r="B30" s="1" t="s">
        <v>892</v>
      </c>
      <c r="C30" s="1" t="s">
        <v>893</v>
      </c>
      <c r="D30" s="1" t="s">
        <v>122</v>
      </c>
      <c r="E30" s="1">
        <v>1.8023784407E10</v>
      </c>
      <c r="F30" s="1">
        <v>9.770467355E9</v>
      </c>
      <c r="G30" s="1" t="s">
        <v>903</v>
      </c>
      <c r="H30" s="1" t="s">
        <v>930</v>
      </c>
      <c r="I30" s="1" t="s">
        <v>231</v>
      </c>
      <c r="J30" s="1">
        <v>1.0</v>
      </c>
      <c r="K30" s="1" t="s">
        <v>920</v>
      </c>
      <c r="L30" s="11"/>
      <c r="N30" s="9">
        <v>45964.0</v>
      </c>
    </row>
    <row r="31">
      <c r="A31" s="1" t="s">
        <v>931</v>
      </c>
      <c r="B31" s="1" t="s">
        <v>892</v>
      </c>
      <c r="C31" s="1" t="s">
        <v>893</v>
      </c>
      <c r="D31" s="1" t="s">
        <v>122</v>
      </c>
      <c r="E31" s="1">
        <v>1.8023604658E10</v>
      </c>
      <c r="F31" s="1">
        <v>9.770467355E9</v>
      </c>
      <c r="G31" s="1" t="s">
        <v>903</v>
      </c>
      <c r="H31" s="1" t="s">
        <v>932</v>
      </c>
      <c r="I31" s="1" t="s">
        <v>231</v>
      </c>
      <c r="J31" s="1">
        <v>3.0</v>
      </c>
      <c r="K31" s="1" t="s">
        <v>905</v>
      </c>
      <c r="L31" s="11"/>
      <c r="N31" s="9">
        <v>45975.0</v>
      </c>
    </row>
    <row r="32">
      <c r="A32" s="1" t="s">
        <v>933</v>
      </c>
      <c r="B32" s="1" t="s">
        <v>892</v>
      </c>
      <c r="C32" s="1" t="s">
        <v>893</v>
      </c>
      <c r="D32" s="1" t="s">
        <v>122</v>
      </c>
      <c r="E32" s="1">
        <v>1.802360083E10</v>
      </c>
      <c r="F32" s="1">
        <v>9.770467355E9</v>
      </c>
      <c r="G32" s="1" t="s">
        <v>901</v>
      </c>
      <c r="H32" s="10"/>
      <c r="I32" s="1" t="s">
        <v>231</v>
      </c>
      <c r="J32" s="1">
        <v>3.0</v>
      </c>
      <c r="K32" s="1" t="s">
        <v>905</v>
      </c>
      <c r="L32" s="11"/>
      <c r="N32" s="9">
        <v>45944.0</v>
      </c>
    </row>
    <row r="33">
      <c r="A33" s="1" t="s">
        <v>760</v>
      </c>
      <c r="B33" s="1" t="s">
        <v>892</v>
      </c>
      <c r="C33" s="1" t="s">
        <v>893</v>
      </c>
      <c r="D33" s="1" t="s">
        <v>122</v>
      </c>
      <c r="E33" s="1">
        <v>1.8023581847E10</v>
      </c>
      <c r="F33" s="1">
        <v>9.770467355E9</v>
      </c>
      <c r="G33" s="1" t="s">
        <v>894</v>
      </c>
      <c r="H33" s="1" t="s">
        <v>462</v>
      </c>
      <c r="I33" s="1" t="s">
        <v>231</v>
      </c>
      <c r="J33" s="1">
        <v>2.0</v>
      </c>
      <c r="K33" s="1" t="s">
        <v>905</v>
      </c>
      <c r="L33" s="11"/>
      <c r="N33" s="9">
        <v>45907.0</v>
      </c>
    </row>
    <row r="34">
      <c r="A34" s="1" t="s">
        <v>934</v>
      </c>
      <c r="B34" s="1" t="s">
        <v>892</v>
      </c>
      <c r="C34" s="1" t="s">
        <v>893</v>
      </c>
      <c r="D34" s="1" t="s">
        <v>122</v>
      </c>
      <c r="E34" s="1">
        <v>1.80235753E10</v>
      </c>
      <c r="F34" s="1">
        <v>9.770467355E9</v>
      </c>
      <c r="G34" s="1" t="s">
        <v>894</v>
      </c>
      <c r="H34" s="1" t="s">
        <v>281</v>
      </c>
      <c r="I34" s="1" t="s">
        <v>231</v>
      </c>
      <c r="J34" s="1">
        <v>2.0</v>
      </c>
      <c r="K34" s="1" t="s">
        <v>905</v>
      </c>
      <c r="L34" s="11"/>
      <c r="N34" s="9">
        <v>45909.0</v>
      </c>
    </row>
    <row r="35">
      <c r="A35" s="1" t="s">
        <v>935</v>
      </c>
      <c r="B35" s="1" t="s">
        <v>892</v>
      </c>
      <c r="C35" s="1" t="s">
        <v>893</v>
      </c>
      <c r="D35" s="1" t="s">
        <v>122</v>
      </c>
      <c r="E35" s="1">
        <v>9.771935576E9</v>
      </c>
      <c r="F35" s="1">
        <v>9.770467355E9</v>
      </c>
      <c r="G35" s="1" t="s">
        <v>897</v>
      </c>
      <c r="H35" s="1" t="s">
        <v>545</v>
      </c>
      <c r="I35" s="1" t="s">
        <v>27</v>
      </c>
      <c r="J35" s="1">
        <v>2.0</v>
      </c>
      <c r="K35" s="1" t="s">
        <v>936</v>
      </c>
      <c r="L35" s="11"/>
      <c r="N35" s="9">
        <v>45876.0</v>
      </c>
    </row>
    <row r="36">
      <c r="A36" s="1" t="s">
        <v>937</v>
      </c>
      <c r="B36" s="1" t="s">
        <v>892</v>
      </c>
      <c r="C36" s="1" t="s">
        <v>893</v>
      </c>
      <c r="D36" s="1" t="s">
        <v>122</v>
      </c>
      <c r="E36" s="1">
        <v>9.771935599E9</v>
      </c>
      <c r="F36" s="1">
        <v>9.770467355E9</v>
      </c>
      <c r="G36" s="1" t="s">
        <v>897</v>
      </c>
      <c r="H36" s="1" t="s">
        <v>234</v>
      </c>
      <c r="I36" s="1" t="s">
        <v>27</v>
      </c>
      <c r="J36" s="1">
        <v>3.0</v>
      </c>
      <c r="K36" s="1" t="s">
        <v>936</v>
      </c>
      <c r="L36" s="11"/>
      <c r="N36" s="9">
        <v>45883.0</v>
      </c>
    </row>
    <row r="37">
      <c r="A37" s="1" t="s">
        <v>938</v>
      </c>
      <c r="B37" s="1" t="s">
        <v>892</v>
      </c>
      <c r="C37" s="1" t="s">
        <v>893</v>
      </c>
      <c r="D37" s="1" t="s">
        <v>122</v>
      </c>
      <c r="E37" s="1">
        <v>1.8023669897E10</v>
      </c>
      <c r="F37" s="1">
        <v>9.770467355E9</v>
      </c>
      <c r="G37" s="1" t="s">
        <v>894</v>
      </c>
      <c r="H37" s="1" t="s">
        <v>939</v>
      </c>
      <c r="I37" s="1" t="s">
        <v>231</v>
      </c>
      <c r="J37" s="1">
        <v>2.0</v>
      </c>
      <c r="K37" s="1" t="s">
        <v>936</v>
      </c>
      <c r="L37" s="11"/>
      <c r="N37" s="9">
        <v>45909.0</v>
      </c>
    </row>
    <row r="38">
      <c r="A38" s="1" t="s">
        <v>940</v>
      </c>
      <c r="B38" s="1" t="s">
        <v>892</v>
      </c>
      <c r="C38" s="1" t="s">
        <v>893</v>
      </c>
      <c r="D38" s="1" t="s">
        <v>122</v>
      </c>
      <c r="E38" s="1">
        <v>1.8023676729E10</v>
      </c>
      <c r="F38" s="1">
        <v>9.770467355E9</v>
      </c>
      <c r="G38" s="1" t="s">
        <v>894</v>
      </c>
      <c r="H38" s="10"/>
      <c r="I38" s="1" t="s">
        <v>231</v>
      </c>
      <c r="J38" s="1">
        <v>4.0</v>
      </c>
      <c r="K38" s="1" t="s">
        <v>936</v>
      </c>
      <c r="L38" s="11"/>
      <c r="N38" s="9">
        <v>45922.0</v>
      </c>
    </row>
    <row r="39">
      <c r="A39" s="1" t="s">
        <v>941</v>
      </c>
      <c r="B39" s="1" t="s">
        <v>892</v>
      </c>
      <c r="C39" s="1" t="s">
        <v>893</v>
      </c>
      <c r="D39" s="1" t="s">
        <v>122</v>
      </c>
      <c r="E39" s="1">
        <v>1.802368555E10</v>
      </c>
      <c r="F39" s="1">
        <v>9.770467355E9</v>
      </c>
      <c r="G39" s="1" t="s">
        <v>894</v>
      </c>
      <c r="H39" s="1" t="s">
        <v>430</v>
      </c>
      <c r="I39" s="1" t="s">
        <v>231</v>
      </c>
      <c r="J39" s="1">
        <v>5.0</v>
      </c>
      <c r="K39" s="1" t="s">
        <v>936</v>
      </c>
      <c r="L39" s="11"/>
      <c r="N39" s="9">
        <v>45929.0</v>
      </c>
    </row>
    <row r="40">
      <c r="A40" s="1" t="s">
        <v>942</v>
      </c>
      <c r="B40" s="1" t="s">
        <v>892</v>
      </c>
      <c r="C40" s="1" t="s">
        <v>893</v>
      </c>
      <c r="D40" s="1" t="s">
        <v>122</v>
      </c>
      <c r="E40" s="1">
        <v>1.8023694241E10</v>
      </c>
      <c r="F40" s="1">
        <v>9.770467355E9</v>
      </c>
      <c r="G40" s="1" t="s">
        <v>901</v>
      </c>
      <c r="H40" s="1" t="s">
        <v>932</v>
      </c>
      <c r="I40" s="1" t="s">
        <v>231</v>
      </c>
      <c r="J40" s="1">
        <v>2.0</v>
      </c>
      <c r="K40" s="1" t="s">
        <v>936</v>
      </c>
      <c r="L40" s="11"/>
      <c r="N40" s="9">
        <v>45936.0</v>
      </c>
    </row>
    <row r="41">
      <c r="A41" s="1" t="s">
        <v>943</v>
      </c>
      <c r="B41" s="1" t="s">
        <v>892</v>
      </c>
      <c r="C41" s="1" t="s">
        <v>893</v>
      </c>
      <c r="D41" s="1" t="s">
        <v>122</v>
      </c>
      <c r="E41" s="1">
        <v>9.771935877E9</v>
      </c>
      <c r="F41" s="1">
        <v>9.770467355E9</v>
      </c>
      <c r="G41" s="1" t="s">
        <v>897</v>
      </c>
      <c r="H41" s="1" t="s">
        <v>533</v>
      </c>
      <c r="I41" s="1" t="s">
        <v>27</v>
      </c>
      <c r="J41" s="1">
        <v>3.0</v>
      </c>
      <c r="K41" s="1" t="s">
        <v>944</v>
      </c>
      <c r="L41" s="11"/>
      <c r="N41" s="9">
        <v>45883.0</v>
      </c>
    </row>
    <row r="42">
      <c r="A42" s="1" t="s">
        <v>945</v>
      </c>
      <c r="B42" s="1" t="s">
        <v>892</v>
      </c>
      <c r="C42" s="1" t="s">
        <v>893</v>
      </c>
      <c r="D42" s="1" t="s">
        <v>122</v>
      </c>
      <c r="E42" s="1">
        <v>1.8023706846E10</v>
      </c>
      <c r="F42" s="1">
        <v>9.770467355E9</v>
      </c>
      <c r="G42" s="1" t="s">
        <v>897</v>
      </c>
      <c r="H42" s="1" t="s">
        <v>323</v>
      </c>
      <c r="I42" s="1" t="s">
        <v>231</v>
      </c>
      <c r="J42" s="1">
        <v>2.0</v>
      </c>
      <c r="K42" s="1" t="s">
        <v>944</v>
      </c>
      <c r="L42" s="11"/>
      <c r="N42" s="9">
        <v>45880.0</v>
      </c>
    </row>
    <row r="43">
      <c r="A43" s="1" t="s">
        <v>946</v>
      </c>
      <c r="B43" s="1" t="s">
        <v>892</v>
      </c>
      <c r="C43" s="1" t="s">
        <v>893</v>
      </c>
      <c r="D43" s="1" t="s">
        <v>122</v>
      </c>
      <c r="E43" s="1">
        <v>1.802371462E10</v>
      </c>
      <c r="F43" s="1">
        <v>9.770467355E9</v>
      </c>
      <c r="G43" s="1" t="s">
        <v>894</v>
      </c>
      <c r="H43" s="1" t="s">
        <v>947</v>
      </c>
      <c r="I43" s="1" t="s">
        <v>231</v>
      </c>
      <c r="J43" s="1">
        <v>1.0</v>
      </c>
      <c r="K43" s="1" t="s">
        <v>944</v>
      </c>
      <c r="L43" s="11"/>
      <c r="N43" s="9">
        <v>45901.0</v>
      </c>
    </row>
    <row r="44">
      <c r="A44" s="1" t="s">
        <v>948</v>
      </c>
      <c r="B44" s="1" t="s">
        <v>892</v>
      </c>
      <c r="C44" s="1" t="s">
        <v>893</v>
      </c>
      <c r="D44" s="1" t="s">
        <v>122</v>
      </c>
      <c r="E44" s="1">
        <v>1.8023720402E10</v>
      </c>
      <c r="F44" s="1">
        <v>9.770467355E9</v>
      </c>
      <c r="G44" s="1" t="s">
        <v>894</v>
      </c>
      <c r="H44" s="1" t="s">
        <v>430</v>
      </c>
      <c r="I44" s="1" t="s">
        <v>231</v>
      </c>
      <c r="J44" s="1">
        <v>4.0</v>
      </c>
      <c r="K44" s="1" t="s">
        <v>944</v>
      </c>
      <c r="L44" s="11"/>
      <c r="N44" s="9">
        <v>45922.0</v>
      </c>
    </row>
    <row r="45">
      <c r="A45" s="1" t="s">
        <v>949</v>
      </c>
      <c r="B45" s="1" t="s">
        <v>892</v>
      </c>
      <c r="C45" s="1" t="s">
        <v>893</v>
      </c>
      <c r="D45" s="1" t="s">
        <v>122</v>
      </c>
      <c r="E45" s="1">
        <v>1.8023510408E10</v>
      </c>
      <c r="F45" s="1">
        <v>9.770467355E9</v>
      </c>
      <c r="G45" s="1" t="s">
        <v>897</v>
      </c>
      <c r="H45" s="10"/>
      <c r="I45" s="1" t="s">
        <v>231</v>
      </c>
      <c r="J45" s="1">
        <v>4.0</v>
      </c>
      <c r="K45" s="1" t="s">
        <v>950</v>
      </c>
      <c r="L45" s="11"/>
      <c r="N45" s="9">
        <v>45890.0</v>
      </c>
    </row>
    <row r="46">
      <c r="A46" s="1" t="s">
        <v>951</v>
      </c>
      <c r="B46" s="1" t="s">
        <v>892</v>
      </c>
      <c r="C46" s="1" t="s">
        <v>893</v>
      </c>
      <c r="D46" s="1" t="s">
        <v>122</v>
      </c>
      <c r="E46" s="1">
        <v>1.8023485165E10</v>
      </c>
      <c r="F46" s="1">
        <v>9.770467355E9</v>
      </c>
      <c r="G46" s="1" t="s">
        <v>897</v>
      </c>
      <c r="H46" s="10"/>
      <c r="I46" s="1" t="s">
        <v>231</v>
      </c>
      <c r="J46" s="1">
        <v>1.0</v>
      </c>
      <c r="K46" s="1" t="s">
        <v>950</v>
      </c>
      <c r="L46" s="11"/>
      <c r="N46" s="9">
        <v>45874.0</v>
      </c>
    </row>
    <row r="47">
      <c r="A47" s="1" t="s">
        <v>951</v>
      </c>
      <c r="B47" s="1" t="s">
        <v>892</v>
      </c>
      <c r="C47" s="1" t="s">
        <v>893</v>
      </c>
      <c r="D47" s="1" t="s">
        <v>122</v>
      </c>
      <c r="E47" s="1">
        <v>1.8023493589E10</v>
      </c>
      <c r="F47" s="1">
        <v>9.770467355E9</v>
      </c>
      <c r="G47" s="1" t="s">
        <v>897</v>
      </c>
      <c r="H47" s="10"/>
      <c r="I47" s="1" t="s">
        <v>231</v>
      </c>
      <c r="J47" s="1">
        <v>2.0</v>
      </c>
      <c r="K47" s="1" t="s">
        <v>950</v>
      </c>
      <c r="L47" s="11"/>
      <c r="N47" s="9">
        <v>45874.0</v>
      </c>
    </row>
    <row r="48">
      <c r="A48" s="1" t="s">
        <v>951</v>
      </c>
      <c r="B48" s="1" t="s">
        <v>892</v>
      </c>
      <c r="C48" s="1" t="s">
        <v>893</v>
      </c>
      <c r="D48" s="1" t="s">
        <v>122</v>
      </c>
      <c r="E48" s="1">
        <v>1.8023499055E10</v>
      </c>
      <c r="F48" s="1">
        <v>9.770467355E9</v>
      </c>
      <c r="G48" s="1" t="s">
        <v>897</v>
      </c>
      <c r="H48" s="10"/>
      <c r="I48" s="1" t="s">
        <v>231</v>
      </c>
      <c r="J48" s="1">
        <v>3.0</v>
      </c>
      <c r="K48" s="1" t="s">
        <v>950</v>
      </c>
      <c r="L48" s="11"/>
      <c r="N48" s="9">
        <v>45944.0</v>
      </c>
    </row>
    <row r="49">
      <c r="A49" s="1" t="s">
        <v>951</v>
      </c>
      <c r="B49" s="1" t="s">
        <v>892</v>
      </c>
      <c r="C49" s="1" t="s">
        <v>893</v>
      </c>
      <c r="D49" s="1" t="s">
        <v>122</v>
      </c>
      <c r="E49" s="1">
        <v>1.8023503864E10</v>
      </c>
      <c r="F49" s="1">
        <v>9.770467355E9</v>
      </c>
      <c r="G49" s="1" t="s">
        <v>897</v>
      </c>
      <c r="H49" s="10"/>
      <c r="I49" s="1" t="s">
        <v>231</v>
      </c>
      <c r="J49" s="1">
        <v>1.0</v>
      </c>
      <c r="K49" s="1" t="s">
        <v>950</v>
      </c>
      <c r="L49" s="11"/>
      <c r="N49" s="9">
        <v>45931.0</v>
      </c>
    </row>
    <row r="50">
      <c r="A50" s="1" t="s">
        <v>951</v>
      </c>
      <c r="B50" s="1" t="s">
        <v>892</v>
      </c>
      <c r="C50" s="1" t="s">
        <v>893</v>
      </c>
      <c r="D50" s="1" t="s">
        <v>122</v>
      </c>
      <c r="E50" s="1">
        <v>1.8023540157E10</v>
      </c>
      <c r="F50" s="1">
        <v>9.770467355E9</v>
      </c>
      <c r="G50" s="1" t="s">
        <v>894</v>
      </c>
      <c r="H50" s="10"/>
      <c r="I50" s="1" t="s">
        <v>231</v>
      </c>
      <c r="J50" s="1">
        <v>1.0</v>
      </c>
      <c r="K50" s="1" t="s">
        <v>950</v>
      </c>
      <c r="L50" s="11"/>
      <c r="N50" s="9">
        <v>45901.0</v>
      </c>
    </row>
    <row r="51">
      <c r="A51" s="1" t="s">
        <v>951</v>
      </c>
      <c r="B51" s="1" t="s">
        <v>892</v>
      </c>
      <c r="C51" s="1" t="s">
        <v>893</v>
      </c>
      <c r="D51" s="1" t="s">
        <v>122</v>
      </c>
      <c r="E51" s="1">
        <v>1.8023542734E10</v>
      </c>
      <c r="F51" s="1">
        <v>9.770467355E9</v>
      </c>
      <c r="G51" s="1" t="s">
        <v>901</v>
      </c>
      <c r="H51" s="10"/>
      <c r="I51" s="1" t="s">
        <v>231</v>
      </c>
      <c r="J51" s="1">
        <v>1.0</v>
      </c>
      <c r="K51" s="1" t="s">
        <v>950</v>
      </c>
      <c r="L51" s="11"/>
      <c r="N51" s="9">
        <v>45931.0</v>
      </c>
    </row>
    <row r="52">
      <c r="A52" s="1" t="s">
        <v>951</v>
      </c>
      <c r="B52" s="1" t="s">
        <v>892</v>
      </c>
      <c r="C52" s="1" t="s">
        <v>893</v>
      </c>
      <c r="D52" s="1" t="s">
        <v>122</v>
      </c>
      <c r="E52" s="1">
        <v>1.8023509267E10</v>
      </c>
      <c r="F52" s="1">
        <v>9.770467355E9</v>
      </c>
      <c r="G52" s="1" t="s">
        <v>894</v>
      </c>
      <c r="H52" s="10"/>
      <c r="I52" s="1" t="s">
        <v>231</v>
      </c>
      <c r="J52" s="1">
        <v>2.0</v>
      </c>
      <c r="K52" s="1" t="s">
        <v>950</v>
      </c>
      <c r="L52" s="11"/>
      <c r="N52" s="9">
        <v>45908.0</v>
      </c>
    </row>
    <row r="53">
      <c r="A53" s="1" t="s">
        <v>951</v>
      </c>
      <c r="B53" s="1" t="s">
        <v>892</v>
      </c>
      <c r="C53" s="1" t="s">
        <v>893</v>
      </c>
      <c r="D53" s="1" t="s">
        <v>122</v>
      </c>
      <c r="E53" s="1">
        <v>1.8023528189E10</v>
      </c>
      <c r="F53" s="1">
        <v>9.770467355E9</v>
      </c>
      <c r="G53" s="1" t="s">
        <v>901</v>
      </c>
      <c r="H53" s="10"/>
      <c r="I53" s="1" t="s">
        <v>231</v>
      </c>
      <c r="J53" s="1">
        <v>2.0</v>
      </c>
      <c r="K53" s="1" t="s">
        <v>950</v>
      </c>
      <c r="L53" s="11"/>
      <c r="N53" s="9">
        <v>45936.0</v>
      </c>
    </row>
    <row r="54">
      <c r="A54" s="1" t="s">
        <v>951</v>
      </c>
      <c r="B54" s="1" t="s">
        <v>892</v>
      </c>
      <c r="C54" s="1" t="s">
        <v>893</v>
      </c>
      <c r="D54" s="1" t="s">
        <v>122</v>
      </c>
      <c r="E54" s="1">
        <v>1.8023511132E10</v>
      </c>
      <c r="F54" s="1">
        <v>9.770467355E9</v>
      </c>
      <c r="G54" s="1" t="s">
        <v>894</v>
      </c>
      <c r="H54" s="10"/>
      <c r="I54" s="1" t="s">
        <v>231</v>
      </c>
      <c r="J54" s="1">
        <v>3.0</v>
      </c>
      <c r="K54" s="1" t="s">
        <v>950</v>
      </c>
      <c r="L54" s="11"/>
      <c r="N54" s="9">
        <v>45915.0</v>
      </c>
    </row>
    <row r="55">
      <c r="A55" s="1" t="s">
        <v>951</v>
      </c>
      <c r="B55" s="1" t="s">
        <v>892</v>
      </c>
      <c r="C55" s="1" t="s">
        <v>893</v>
      </c>
      <c r="D55" s="1" t="s">
        <v>122</v>
      </c>
      <c r="E55" s="1">
        <v>1.8023531363E10</v>
      </c>
      <c r="F55" s="1">
        <v>9.770467355E9</v>
      </c>
      <c r="G55" s="1" t="s">
        <v>901</v>
      </c>
      <c r="H55" s="10"/>
      <c r="I55" s="1" t="s">
        <v>231</v>
      </c>
      <c r="J55" s="1">
        <v>3.0</v>
      </c>
      <c r="K55" s="1" t="s">
        <v>950</v>
      </c>
      <c r="L55" s="11"/>
      <c r="N55" s="9">
        <v>45943.0</v>
      </c>
    </row>
    <row r="56">
      <c r="A56" s="1" t="s">
        <v>951</v>
      </c>
      <c r="B56" s="1" t="s">
        <v>892</v>
      </c>
      <c r="C56" s="1" t="s">
        <v>893</v>
      </c>
      <c r="D56" s="1" t="s">
        <v>122</v>
      </c>
      <c r="E56" s="1">
        <v>1.8023512234E10</v>
      </c>
      <c r="F56" s="1">
        <v>9.770467355E9</v>
      </c>
      <c r="G56" s="1" t="s">
        <v>894</v>
      </c>
      <c r="H56" s="10"/>
      <c r="I56" s="1" t="s">
        <v>231</v>
      </c>
      <c r="J56" s="1">
        <v>4.0</v>
      </c>
      <c r="K56" s="1" t="s">
        <v>950</v>
      </c>
      <c r="L56" s="11"/>
      <c r="N56" s="9">
        <v>45922.0</v>
      </c>
    </row>
    <row r="57">
      <c r="A57" s="1" t="s">
        <v>952</v>
      </c>
      <c r="B57" s="1" t="s">
        <v>892</v>
      </c>
      <c r="C57" s="1" t="s">
        <v>893</v>
      </c>
      <c r="D57" s="1" t="s">
        <v>122</v>
      </c>
      <c r="E57" s="1">
        <v>1.8023534948E10</v>
      </c>
      <c r="F57" s="1">
        <v>9.770467355E9</v>
      </c>
      <c r="G57" s="1" t="s">
        <v>901</v>
      </c>
      <c r="H57" s="10"/>
      <c r="I57" s="1" t="s">
        <v>231</v>
      </c>
      <c r="J57" s="1">
        <v>4.0</v>
      </c>
      <c r="K57" s="1" t="s">
        <v>950</v>
      </c>
      <c r="L57" s="11"/>
      <c r="N57" s="9">
        <v>45950.0</v>
      </c>
    </row>
    <row r="58">
      <c r="A58" s="1" t="s">
        <v>951</v>
      </c>
      <c r="B58" s="1" t="s">
        <v>892</v>
      </c>
      <c r="C58" s="1" t="s">
        <v>893</v>
      </c>
      <c r="D58" s="1" t="s">
        <v>122</v>
      </c>
      <c r="E58" s="1">
        <v>1.8023520086E10</v>
      </c>
      <c r="F58" s="1">
        <v>9.770467355E9</v>
      </c>
      <c r="G58" s="1" t="s">
        <v>894</v>
      </c>
      <c r="H58" s="10"/>
      <c r="I58" s="1" t="s">
        <v>231</v>
      </c>
      <c r="J58" s="1">
        <v>5.0</v>
      </c>
      <c r="K58" s="1" t="s">
        <v>950</v>
      </c>
      <c r="L58" s="11"/>
      <c r="N58" s="9">
        <v>45929.0</v>
      </c>
    </row>
    <row r="59">
      <c r="A59" s="1" t="s">
        <v>952</v>
      </c>
      <c r="B59" s="1" t="s">
        <v>892</v>
      </c>
      <c r="C59" s="1" t="s">
        <v>893</v>
      </c>
      <c r="D59" s="1" t="s">
        <v>122</v>
      </c>
      <c r="E59" s="1">
        <v>1.8023553109E10</v>
      </c>
      <c r="F59" s="1">
        <v>9.770467355E9</v>
      </c>
      <c r="G59" s="1" t="s">
        <v>901</v>
      </c>
      <c r="H59" s="10"/>
      <c r="I59" s="1" t="s">
        <v>231</v>
      </c>
      <c r="J59" s="1">
        <v>5.0</v>
      </c>
      <c r="K59" s="1" t="s">
        <v>950</v>
      </c>
      <c r="L59" s="11"/>
      <c r="N59" s="9">
        <v>45957.0</v>
      </c>
    </row>
    <row r="60">
      <c r="A60" s="1" t="s">
        <v>953</v>
      </c>
      <c r="B60" s="1" t="s">
        <v>892</v>
      </c>
      <c r="C60" s="1" t="s">
        <v>893</v>
      </c>
      <c r="D60" s="1" t="s">
        <v>122</v>
      </c>
      <c r="E60" s="1">
        <v>1.8023595072E10</v>
      </c>
      <c r="F60" s="1">
        <v>9.770467355E9</v>
      </c>
      <c r="G60" s="1" t="s">
        <v>901</v>
      </c>
      <c r="H60" s="1" t="s">
        <v>539</v>
      </c>
      <c r="I60" s="1" t="s">
        <v>231</v>
      </c>
      <c r="J60" s="1">
        <v>2.0</v>
      </c>
      <c r="K60" s="1" t="s">
        <v>905</v>
      </c>
      <c r="L60" s="11"/>
      <c r="N60" s="9">
        <v>45937.0</v>
      </c>
    </row>
    <row r="61">
      <c r="A61" s="1" t="s">
        <v>954</v>
      </c>
      <c r="B61" s="1" t="s">
        <v>892</v>
      </c>
      <c r="C61" s="1" t="s">
        <v>893</v>
      </c>
      <c r="D61" s="1" t="s">
        <v>122</v>
      </c>
      <c r="E61" s="1">
        <v>1.8023587844E10</v>
      </c>
      <c r="F61" s="1">
        <v>9.770467355E9</v>
      </c>
      <c r="G61" s="1" t="s">
        <v>894</v>
      </c>
      <c r="H61" s="10"/>
      <c r="I61" s="1" t="s">
        <v>231</v>
      </c>
      <c r="J61" s="1">
        <v>1.0</v>
      </c>
      <c r="K61" s="1" t="s">
        <v>905</v>
      </c>
      <c r="L61" s="11"/>
      <c r="N61" s="9">
        <v>45901.0</v>
      </c>
    </row>
    <row r="62">
      <c r="A62" s="1" t="s">
        <v>955</v>
      </c>
      <c r="B62" s="1" t="s">
        <v>892</v>
      </c>
      <c r="C62" s="1" t="s">
        <v>893</v>
      </c>
      <c r="D62" s="1" t="s">
        <v>122</v>
      </c>
      <c r="E62" s="1">
        <v>1.8023562174E10</v>
      </c>
      <c r="F62" s="1">
        <v>9.770467355E9</v>
      </c>
      <c r="G62" s="1" t="s">
        <v>894</v>
      </c>
      <c r="H62" s="1" t="s">
        <v>227</v>
      </c>
      <c r="I62" s="1" t="s">
        <v>231</v>
      </c>
      <c r="J62" s="1">
        <v>3.0</v>
      </c>
      <c r="K62" s="1" t="s">
        <v>905</v>
      </c>
      <c r="L62" s="11"/>
      <c r="N62" s="9">
        <v>45914.0</v>
      </c>
    </row>
    <row r="63">
      <c r="A63" s="1" t="s">
        <v>956</v>
      </c>
      <c r="B63" s="1" t="s">
        <v>892</v>
      </c>
      <c r="C63" s="1" t="s">
        <v>893</v>
      </c>
      <c r="D63" s="1" t="s">
        <v>122</v>
      </c>
      <c r="E63" s="1">
        <v>9.771935746E9</v>
      </c>
      <c r="F63" s="1">
        <v>9.770467355E9</v>
      </c>
      <c r="G63" s="1" t="s">
        <v>894</v>
      </c>
      <c r="H63" s="1" t="s">
        <v>517</v>
      </c>
      <c r="I63" s="1" t="s">
        <v>27</v>
      </c>
      <c r="J63" s="1">
        <v>2.0</v>
      </c>
      <c r="K63" s="1" t="s">
        <v>905</v>
      </c>
      <c r="L63" s="11"/>
      <c r="N63" s="9">
        <v>45907.0</v>
      </c>
    </row>
    <row r="64">
      <c r="A64" s="1" t="s">
        <v>957</v>
      </c>
      <c r="B64" s="1" t="s">
        <v>892</v>
      </c>
      <c r="C64" s="1" t="s">
        <v>893</v>
      </c>
      <c r="D64" s="1" t="s">
        <v>122</v>
      </c>
      <c r="E64" s="1">
        <v>9.771935771E9</v>
      </c>
      <c r="F64" s="1">
        <v>9.770467355E9</v>
      </c>
      <c r="G64" s="1" t="s">
        <v>901</v>
      </c>
      <c r="H64" s="10"/>
      <c r="I64" s="1" t="s">
        <v>231</v>
      </c>
      <c r="J64" s="1">
        <v>3.0</v>
      </c>
      <c r="K64" s="1" t="s">
        <v>905</v>
      </c>
      <c r="L64" s="11"/>
      <c r="N64" s="9">
        <v>45951.0</v>
      </c>
    </row>
    <row r="65">
      <c r="A65" s="1" t="s">
        <v>958</v>
      </c>
      <c r="B65" s="1" t="s">
        <v>892</v>
      </c>
      <c r="C65" s="1" t="s">
        <v>893</v>
      </c>
      <c r="D65" s="1" t="s">
        <v>122</v>
      </c>
      <c r="E65" s="1">
        <v>1.8023728244E10</v>
      </c>
      <c r="F65" s="1">
        <v>9.770467355E9</v>
      </c>
      <c r="G65" s="1" t="s">
        <v>897</v>
      </c>
      <c r="H65" s="1" t="s">
        <v>323</v>
      </c>
      <c r="I65" s="1" t="s">
        <v>231</v>
      </c>
      <c r="J65" s="1">
        <v>3.0</v>
      </c>
      <c r="K65" s="1" t="s">
        <v>959</v>
      </c>
      <c r="L65" s="11"/>
      <c r="N65" s="9">
        <v>45880.0</v>
      </c>
    </row>
    <row r="66">
      <c r="A66" s="1" t="s">
        <v>960</v>
      </c>
      <c r="B66" s="1" t="s">
        <v>892</v>
      </c>
      <c r="C66" s="1" t="s">
        <v>893</v>
      </c>
      <c r="D66" s="1" t="s">
        <v>122</v>
      </c>
      <c r="E66" s="1">
        <v>1.802373371E10</v>
      </c>
      <c r="F66" s="1">
        <v>9.770467355E9</v>
      </c>
      <c r="G66" s="1" t="s">
        <v>897</v>
      </c>
      <c r="H66" s="1" t="s">
        <v>724</v>
      </c>
      <c r="I66" s="1" t="s">
        <v>231</v>
      </c>
      <c r="J66" s="1">
        <v>3.0</v>
      </c>
      <c r="K66" s="1" t="s">
        <v>959</v>
      </c>
      <c r="L66" s="11"/>
      <c r="N66" s="9">
        <v>45943.0</v>
      </c>
    </row>
    <row r="67">
      <c r="A67" s="1" t="s">
        <v>961</v>
      </c>
      <c r="B67" s="1" t="s">
        <v>892</v>
      </c>
      <c r="C67" s="1" t="s">
        <v>893</v>
      </c>
      <c r="D67" s="1" t="s">
        <v>122</v>
      </c>
      <c r="E67" s="1">
        <v>1.828147742E10</v>
      </c>
      <c r="F67" s="1">
        <v>9.770467355E9</v>
      </c>
      <c r="G67" s="1" t="s">
        <v>901</v>
      </c>
      <c r="H67" s="1" t="s">
        <v>254</v>
      </c>
      <c r="I67" s="1" t="s">
        <v>27</v>
      </c>
      <c r="J67" s="1">
        <v>3.0</v>
      </c>
      <c r="K67" s="1" t="s">
        <v>905</v>
      </c>
      <c r="L67" s="11"/>
      <c r="N67" s="9">
        <v>45946.0</v>
      </c>
    </row>
    <row r="68">
      <c r="A68" s="1" t="s">
        <v>962</v>
      </c>
      <c r="B68" s="1" t="s">
        <v>892</v>
      </c>
      <c r="C68" s="1" t="s">
        <v>893</v>
      </c>
      <c r="D68" s="1" t="s">
        <v>122</v>
      </c>
      <c r="E68" s="1">
        <v>1.8290777137E10</v>
      </c>
      <c r="F68" s="1">
        <v>9.770467355E9</v>
      </c>
      <c r="G68" s="1" t="s">
        <v>903</v>
      </c>
      <c r="H68" s="1" t="s">
        <v>254</v>
      </c>
      <c r="I68" s="1" t="s">
        <v>27</v>
      </c>
      <c r="J68" s="1">
        <v>2.0</v>
      </c>
      <c r="K68" s="1" t="s">
        <v>905</v>
      </c>
      <c r="L68" s="11"/>
      <c r="N68" s="9">
        <v>45972.0</v>
      </c>
    </row>
    <row r="69">
      <c r="A69" s="1" t="s">
        <v>963</v>
      </c>
      <c r="B69" s="1" t="s">
        <v>892</v>
      </c>
      <c r="C69" s="1" t="s">
        <v>893</v>
      </c>
      <c r="D69" s="1" t="s">
        <v>122</v>
      </c>
      <c r="E69" s="1">
        <v>1.053869035E10</v>
      </c>
      <c r="F69" s="1">
        <v>9.770467355E9</v>
      </c>
      <c r="G69" s="1" t="s">
        <v>903</v>
      </c>
      <c r="H69" s="1" t="s">
        <v>254</v>
      </c>
      <c r="I69" s="1" t="s">
        <v>27</v>
      </c>
      <c r="J69" s="1">
        <v>2.0</v>
      </c>
      <c r="K69" s="1" t="s">
        <v>936</v>
      </c>
      <c r="L69" s="11"/>
      <c r="N69" s="9">
        <v>45972.0</v>
      </c>
    </row>
    <row r="70">
      <c r="A70" s="1" t="s">
        <v>964</v>
      </c>
      <c r="B70" s="1" t="s">
        <v>892</v>
      </c>
      <c r="C70" s="1" t="s">
        <v>893</v>
      </c>
      <c r="D70" s="1" t="s">
        <v>122</v>
      </c>
      <c r="E70" s="1">
        <v>1.0552867061E10</v>
      </c>
      <c r="F70" s="1">
        <v>9.770467355E9</v>
      </c>
      <c r="G70" s="1" t="s">
        <v>903</v>
      </c>
      <c r="H70" s="1" t="s">
        <v>239</v>
      </c>
      <c r="I70" s="1" t="s">
        <v>27</v>
      </c>
      <c r="J70" s="1">
        <v>2.0</v>
      </c>
      <c r="K70" s="1" t="s">
        <v>944</v>
      </c>
      <c r="L70" s="11"/>
      <c r="N70" s="9">
        <v>45973.0</v>
      </c>
    </row>
    <row r="71">
      <c r="A71" s="1" t="s">
        <v>964</v>
      </c>
      <c r="B71" s="1" t="s">
        <v>892</v>
      </c>
      <c r="C71" s="1" t="s">
        <v>893</v>
      </c>
      <c r="D71" s="1" t="s">
        <v>122</v>
      </c>
      <c r="E71" s="1">
        <v>1.0552909245E10</v>
      </c>
      <c r="F71" s="1">
        <v>9.770467355E9</v>
      </c>
      <c r="G71" s="1" t="s">
        <v>903</v>
      </c>
      <c r="H71" s="1" t="s">
        <v>239</v>
      </c>
      <c r="I71" s="1" t="s">
        <v>27</v>
      </c>
      <c r="J71" s="1">
        <v>2.0</v>
      </c>
      <c r="K71" s="1" t="s">
        <v>944</v>
      </c>
      <c r="L71" s="11"/>
      <c r="N71" s="9">
        <v>45973.0</v>
      </c>
    </row>
    <row r="72">
      <c r="A72" s="1" t="s">
        <v>965</v>
      </c>
      <c r="B72" s="1" t="s">
        <v>892</v>
      </c>
      <c r="C72" s="1" t="s">
        <v>893</v>
      </c>
      <c r="D72" s="1" t="s">
        <v>122</v>
      </c>
      <c r="E72" s="1">
        <v>1.081979722E10</v>
      </c>
      <c r="F72" s="1">
        <v>9.770467355E9</v>
      </c>
      <c r="G72" s="1" t="s">
        <v>916</v>
      </c>
      <c r="H72" s="1" t="s">
        <v>281</v>
      </c>
      <c r="I72" s="1" t="s">
        <v>27</v>
      </c>
      <c r="J72" s="1">
        <v>5.0</v>
      </c>
      <c r="K72" s="1" t="s">
        <v>944</v>
      </c>
      <c r="L72" s="11"/>
      <c r="N72" s="9">
        <v>46023.0</v>
      </c>
    </row>
    <row r="73">
      <c r="A73" s="10"/>
      <c r="B73" s="10"/>
      <c r="C73" s="10"/>
      <c r="D73" s="10"/>
      <c r="E73" s="10"/>
      <c r="F73" s="10"/>
      <c r="G73" s="10"/>
      <c r="H73" s="10"/>
      <c r="I73" s="10"/>
      <c r="J73" s="10"/>
      <c r="K73" s="10"/>
      <c r="L73" s="11"/>
      <c r="N73" s="11"/>
    </row>
    <row r="74">
      <c r="A74" s="10"/>
      <c r="B74" s="10"/>
      <c r="C74" s="10"/>
      <c r="D74" s="10"/>
      <c r="E74" s="10"/>
      <c r="F74" s="10"/>
      <c r="G74" s="10"/>
      <c r="H74" s="10"/>
      <c r="I74" s="10"/>
      <c r="J74" s="10"/>
      <c r="K74" s="10"/>
      <c r="L74" s="11"/>
      <c r="N74" s="11"/>
    </row>
    <row r="75">
      <c r="A75" s="10"/>
      <c r="B75" s="10"/>
      <c r="C75" s="10"/>
      <c r="D75" s="10"/>
      <c r="E75" s="10"/>
      <c r="F75" s="10"/>
      <c r="G75" s="10"/>
      <c r="H75" s="10"/>
      <c r="I75" s="10"/>
      <c r="J75" s="10"/>
      <c r="K75" s="10"/>
      <c r="L75" s="11"/>
      <c r="N75" s="11"/>
    </row>
    <row r="76">
      <c r="A76" s="10"/>
      <c r="B76" s="10"/>
      <c r="C76" s="10"/>
      <c r="D76" s="10"/>
      <c r="E76" s="10"/>
      <c r="F76" s="10"/>
      <c r="G76" s="10"/>
      <c r="H76" s="10"/>
      <c r="I76" s="10"/>
      <c r="J76" s="10"/>
      <c r="K76" s="10"/>
      <c r="L76" s="11"/>
      <c r="N76" s="11"/>
    </row>
    <row r="77">
      <c r="A77" s="10"/>
      <c r="B77" s="10"/>
      <c r="C77" s="10"/>
      <c r="D77" s="10"/>
      <c r="E77" s="10"/>
      <c r="F77" s="10"/>
      <c r="G77" s="10"/>
      <c r="H77" s="10"/>
      <c r="I77" s="10"/>
      <c r="J77" s="10"/>
      <c r="K77" s="10"/>
      <c r="L77" s="11"/>
      <c r="N77" s="11"/>
    </row>
    <row r="78">
      <c r="A78" s="10"/>
      <c r="B78" s="10"/>
      <c r="C78" s="10"/>
      <c r="D78" s="10"/>
      <c r="E78" s="10"/>
      <c r="F78" s="10"/>
      <c r="G78" s="10"/>
      <c r="H78" s="10"/>
      <c r="I78" s="10"/>
      <c r="J78" s="10"/>
      <c r="K78" s="10"/>
      <c r="L78" s="11"/>
      <c r="N78" s="11"/>
    </row>
    <row r="79">
      <c r="A79" s="10"/>
      <c r="B79" s="10"/>
      <c r="C79" s="10"/>
      <c r="D79" s="10"/>
      <c r="E79" s="10"/>
      <c r="F79" s="10"/>
      <c r="G79" s="10"/>
      <c r="H79" s="10"/>
      <c r="I79" s="10"/>
      <c r="J79" s="10"/>
      <c r="K79" s="10"/>
      <c r="L79" s="11"/>
      <c r="N79" s="11"/>
    </row>
    <row r="80">
      <c r="A80" s="10"/>
      <c r="B80" s="10"/>
      <c r="C80" s="10"/>
      <c r="D80" s="10"/>
      <c r="E80" s="10"/>
      <c r="F80" s="10"/>
      <c r="G80" s="10"/>
      <c r="H80" s="10"/>
      <c r="I80" s="10"/>
      <c r="J80" s="10"/>
      <c r="K80" s="10"/>
      <c r="L80" s="11"/>
      <c r="N80" s="11"/>
    </row>
    <row r="81">
      <c r="A81" s="10"/>
      <c r="B81" s="10"/>
      <c r="C81" s="10"/>
      <c r="D81" s="10"/>
      <c r="E81" s="10"/>
      <c r="F81" s="10"/>
      <c r="G81" s="10"/>
      <c r="H81" s="10"/>
      <c r="I81" s="10"/>
      <c r="J81" s="10"/>
      <c r="K81" s="10"/>
      <c r="L81" s="11"/>
      <c r="N81" s="11"/>
    </row>
    <row r="82">
      <c r="A82" s="10"/>
      <c r="B82" s="10"/>
      <c r="C82" s="10"/>
      <c r="D82" s="10"/>
      <c r="E82" s="10"/>
      <c r="F82" s="10"/>
      <c r="G82" s="10"/>
      <c r="H82" s="10"/>
      <c r="I82" s="10"/>
      <c r="J82" s="10"/>
      <c r="K82" s="10"/>
      <c r="L82" s="11"/>
      <c r="N82" s="11"/>
    </row>
    <row r="83">
      <c r="A83" s="10"/>
      <c r="B83" s="10"/>
      <c r="C83" s="10"/>
      <c r="D83" s="10"/>
      <c r="E83" s="10"/>
      <c r="F83" s="10"/>
      <c r="G83" s="10"/>
      <c r="H83" s="10"/>
      <c r="I83" s="10"/>
      <c r="J83" s="10"/>
      <c r="K83" s="10"/>
      <c r="L83" s="11"/>
      <c r="N83" s="11"/>
    </row>
    <row r="84">
      <c r="A84" s="10"/>
      <c r="B84" s="10"/>
      <c r="C84" s="10"/>
      <c r="D84" s="10"/>
      <c r="E84" s="10"/>
      <c r="F84" s="10"/>
      <c r="G84" s="10"/>
      <c r="H84" s="10"/>
      <c r="I84" s="10"/>
      <c r="J84" s="10"/>
      <c r="K84" s="10"/>
      <c r="L84" s="11"/>
      <c r="N84" s="11"/>
    </row>
    <row r="85">
      <c r="A85" s="10"/>
      <c r="B85" s="10"/>
      <c r="C85" s="10"/>
      <c r="D85" s="10"/>
      <c r="E85" s="10"/>
      <c r="F85" s="10"/>
      <c r="G85" s="10"/>
      <c r="H85" s="10"/>
      <c r="I85" s="10"/>
      <c r="J85" s="10"/>
      <c r="K85" s="10"/>
      <c r="L85" s="11"/>
      <c r="N85" s="11"/>
    </row>
    <row r="86">
      <c r="A86" s="10"/>
      <c r="B86" s="10"/>
      <c r="C86" s="10"/>
      <c r="D86" s="10"/>
      <c r="E86" s="10"/>
      <c r="F86" s="10"/>
      <c r="G86" s="10"/>
      <c r="H86" s="10"/>
      <c r="I86" s="10"/>
      <c r="J86" s="10"/>
      <c r="K86" s="10"/>
      <c r="L86" s="11"/>
      <c r="N86" s="11"/>
    </row>
    <row r="87">
      <c r="A87" s="10"/>
      <c r="B87" s="10"/>
      <c r="C87" s="10"/>
      <c r="D87" s="10"/>
      <c r="E87" s="10"/>
      <c r="F87" s="10"/>
      <c r="G87" s="10"/>
      <c r="H87" s="10"/>
      <c r="I87" s="10"/>
      <c r="J87" s="10"/>
      <c r="K87" s="10"/>
      <c r="L87" s="11"/>
      <c r="N87" s="11"/>
    </row>
    <row r="88">
      <c r="A88" s="10"/>
      <c r="B88" s="10"/>
      <c r="C88" s="10"/>
      <c r="D88" s="10"/>
      <c r="E88" s="10"/>
      <c r="F88" s="10"/>
      <c r="G88" s="10"/>
      <c r="H88" s="10"/>
      <c r="I88" s="10"/>
      <c r="J88" s="10"/>
      <c r="K88" s="10"/>
      <c r="L88" s="11"/>
      <c r="N88" s="11"/>
    </row>
    <row r="89">
      <c r="A89" s="10"/>
      <c r="B89" s="10"/>
      <c r="C89" s="10"/>
      <c r="D89" s="10"/>
      <c r="E89" s="10"/>
      <c r="F89" s="10"/>
      <c r="G89" s="10"/>
      <c r="H89" s="10"/>
      <c r="I89" s="10"/>
      <c r="J89" s="10"/>
      <c r="K89" s="10"/>
      <c r="L89" s="11"/>
      <c r="N89" s="11"/>
    </row>
    <row r="90">
      <c r="A90" s="10"/>
      <c r="B90" s="10"/>
      <c r="C90" s="10"/>
      <c r="D90" s="10"/>
      <c r="E90" s="10"/>
      <c r="F90" s="10"/>
      <c r="G90" s="10"/>
      <c r="H90" s="10"/>
      <c r="I90" s="10"/>
      <c r="J90" s="10"/>
      <c r="K90" s="10"/>
      <c r="L90" s="11"/>
      <c r="N90" s="11"/>
    </row>
    <row r="91">
      <c r="A91" s="10"/>
      <c r="B91" s="10"/>
      <c r="C91" s="10"/>
      <c r="D91" s="10"/>
      <c r="E91" s="10"/>
      <c r="F91" s="10"/>
      <c r="G91" s="10"/>
      <c r="H91" s="10"/>
      <c r="I91" s="10"/>
      <c r="J91" s="10"/>
      <c r="K91" s="10"/>
      <c r="L91" s="11"/>
      <c r="N91" s="11"/>
    </row>
    <row r="92">
      <c r="A92" s="10"/>
      <c r="B92" s="10"/>
      <c r="C92" s="10"/>
      <c r="D92" s="10"/>
      <c r="E92" s="10"/>
      <c r="F92" s="10"/>
      <c r="G92" s="10"/>
      <c r="H92" s="10"/>
      <c r="I92" s="10"/>
      <c r="J92" s="10"/>
      <c r="K92" s="10"/>
      <c r="L92" s="11"/>
      <c r="N92" s="11"/>
    </row>
    <row r="93">
      <c r="A93" s="10"/>
      <c r="B93" s="10"/>
      <c r="C93" s="10"/>
      <c r="D93" s="10"/>
      <c r="E93" s="10"/>
      <c r="F93" s="10"/>
      <c r="G93" s="10"/>
      <c r="H93" s="10"/>
      <c r="I93" s="10"/>
      <c r="J93" s="10"/>
      <c r="K93" s="10"/>
      <c r="L93" s="11"/>
      <c r="N93" s="11"/>
    </row>
    <row r="94">
      <c r="A94" s="10"/>
      <c r="B94" s="10"/>
      <c r="C94" s="10"/>
      <c r="D94" s="10"/>
      <c r="E94" s="10"/>
      <c r="F94" s="10"/>
      <c r="G94" s="10"/>
      <c r="H94" s="10"/>
      <c r="I94" s="10"/>
      <c r="J94" s="10"/>
      <c r="K94" s="10"/>
      <c r="L94" s="11"/>
      <c r="N94" s="11"/>
    </row>
    <row r="95">
      <c r="A95" s="10"/>
      <c r="B95" s="10"/>
      <c r="C95" s="10"/>
      <c r="D95" s="10"/>
      <c r="E95" s="10"/>
      <c r="F95" s="10"/>
      <c r="G95" s="10"/>
      <c r="H95" s="10"/>
      <c r="I95" s="10"/>
      <c r="J95" s="10"/>
      <c r="K95" s="10"/>
      <c r="L95" s="11"/>
      <c r="N95" s="11"/>
    </row>
    <row r="96">
      <c r="A96" s="10"/>
      <c r="B96" s="10"/>
      <c r="C96" s="10"/>
      <c r="D96" s="10"/>
      <c r="E96" s="10"/>
      <c r="F96" s="10"/>
      <c r="G96" s="10"/>
      <c r="H96" s="10"/>
      <c r="I96" s="10"/>
      <c r="J96" s="10"/>
      <c r="K96" s="10"/>
      <c r="L96" s="11"/>
      <c r="N96" s="11"/>
    </row>
    <row r="97">
      <c r="A97" s="10"/>
      <c r="B97" s="10"/>
      <c r="C97" s="10"/>
      <c r="D97" s="10"/>
      <c r="E97" s="10"/>
      <c r="F97" s="10"/>
      <c r="G97" s="10"/>
      <c r="H97" s="10"/>
      <c r="I97" s="10"/>
      <c r="J97" s="10"/>
      <c r="K97" s="10"/>
      <c r="L97" s="11"/>
      <c r="N97" s="11"/>
    </row>
    <row r="98">
      <c r="A98" s="10"/>
      <c r="B98" s="10"/>
      <c r="C98" s="10"/>
      <c r="D98" s="10"/>
      <c r="E98" s="10"/>
      <c r="F98" s="10"/>
      <c r="G98" s="10"/>
      <c r="H98" s="10"/>
      <c r="I98" s="10"/>
      <c r="J98" s="10"/>
      <c r="K98" s="10"/>
      <c r="L98" s="11"/>
      <c r="N98" s="11"/>
    </row>
    <row r="99">
      <c r="A99" s="10"/>
      <c r="B99" s="10"/>
      <c r="C99" s="10"/>
      <c r="D99" s="10"/>
      <c r="E99" s="10"/>
      <c r="F99" s="10"/>
      <c r="G99" s="10"/>
      <c r="H99" s="10"/>
      <c r="I99" s="10"/>
      <c r="J99" s="10"/>
      <c r="K99" s="10"/>
      <c r="L99" s="11"/>
      <c r="N99" s="11"/>
    </row>
    <row r="100">
      <c r="A100" s="10"/>
      <c r="B100" s="10"/>
      <c r="C100" s="10"/>
      <c r="D100" s="10"/>
      <c r="E100" s="10"/>
      <c r="F100" s="10"/>
      <c r="G100" s="10"/>
      <c r="H100" s="10"/>
      <c r="I100" s="10"/>
      <c r="J100" s="10"/>
      <c r="K100" s="10"/>
      <c r="L100" s="11"/>
      <c r="N100" s="11"/>
    </row>
    <row r="101">
      <c r="A101" s="10"/>
      <c r="B101" s="10"/>
      <c r="C101" s="10"/>
      <c r="D101" s="10"/>
      <c r="E101" s="10"/>
      <c r="F101" s="10"/>
      <c r="G101" s="10"/>
      <c r="H101" s="10"/>
      <c r="I101" s="10"/>
      <c r="J101" s="10"/>
      <c r="K101" s="10"/>
      <c r="L101" s="11"/>
      <c r="N101" s="11"/>
    </row>
    <row r="102">
      <c r="A102" s="10"/>
      <c r="B102" s="10"/>
      <c r="C102" s="10"/>
      <c r="D102" s="10"/>
      <c r="E102" s="10"/>
      <c r="F102" s="10"/>
      <c r="G102" s="10"/>
      <c r="H102" s="10"/>
      <c r="I102" s="10"/>
      <c r="J102" s="10"/>
      <c r="K102" s="10"/>
      <c r="L102" s="11"/>
      <c r="N102" s="11"/>
    </row>
    <row r="103">
      <c r="A103" s="10"/>
      <c r="B103" s="10"/>
      <c r="C103" s="10"/>
      <c r="D103" s="10"/>
      <c r="E103" s="10"/>
      <c r="F103" s="10"/>
      <c r="G103" s="10"/>
      <c r="H103" s="10"/>
      <c r="I103" s="10"/>
      <c r="J103" s="10"/>
      <c r="K103" s="10"/>
      <c r="L103" s="11"/>
      <c r="N103" s="11"/>
    </row>
    <row r="104">
      <c r="A104" s="10"/>
      <c r="B104" s="10"/>
      <c r="C104" s="10"/>
      <c r="D104" s="10"/>
      <c r="E104" s="10"/>
      <c r="F104" s="10"/>
      <c r="G104" s="10"/>
      <c r="H104" s="10"/>
      <c r="I104" s="10"/>
      <c r="J104" s="10"/>
      <c r="K104" s="10"/>
      <c r="L104" s="11"/>
      <c r="N104" s="11"/>
    </row>
    <row r="105">
      <c r="A105" s="10"/>
      <c r="B105" s="10"/>
      <c r="C105" s="10"/>
      <c r="D105" s="10"/>
      <c r="E105" s="10"/>
      <c r="F105" s="10"/>
      <c r="G105" s="10"/>
      <c r="H105" s="10"/>
      <c r="I105" s="10"/>
      <c r="J105" s="10"/>
      <c r="K105" s="10"/>
      <c r="L105" s="11"/>
      <c r="N105" s="11"/>
    </row>
    <row r="106">
      <c r="A106" s="10"/>
      <c r="B106" s="10"/>
      <c r="C106" s="10"/>
      <c r="D106" s="10"/>
      <c r="E106" s="10"/>
      <c r="F106" s="10"/>
      <c r="G106" s="10"/>
      <c r="H106" s="10"/>
      <c r="I106" s="10"/>
      <c r="J106" s="10"/>
      <c r="K106" s="10"/>
      <c r="L106" s="11"/>
      <c r="N106" s="11"/>
    </row>
    <row r="107">
      <c r="A107" s="10"/>
      <c r="B107" s="10"/>
      <c r="C107" s="10"/>
      <c r="D107" s="10"/>
      <c r="E107" s="10"/>
      <c r="F107" s="10"/>
      <c r="G107" s="10"/>
      <c r="H107" s="10"/>
      <c r="I107" s="10"/>
      <c r="J107" s="10"/>
      <c r="K107" s="10"/>
      <c r="L107" s="11"/>
      <c r="N107" s="11"/>
    </row>
    <row r="108">
      <c r="A108" s="10"/>
      <c r="B108" s="10"/>
      <c r="C108" s="10"/>
      <c r="D108" s="10"/>
      <c r="E108" s="10"/>
      <c r="F108" s="10"/>
      <c r="G108" s="10"/>
      <c r="H108" s="10"/>
      <c r="I108" s="10"/>
      <c r="J108" s="10"/>
      <c r="K108" s="10"/>
      <c r="L108" s="11"/>
      <c r="N108" s="11"/>
    </row>
    <row r="109">
      <c r="A109" s="10"/>
      <c r="B109" s="10"/>
      <c r="C109" s="10"/>
      <c r="D109" s="10"/>
      <c r="E109" s="10"/>
      <c r="F109" s="10"/>
      <c r="G109" s="10"/>
      <c r="H109" s="10"/>
      <c r="I109" s="10"/>
      <c r="J109" s="10"/>
      <c r="K109" s="10"/>
      <c r="L109" s="11"/>
      <c r="N109" s="11"/>
    </row>
    <row r="110">
      <c r="A110" s="10"/>
      <c r="B110" s="10"/>
      <c r="C110" s="10"/>
      <c r="D110" s="10"/>
      <c r="E110" s="10"/>
      <c r="F110" s="10"/>
      <c r="G110" s="10"/>
      <c r="H110" s="10"/>
      <c r="I110" s="10"/>
      <c r="J110" s="10"/>
      <c r="K110" s="10"/>
      <c r="L110" s="11"/>
      <c r="N110" s="11"/>
    </row>
    <row r="111">
      <c r="A111" s="10"/>
      <c r="B111" s="10"/>
      <c r="C111" s="10"/>
      <c r="D111" s="10"/>
      <c r="E111" s="10"/>
      <c r="F111" s="10"/>
      <c r="G111" s="10"/>
      <c r="H111" s="10"/>
      <c r="I111" s="10"/>
      <c r="J111" s="10"/>
      <c r="K111" s="10"/>
      <c r="L111" s="11"/>
      <c r="N111" s="11"/>
    </row>
    <row r="112">
      <c r="A112" s="10"/>
      <c r="B112" s="10"/>
      <c r="C112" s="10"/>
      <c r="D112" s="10"/>
      <c r="E112" s="10"/>
      <c r="F112" s="10"/>
      <c r="G112" s="10"/>
      <c r="H112" s="10"/>
      <c r="I112" s="10"/>
      <c r="J112" s="10"/>
      <c r="K112" s="10"/>
      <c r="L112" s="11"/>
      <c r="N112" s="11"/>
    </row>
    <row r="113">
      <c r="A113" s="10"/>
      <c r="B113" s="10"/>
      <c r="C113" s="10"/>
      <c r="D113" s="10"/>
      <c r="E113" s="10"/>
      <c r="F113" s="10"/>
      <c r="G113" s="10"/>
      <c r="H113" s="10"/>
      <c r="I113" s="10"/>
      <c r="J113" s="10"/>
      <c r="K113" s="10"/>
      <c r="L113" s="11"/>
      <c r="N113" s="11"/>
    </row>
    <row r="114">
      <c r="A114" s="10"/>
      <c r="B114" s="10"/>
      <c r="C114" s="10"/>
      <c r="D114" s="10"/>
      <c r="E114" s="10"/>
      <c r="F114" s="10"/>
      <c r="G114" s="10"/>
      <c r="H114" s="10"/>
      <c r="I114" s="10"/>
      <c r="J114" s="10"/>
      <c r="K114" s="10"/>
      <c r="L114" s="11"/>
      <c r="N114" s="11"/>
    </row>
    <row r="115">
      <c r="A115" s="10"/>
      <c r="B115" s="10"/>
      <c r="C115" s="10"/>
      <c r="D115" s="10"/>
      <c r="E115" s="10"/>
      <c r="F115" s="10"/>
      <c r="G115" s="10"/>
      <c r="H115" s="10"/>
      <c r="I115" s="10"/>
      <c r="J115" s="10"/>
      <c r="K115" s="10"/>
      <c r="L115" s="11"/>
      <c r="N115" s="11"/>
    </row>
    <row r="116">
      <c r="A116" s="10"/>
      <c r="B116" s="10"/>
      <c r="C116" s="10"/>
      <c r="D116" s="10"/>
      <c r="E116" s="10"/>
      <c r="F116" s="10"/>
      <c r="G116" s="10"/>
      <c r="H116" s="10"/>
      <c r="I116" s="10"/>
      <c r="J116" s="10"/>
      <c r="K116" s="10"/>
      <c r="L116" s="11"/>
      <c r="N116" s="11"/>
    </row>
    <row r="117">
      <c r="A117" s="10"/>
      <c r="B117" s="10"/>
      <c r="C117" s="10"/>
      <c r="D117" s="10"/>
      <c r="E117" s="10"/>
      <c r="F117" s="10"/>
      <c r="G117" s="10"/>
      <c r="H117" s="10"/>
      <c r="I117" s="10"/>
      <c r="J117" s="10"/>
      <c r="K117" s="10"/>
      <c r="L117" s="11"/>
      <c r="N117" s="11"/>
    </row>
    <row r="118">
      <c r="A118" s="10"/>
      <c r="B118" s="10"/>
      <c r="C118" s="10"/>
      <c r="D118" s="10"/>
      <c r="E118" s="10"/>
      <c r="F118" s="10"/>
      <c r="G118" s="10"/>
      <c r="H118" s="10"/>
      <c r="I118" s="10"/>
      <c r="J118" s="10"/>
      <c r="K118" s="10"/>
      <c r="L118" s="11"/>
      <c r="N118" s="11"/>
    </row>
    <row r="119">
      <c r="A119" s="10"/>
      <c r="B119" s="10"/>
      <c r="C119" s="10"/>
      <c r="D119" s="10"/>
      <c r="E119" s="10"/>
      <c r="F119" s="10"/>
      <c r="G119" s="10"/>
      <c r="H119" s="10"/>
      <c r="I119" s="10"/>
      <c r="J119" s="10"/>
      <c r="K119" s="10"/>
      <c r="L119" s="11"/>
      <c r="N119" s="11"/>
    </row>
    <row r="120">
      <c r="A120" s="10"/>
      <c r="B120" s="10"/>
      <c r="C120" s="10"/>
      <c r="D120" s="10"/>
      <c r="E120" s="10"/>
      <c r="F120" s="10"/>
      <c r="G120" s="10"/>
      <c r="H120" s="10"/>
      <c r="I120" s="10"/>
      <c r="J120" s="10"/>
      <c r="K120" s="10"/>
      <c r="L120" s="11"/>
      <c r="N120" s="11"/>
    </row>
    <row r="121">
      <c r="A121" s="10"/>
      <c r="B121" s="10"/>
      <c r="C121" s="10"/>
      <c r="D121" s="10"/>
      <c r="E121" s="10"/>
      <c r="F121" s="10"/>
      <c r="G121" s="10"/>
      <c r="H121" s="10"/>
      <c r="I121" s="10"/>
      <c r="J121" s="10"/>
      <c r="K121" s="10"/>
      <c r="L121" s="11"/>
      <c r="N121" s="11"/>
    </row>
    <row r="122">
      <c r="A122" s="10"/>
      <c r="B122" s="10"/>
      <c r="C122" s="10"/>
      <c r="D122" s="10"/>
      <c r="E122" s="10"/>
      <c r="F122" s="10"/>
      <c r="G122" s="10"/>
      <c r="H122" s="10"/>
      <c r="I122" s="10"/>
      <c r="J122" s="10"/>
      <c r="K122" s="10"/>
      <c r="L122" s="11"/>
      <c r="N122" s="11"/>
    </row>
    <row r="123">
      <c r="A123" s="10"/>
      <c r="B123" s="10"/>
      <c r="C123" s="10"/>
      <c r="D123" s="10"/>
      <c r="E123" s="10"/>
      <c r="F123" s="10"/>
      <c r="G123" s="10"/>
      <c r="H123" s="10"/>
      <c r="I123" s="10"/>
      <c r="J123" s="10"/>
      <c r="K123" s="10"/>
      <c r="L123" s="11"/>
      <c r="N123" s="11"/>
    </row>
    <row r="124">
      <c r="A124" s="10"/>
      <c r="B124" s="10"/>
      <c r="C124" s="10"/>
      <c r="D124" s="10"/>
      <c r="E124" s="10"/>
      <c r="F124" s="10"/>
      <c r="G124" s="10"/>
      <c r="H124" s="10"/>
      <c r="I124" s="10"/>
      <c r="J124" s="10"/>
      <c r="K124" s="10"/>
      <c r="L124" s="11"/>
      <c r="N124" s="11"/>
    </row>
    <row r="125">
      <c r="A125" s="10"/>
      <c r="B125" s="10"/>
      <c r="C125" s="10"/>
      <c r="D125" s="10"/>
      <c r="E125" s="10"/>
      <c r="F125" s="10"/>
      <c r="G125" s="10"/>
      <c r="H125" s="10"/>
      <c r="I125" s="10"/>
      <c r="J125" s="10"/>
      <c r="K125" s="10"/>
      <c r="L125" s="11"/>
      <c r="N125" s="11"/>
    </row>
    <row r="126">
      <c r="A126" s="10"/>
      <c r="B126" s="10"/>
      <c r="C126" s="10"/>
      <c r="D126" s="10"/>
      <c r="E126" s="10"/>
      <c r="F126" s="10"/>
      <c r="G126" s="10"/>
      <c r="H126" s="10"/>
      <c r="I126" s="10"/>
      <c r="J126" s="10"/>
      <c r="K126" s="10"/>
      <c r="L126" s="11"/>
      <c r="N126" s="11"/>
    </row>
    <row r="127">
      <c r="A127" s="10"/>
      <c r="B127" s="10"/>
      <c r="C127" s="10"/>
      <c r="D127" s="10"/>
      <c r="E127" s="10"/>
      <c r="F127" s="10"/>
      <c r="G127" s="10"/>
      <c r="H127" s="10"/>
      <c r="I127" s="10"/>
      <c r="J127" s="10"/>
      <c r="K127" s="10"/>
      <c r="L127" s="11"/>
      <c r="N127" s="11"/>
    </row>
    <row r="128">
      <c r="A128" s="10"/>
      <c r="B128" s="10"/>
      <c r="C128" s="10"/>
      <c r="D128" s="10"/>
      <c r="E128" s="10"/>
      <c r="F128" s="10"/>
      <c r="G128" s="10"/>
      <c r="H128" s="10"/>
      <c r="I128" s="10"/>
      <c r="J128" s="10"/>
      <c r="K128" s="10"/>
      <c r="L128" s="11"/>
      <c r="N128" s="11"/>
    </row>
    <row r="129">
      <c r="A129" s="10"/>
      <c r="B129" s="10"/>
      <c r="C129" s="10"/>
      <c r="D129" s="10"/>
      <c r="E129" s="10"/>
      <c r="F129" s="10"/>
      <c r="G129" s="10"/>
      <c r="H129" s="10"/>
      <c r="I129" s="10"/>
      <c r="J129" s="10"/>
      <c r="K129" s="10"/>
      <c r="L129" s="11"/>
      <c r="N129" s="11"/>
    </row>
    <row r="130">
      <c r="A130" s="10"/>
      <c r="B130" s="10"/>
      <c r="C130" s="10"/>
      <c r="D130" s="10"/>
      <c r="E130" s="10"/>
      <c r="F130" s="10"/>
      <c r="G130" s="10"/>
      <c r="H130" s="10"/>
      <c r="I130" s="10"/>
      <c r="J130" s="10"/>
      <c r="K130" s="10"/>
      <c r="L130" s="11"/>
      <c r="N130" s="11"/>
    </row>
    <row r="131">
      <c r="A131" s="10"/>
      <c r="B131" s="10"/>
      <c r="C131" s="10"/>
      <c r="D131" s="10"/>
      <c r="E131" s="10"/>
      <c r="F131" s="10"/>
      <c r="G131" s="10"/>
      <c r="H131" s="10"/>
      <c r="I131" s="10"/>
      <c r="J131" s="10"/>
      <c r="K131" s="10"/>
      <c r="L131" s="11"/>
      <c r="N131" s="11"/>
    </row>
    <row r="132">
      <c r="A132" s="10"/>
      <c r="B132" s="10"/>
      <c r="C132" s="10"/>
      <c r="D132" s="10"/>
      <c r="E132" s="10"/>
      <c r="F132" s="10"/>
      <c r="G132" s="10"/>
      <c r="H132" s="10"/>
      <c r="I132" s="10"/>
      <c r="J132" s="10"/>
      <c r="K132" s="10"/>
      <c r="L132" s="11"/>
      <c r="N132" s="11"/>
    </row>
    <row r="133">
      <c r="A133" s="10"/>
      <c r="B133" s="10"/>
      <c r="C133" s="10"/>
      <c r="D133" s="10"/>
      <c r="E133" s="10"/>
      <c r="F133" s="10"/>
      <c r="G133" s="10"/>
      <c r="H133" s="10"/>
      <c r="I133" s="10"/>
      <c r="J133" s="10"/>
      <c r="K133" s="10"/>
      <c r="L133" s="11"/>
      <c r="N133" s="11"/>
    </row>
    <row r="134">
      <c r="A134" s="10"/>
      <c r="B134" s="10"/>
      <c r="C134" s="10"/>
      <c r="D134" s="10"/>
      <c r="E134" s="10"/>
      <c r="F134" s="10"/>
      <c r="G134" s="10"/>
      <c r="H134" s="10"/>
      <c r="I134" s="10"/>
      <c r="J134" s="10"/>
      <c r="K134" s="10"/>
      <c r="L134" s="11"/>
      <c r="N134" s="11"/>
    </row>
    <row r="135">
      <c r="A135" s="10"/>
      <c r="B135" s="10"/>
      <c r="C135" s="10"/>
      <c r="D135" s="10"/>
      <c r="E135" s="10"/>
      <c r="F135" s="10"/>
      <c r="G135" s="10"/>
      <c r="H135" s="10"/>
      <c r="I135" s="10"/>
      <c r="J135" s="10"/>
      <c r="K135" s="10"/>
      <c r="L135" s="11"/>
      <c r="N135" s="11"/>
    </row>
    <row r="136">
      <c r="A136" s="10"/>
      <c r="B136" s="10"/>
      <c r="C136" s="10"/>
      <c r="D136" s="10"/>
      <c r="E136" s="10"/>
      <c r="F136" s="10"/>
      <c r="G136" s="10"/>
      <c r="H136" s="10"/>
      <c r="I136" s="10"/>
      <c r="J136" s="10"/>
      <c r="K136" s="10"/>
      <c r="L136" s="11"/>
      <c r="N136" s="11"/>
    </row>
    <row r="137">
      <c r="A137" s="10"/>
      <c r="B137" s="10"/>
      <c r="C137" s="10"/>
      <c r="D137" s="10"/>
      <c r="E137" s="10"/>
      <c r="F137" s="10"/>
      <c r="G137" s="10"/>
      <c r="H137" s="10"/>
      <c r="I137" s="10"/>
      <c r="J137" s="10"/>
      <c r="K137" s="10"/>
      <c r="L137" s="11"/>
      <c r="N137" s="11"/>
    </row>
    <row r="138">
      <c r="A138" s="10"/>
      <c r="B138" s="10"/>
      <c r="C138" s="10"/>
      <c r="D138" s="10"/>
      <c r="E138" s="10"/>
      <c r="F138" s="10"/>
      <c r="G138" s="10"/>
      <c r="H138" s="10"/>
      <c r="I138" s="10"/>
      <c r="J138" s="10"/>
      <c r="K138" s="10"/>
      <c r="L138" s="11"/>
      <c r="N138" s="11"/>
    </row>
    <row r="139">
      <c r="A139" s="10"/>
      <c r="B139" s="10"/>
      <c r="C139" s="10"/>
      <c r="D139" s="10"/>
      <c r="E139" s="10"/>
      <c r="F139" s="10"/>
      <c r="G139" s="10"/>
      <c r="H139" s="10"/>
      <c r="I139" s="10"/>
      <c r="J139" s="10"/>
      <c r="K139" s="10"/>
      <c r="L139" s="11"/>
      <c r="N139" s="11"/>
    </row>
    <row r="140">
      <c r="A140" s="10"/>
      <c r="B140" s="10"/>
      <c r="C140" s="10"/>
      <c r="D140" s="10"/>
      <c r="E140" s="10"/>
      <c r="F140" s="10"/>
      <c r="G140" s="10"/>
      <c r="H140" s="10"/>
      <c r="I140" s="10"/>
      <c r="J140" s="10"/>
      <c r="K140" s="10"/>
      <c r="L140" s="11"/>
      <c r="N140" s="11"/>
    </row>
    <row r="141">
      <c r="A141" s="10"/>
      <c r="B141" s="10"/>
      <c r="C141" s="10"/>
      <c r="D141" s="10"/>
      <c r="E141" s="10"/>
      <c r="F141" s="10"/>
      <c r="G141" s="10"/>
      <c r="H141" s="10"/>
      <c r="I141" s="10"/>
      <c r="J141" s="10"/>
      <c r="K141" s="10"/>
      <c r="L141" s="11"/>
      <c r="N141" s="11"/>
    </row>
    <row r="142">
      <c r="A142" s="10"/>
      <c r="B142" s="10"/>
      <c r="C142" s="10"/>
      <c r="D142" s="10"/>
      <c r="E142" s="10"/>
      <c r="F142" s="10"/>
      <c r="G142" s="10"/>
      <c r="H142" s="10"/>
      <c r="I142" s="10"/>
      <c r="J142" s="10"/>
      <c r="K142" s="10"/>
      <c r="L142" s="11"/>
      <c r="N142" s="11"/>
    </row>
    <row r="143">
      <c r="A143" s="10"/>
      <c r="B143" s="10"/>
      <c r="C143" s="10"/>
      <c r="D143" s="10"/>
      <c r="E143" s="10"/>
      <c r="F143" s="10"/>
      <c r="G143" s="10"/>
      <c r="H143" s="10"/>
      <c r="I143" s="10"/>
      <c r="J143" s="10"/>
      <c r="K143" s="10"/>
      <c r="L143" s="11"/>
      <c r="N143" s="11"/>
    </row>
    <row r="144">
      <c r="A144" s="10"/>
      <c r="B144" s="10"/>
      <c r="C144" s="10"/>
      <c r="D144" s="10"/>
      <c r="E144" s="10"/>
      <c r="F144" s="10"/>
      <c r="G144" s="10"/>
      <c r="H144" s="10"/>
      <c r="I144" s="10"/>
      <c r="J144" s="10"/>
      <c r="K144" s="10"/>
      <c r="L144" s="11"/>
      <c r="N144" s="11"/>
    </row>
    <row r="145">
      <c r="A145" s="10"/>
      <c r="B145" s="10"/>
      <c r="C145" s="10"/>
      <c r="D145" s="10"/>
      <c r="E145" s="10"/>
      <c r="F145" s="10"/>
      <c r="G145" s="10"/>
      <c r="H145" s="10"/>
      <c r="I145" s="10"/>
      <c r="J145" s="10"/>
      <c r="K145" s="10"/>
      <c r="L145" s="11"/>
      <c r="N145" s="11"/>
    </row>
    <row r="146">
      <c r="A146" s="10"/>
      <c r="B146" s="10"/>
      <c r="C146" s="10"/>
      <c r="D146" s="10"/>
      <c r="E146" s="10"/>
      <c r="F146" s="10"/>
      <c r="G146" s="10"/>
      <c r="H146" s="10"/>
      <c r="I146" s="10"/>
      <c r="J146" s="10"/>
      <c r="K146" s="10"/>
      <c r="L146" s="11"/>
      <c r="N146" s="11"/>
    </row>
    <row r="147">
      <c r="A147" s="10"/>
      <c r="B147" s="10"/>
      <c r="C147" s="10"/>
      <c r="D147" s="10"/>
      <c r="E147" s="10"/>
      <c r="F147" s="10"/>
      <c r="G147" s="10"/>
      <c r="H147" s="10"/>
      <c r="I147" s="10"/>
      <c r="J147" s="10"/>
      <c r="K147" s="10"/>
      <c r="L147" s="11"/>
      <c r="N147" s="11"/>
    </row>
    <row r="148">
      <c r="A148" s="10"/>
      <c r="B148" s="10"/>
      <c r="C148" s="10"/>
      <c r="D148" s="10"/>
      <c r="E148" s="10"/>
      <c r="F148" s="10"/>
      <c r="G148" s="10"/>
      <c r="H148" s="10"/>
      <c r="I148" s="10"/>
      <c r="J148" s="10"/>
      <c r="K148" s="10"/>
      <c r="L148" s="11"/>
      <c r="N148" s="11"/>
    </row>
    <row r="149">
      <c r="A149" s="10"/>
      <c r="B149" s="10"/>
      <c r="C149" s="10"/>
      <c r="D149" s="10"/>
      <c r="E149" s="10"/>
      <c r="F149" s="10"/>
      <c r="G149" s="10"/>
      <c r="H149" s="10"/>
      <c r="I149" s="10"/>
      <c r="J149" s="10"/>
      <c r="K149" s="10"/>
      <c r="L149" s="11"/>
      <c r="N149" s="11"/>
    </row>
    <row r="150">
      <c r="A150" s="10"/>
      <c r="B150" s="10"/>
      <c r="C150" s="10"/>
      <c r="D150" s="10"/>
      <c r="E150" s="10"/>
      <c r="F150" s="10"/>
      <c r="G150" s="10"/>
      <c r="H150" s="10"/>
      <c r="I150" s="10"/>
      <c r="J150" s="10"/>
      <c r="K150" s="10"/>
      <c r="L150" s="11"/>
      <c r="N150" s="11"/>
    </row>
    <row r="151">
      <c r="A151" s="10"/>
      <c r="B151" s="10"/>
      <c r="C151" s="10"/>
      <c r="D151" s="10"/>
      <c r="E151" s="10"/>
      <c r="F151" s="10"/>
      <c r="G151" s="10"/>
      <c r="H151" s="10"/>
      <c r="I151" s="10"/>
      <c r="J151" s="10"/>
      <c r="K151" s="10"/>
      <c r="L151" s="11"/>
      <c r="N151" s="1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30.75"/>
    <col customWidth="1" min="6" max="6" width="23.38"/>
    <col customWidth="1" min="7" max="7" width="15.38"/>
  </cols>
  <sheetData>
    <row r="1">
      <c r="A1" s="1" t="s">
        <v>966</v>
      </c>
      <c r="B1" s="1" t="s">
        <v>967</v>
      </c>
    </row>
    <row r="2">
      <c r="A2" s="1" t="s">
        <v>968</v>
      </c>
      <c r="B2" s="1" t="s">
        <v>969</v>
      </c>
    </row>
    <row r="3">
      <c r="A3" s="1" t="s">
        <v>484</v>
      </c>
      <c r="B3" s="1" t="s">
        <v>484</v>
      </c>
    </row>
    <row r="4">
      <c r="A4" s="1" t="s">
        <v>304</v>
      </c>
      <c r="B4" s="1" t="s">
        <v>303</v>
      </c>
    </row>
    <row r="5">
      <c r="A5" s="1" t="s">
        <v>970</v>
      </c>
      <c r="B5" s="1" t="s">
        <v>495</v>
      </c>
    </row>
    <row r="6">
      <c r="A6" s="1" t="s">
        <v>971</v>
      </c>
      <c r="B6" s="1" t="s">
        <v>497</v>
      </c>
    </row>
    <row r="7">
      <c r="A7" s="1" t="s">
        <v>972</v>
      </c>
      <c r="B7" s="1" t="s">
        <v>973</v>
      </c>
    </row>
    <row r="8">
      <c r="A8" s="1" t="s">
        <v>499</v>
      </c>
      <c r="B8" s="1" t="s">
        <v>499</v>
      </c>
    </row>
    <row r="9">
      <c r="A9" s="16" t="s">
        <v>974</v>
      </c>
      <c r="B9" s="1" t="s">
        <v>975</v>
      </c>
    </row>
    <row r="10">
      <c r="A10" s="1" t="s">
        <v>976</v>
      </c>
      <c r="B10" s="1" t="s">
        <v>476</v>
      </c>
    </row>
    <row r="11">
      <c r="A11" s="1" t="s">
        <v>278</v>
      </c>
      <c r="B11" s="1" t="s">
        <v>277</v>
      </c>
    </row>
    <row r="12">
      <c r="A12" s="1" t="s">
        <v>281</v>
      </c>
      <c r="B12" s="1" t="s">
        <v>281</v>
      </c>
    </row>
    <row r="13">
      <c r="A13" s="1" t="s">
        <v>977</v>
      </c>
      <c r="B13" s="1" t="s">
        <v>978</v>
      </c>
    </row>
    <row r="14">
      <c r="A14" s="16" t="s">
        <v>979</v>
      </c>
      <c r="B14" s="1" t="s">
        <v>980</v>
      </c>
    </row>
    <row r="15">
      <c r="A15" s="1" t="s">
        <v>474</v>
      </c>
      <c r="B15" s="1" t="s">
        <v>474</v>
      </c>
    </row>
    <row r="16">
      <c r="A16" s="1" t="s">
        <v>814</v>
      </c>
      <c r="B16" s="1" t="s">
        <v>503</v>
      </c>
    </row>
    <row r="17">
      <c r="A17" s="16" t="s">
        <v>981</v>
      </c>
      <c r="B17" s="1" t="s">
        <v>981</v>
      </c>
    </row>
    <row r="18">
      <c r="A18" s="16" t="s">
        <v>982</v>
      </c>
      <c r="B18" s="1" t="s">
        <v>982</v>
      </c>
    </row>
    <row r="19">
      <c r="A19" s="1" t="s">
        <v>983</v>
      </c>
      <c r="B19" s="1" t="s">
        <v>984</v>
      </c>
    </row>
    <row r="20">
      <c r="A20" s="1" t="s">
        <v>985</v>
      </c>
      <c r="B20" s="1" t="s">
        <v>508</v>
      </c>
    </row>
    <row r="21">
      <c r="A21" s="1" t="s">
        <v>510</v>
      </c>
      <c r="B21" s="1" t="s">
        <v>510</v>
      </c>
    </row>
    <row r="22">
      <c r="A22" s="1" t="s">
        <v>986</v>
      </c>
      <c r="B22" s="1" t="s">
        <v>987</v>
      </c>
    </row>
    <row r="23">
      <c r="A23" s="1" t="s">
        <v>988</v>
      </c>
      <c r="B23" s="1" t="s">
        <v>989</v>
      </c>
    </row>
    <row r="24">
      <c r="A24" s="1" t="s">
        <v>470</v>
      </c>
      <c r="B24" s="1" t="s">
        <v>470</v>
      </c>
    </row>
    <row r="25">
      <c r="A25" s="1" t="s">
        <v>990</v>
      </c>
      <c r="B25" s="1" t="s">
        <v>991</v>
      </c>
    </row>
    <row r="26">
      <c r="A26" s="1" t="s">
        <v>992</v>
      </c>
      <c r="B26" s="1" t="s">
        <v>993</v>
      </c>
    </row>
    <row r="27">
      <c r="A27" s="1" t="s">
        <v>994</v>
      </c>
      <c r="B27" s="1" t="s">
        <v>995</v>
      </c>
    </row>
    <row r="28">
      <c r="A28" s="1" t="s">
        <v>996</v>
      </c>
      <c r="B28" s="1" t="s">
        <v>468</v>
      </c>
    </row>
    <row r="29">
      <c r="A29" s="16" t="s">
        <v>997</v>
      </c>
      <c r="B29" s="1" t="s">
        <v>998</v>
      </c>
    </row>
    <row r="30">
      <c r="A30" s="1" t="s">
        <v>999</v>
      </c>
      <c r="B30" s="1" t="s">
        <v>999</v>
      </c>
    </row>
    <row r="31">
      <c r="A31" s="1" t="s">
        <v>517</v>
      </c>
      <c r="B31" s="1" t="s">
        <v>517</v>
      </c>
    </row>
    <row r="32">
      <c r="A32" s="1" t="s">
        <v>466</v>
      </c>
      <c r="B32" s="1" t="s">
        <v>466</v>
      </c>
    </row>
    <row r="33">
      <c r="A33" s="1" t="s">
        <v>760</v>
      </c>
      <c r="B33" s="1" t="s">
        <v>462</v>
      </c>
    </row>
    <row r="34">
      <c r="A34" s="1" t="s">
        <v>1000</v>
      </c>
      <c r="B34" s="1" t="s">
        <v>460</v>
      </c>
    </row>
    <row r="35">
      <c r="A35" s="1" t="s">
        <v>1001</v>
      </c>
      <c r="B35" s="1" t="s">
        <v>525</v>
      </c>
    </row>
    <row r="36">
      <c r="A36" s="1" t="s">
        <v>1002</v>
      </c>
      <c r="B36" s="1" t="s">
        <v>1002</v>
      </c>
    </row>
    <row r="37">
      <c r="A37" s="16" t="s">
        <v>1003</v>
      </c>
      <c r="B37" s="1" t="s">
        <v>1004</v>
      </c>
    </row>
    <row r="38">
      <c r="A38" s="1" t="s">
        <v>1005</v>
      </c>
      <c r="B38" s="1" t="s">
        <v>1006</v>
      </c>
    </row>
    <row r="39">
      <c r="A39" s="1" t="s">
        <v>527</v>
      </c>
      <c r="B39" s="1" t="s">
        <v>527</v>
      </c>
    </row>
    <row r="40">
      <c r="A40" s="16" t="s">
        <v>947</v>
      </c>
      <c r="B40" s="1" t="s">
        <v>947</v>
      </c>
    </row>
    <row r="41">
      <c r="A41" s="16" t="s">
        <v>1007</v>
      </c>
      <c r="B41" s="1" t="s">
        <v>1007</v>
      </c>
    </row>
    <row r="42">
      <c r="A42" s="1" t="s">
        <v>1008</v>
      </c>
      <c r="B42" s="1" t="s">
        <v>939</v>
      </c>
    </row>
    <row r="43">
      <c r="A43" s="1" t="s">
        <v>1009</v>
      </c>
      <c r="B43" s="1" t="s">
        <v>227</v>
      </c>
    </row>
    <row r="44">
      <c r="A44" s="25" t="s">
        <v>227</v>
      </c>
      <c r="B44" s="1" t="s">
        <v>227</v>
      </c>
    </row>
    <row r="45">
      <c r="A45" s="1" t="s">
        <v>458</v>
      </c>
      <c r="B45" s="1" t="s">
        <v>458</v>
      </c>
    </row>
    <row r="46">
      <c r="A46" s="1" t="s">
        <v>1010</v>
      </c>
      <c r="B46" s="1" t="s">
        <v>1011</v>
      </c>
    </row>
    <row r="47">
      <c r="A47" s="16" t="s">
        <v>1012</v>
      </c>
      <c r="B47" s="1" t="s">
        <v>1011</v>
      </c>
    </row>
    <row r="48">
      <c r="A48" s="25" t="s">
        <v>1013</v>
      </c>
      <c r="B48" s="1" t="s">
        <v>239</v>
      </c>
    </row>
    <row r="49">
      <c r="A49" s="1" t="s">
        <v>452</v>
      </c>
      <c r="B49" s="1" t="s">
        <v>452</v>
      </c>
    </row>
    <row r="50">
      <c r="A50" s="16" t="s">
        <v>1014</v>
      </c>
      <c r="B50" s="1" t="s">
        <v>1015</v>
      </c>
    </row>
    <row r="51">
      <c r="A51" s="1" t="s">
        <v>1016</v>
      </c>
      <c r="B51" s="1" t="s">
        <v>493</v>
      </c>
    </row>
    <row r="52">
      <c r="A52" s="16" t="s">
        <v>779</v>
      </c>
      <c r="B52" s="1" t="s">
        <v>493</v>
      </c>
      <c r="J52" s="6"/>
    </row>
    <row r="53">
      <c r="A53" s="1" t="s">
        <v>1017</v>
      </c>
      <c r="B53" s="1" t="s">
        <v>450</v>
      </c>
      <c r="J53" s="6"/>
    </row>
    <row r="54">
      <c r="A54" s="16" t="s">
        <v>1018</v>
      </c>
      <c r="B54" s="1" t="s">
        <v>1019</v>
      </c>
      <c r="J54" s="6"/>
    </row>
    <row r="55">
      <c r="A55" s="1" t="s">
        <v>1020</v>
      </c>
      <c r="B55" s="1" t="s">
        <v>448</v>
      </c>
      <c r="J55" s="6"/>
    </row>
    <row r="56">
      <c r="A56" s="16" t="s">
        <v>1021</v>
      </c>
      <c r="B56" s="1" t="s">
        <v>1021</v>
      </c>
      <c r="J56" s="6"/>
    </row>
    <row r="57">
      <c r="A57" s="1" t="s">
        <v>1022</v>
      </c>
      <c r="B57" s="1" t="s">
        <v>259</v>
      </c>
      <c r="J57" s="6"/>
    </row>
    <row r="58">
      <c r="A58" s="25" t="s">
        <v>259</v>
      </c>
      <c r="B58" s="1" t="s">
        <v>259</v>
      </c>
      <c r="J58" s="6"/>
    </row>
    <row r="59">
      <c r="A59" s="1" t="s">
        <v>1023</v>
      </c>
      <c r="B59" s="1" t="s">
        <v>1023</v>
      </c>
      <c r="J59" s="6"/>
    </row>
    <row r="60">
      <c r="A60" s="1" t="s">
        <v>1024</v>
      </c>
      <c r="B60" s="1" t="s">
        <v>925</v>
      </c>
      <c r="J60" s="6"/>
    </row>
    <row r="61">
      <c r="A61" s="16" t="s">
        <v>1025</v>
      </c>
      <c r="B61" s="1" t="s">
        <v>1025</v>
      </c>
      <c r="J61" s="6"/>
    </row>
    <row r="62">
      <c r="A62" s="1" t="s">
        <v>1026</v>
      </c>
      <c r="B62" s="1" t="s">
        <v>287</v>
      </c>
      <c r="J62" s="6"/>
    </row>
    <row r="63">
      <c r="A63" s="25" t="s">
        <v>287</v>
      </c>
      <c r="B63" s="1" t="s">
        <v>287</v>
      </c>
      <c r="J63" s="6"/>
    </row>
    <row r="64">
      <c r="A64" s="1" t="s">
        <v>1027</v>
      </c>
      <c r="B64" s="1" t="s">
        <v>1028</v>
      </c>
      <c r="J64" s="6"/>
    </row>
    <row r="65">
      <c r="A65" s="1" t="s">
        <v>446</v>
      </c>
      <c r="B65" s="1" t="s">
        <v>446</v>
      </c>
    </row>
    <row r="66">
      <c r="A66" s="1" t="s">
        <v>1029</v>
      </c>
      <c r="B66" s="1" t="s">
        <v>724</v>
      </c>
    </row>
    <row r="67">
      <c r="A67" s="1" t="s">
        <v>1030</v>
      </c>
      <c r="B67" s="1" t="s">
        <v>234</v>
      </c>
    </row>
    <row r="68">
      <c r="A68" s="25" t="s">
        <v>234</v>
      </c>
      <c r="B68" s="1" t="s">
        <v>234</v>
      </c>
    </row>
    <row r="69">
      <c r="A69" s="1" t="s">
        <v>1031</v>
      </c>
      <c r="B69" s="1" t="s">
        <v>444</v>
      </c>
    </row>
    <row r="70">
      <c r="A70" s="1" t="s">
        <v>533</v>
      </c>
      <c r="B70" s="1" t="s">
        <v>533</v>
      </c>
    </row>
    <row r="71">
      <c r="A71" s="16" t="s">
        <v>1032</v>
      </c>
      <c r="B71" s="1" t="s">
        <v>533</v>
      </c>
    </row>
    <row r="72">
      <c r="A72" s="1" t="s">
        <v>1033</v>
      </c>
      <c r="B72" s="1" t="s">
        <v>441</v>
      </c>
    </row>
    <row r="73">
      <c r="A73" s="16" t="s">
        <v>1034</v>
      </c>
      <c r="B73" s="1" t="s">
        <v>441</v>
      </c>
    </row>
    <row r="74">
      <c r="A74" s="1" t="s">
        <v>1035</v>
      </c>
      <c r="B74" s="1" t="s">
        <v>932</v>
      </c>
    </row>
    <row r="75">
      <c r="A75" s="16" t="s">
        <v>931</v>
      </c>
      <c r="B75" s="1" t="s">
        <v>932</v>
      </c>
    </row>
    <row r="76">
      <c r="A76" s="1" t="s">
        <v>438</v>
      </c>
      <c r="B76" s="1" t="s">
        <v>438</v>
      </c>
    </row>
    <row r="77">
      <c r="A77" s="25" t="s">
        <v>423</v>
      </c>
      <c r="B77" s="1" t="s">
        <v>423</v>
      </c>
    </row>
    <row r="78">
      <c r="A78" s="1" t="s">
        <v>1036</v>
      </c>
      <c r="B78" s="1" t="s">
        <v>1036</v>
      </c>
    </row>
    <row r="79">
      <c r="A79" s="1" t="s">
        <v>1037</v>
      </c>
      <c r="B79" s="1" t="s">
        <v>1037</v>
      </c>
    </row>
    <row r="80">
      <c r="A80" s="1" t="s">
        <v>1038</v>
      </c>
      <c r="B80" s="1" t="s">
        <v>482</v>
      </c>
    </row>
    <row r="81">
      <c r="A81" s="1" t="s">
        <v>535</v>
      </c>
      <c r="B81" s="1" t="s">
        <v>535</v>
      </c>
    </row>
    <row r="82">
      <c r="A82" s="16" t="s">
        <v>1039</v>
      </c>
      <c r="B82" s="1" t="s">
        <v>1040</v>
      </c>
    </row>
    <row r="83">
      <c r="A83" s="1" t="s">
        <v>1041</v>
      </c>
      <c r="B83" s="1" t="s">
        <v>435</v>
      </c>
    </row>
    <row r="84">
      <c r="A84" s="1" t="s">
        <v>1042</v>
      </c>
      <c r="B84" s="1" t="s">
        <v>1043</v>
      </c>
    </row>
    <row r="85">
      <c r="A85" s="16" t="s">
        <v>1044</v>
      </c>
      <c r="B85" s="1" t="s">
        <v>1045</v>
      </c>
    </row>
    <row r="86">
      <c r="A86" s="1" t="s">
        <v>1046</v>
      </c>
      <c r="B86" s="1" t="s">
        <v>433</v>
      </c>
    </row>
    <row r="87">
      <c r="A87" s="1" t="s">
        <v>1047</v>
      </c>
      <c r="B87" s="1" t="s">
        <v>1048</v>
      </c>
    </row>
    <row r="88">
      <c r="A88" s="16" t="s">
        <v>1049</v>
      </c>
      <c r="B88" s="1" t="s">
        <v>430</v>
      </c>
    </row>
    <row r="89">
      <c r="A89" s="16" t="s">
        <v>1050</v>
      </c>
      <c r="B89" s="1" t="s">
        <v>1051</v>
      </c>
    </row>
    <row r="90">
      <c r="A90" s="25" t="s">
        <v>1052</v>
      </c>
      <c r="B90" s="1" t="s">
        <v>1052</v>
      </c>
    </row>
    <row r="91">
      <c r="A91" s="16" t="s">
        <v>1053</v>
      </c>
      <c r="B91" s="1" t="s">
        <v>539</v>
      </c>
    </row>
    <row r="92">
      <c r="A92" s="16" t="s">
        <v>1054</v>
      </c>
      <c r="B92" s="1" t="s">
        <v>539</v>
      </c>
    </row>
    <row r="93">
      <c r="A93" s="1" t="s">
        <v>1055</v>
      </c>
      <c r="B93" s="1" t="s">
        <v>323</v>
      </c>
    </row>
    <row r="94">
      <c r="A94" s="25" t="s">
        <v>323</v>
      </c>
      <c r="B94" s="1" t="s">
        <v>323</v>
      </c>
    </row>
    <row r="95">
      <c r="A95" s="1" t="s">
        <v>1056</v>
      </c>
      <c r="B95" s="1" t="s">
        <v>1057</v>
      </c>
    </row>
    <row r="96">
      <c r="A96" s="25" t="s">
        <v>277</v>
      </c>
      <c r="B96" s="1" t="s">
        <v>277</v>
      </c>
    </row>
    <row r="97">
      <c r="A97" s="1" t="s">
        <v>1058</v>
      </c>
      <c r="B97" s="1" t="s">
        <v>1059</v>
      </c>
    </row>
    <row r="98">
      <c r="A98" s="1" t="s">
        <v>872</v>
      </c>
      <c r="B98" s="1" t="s">
        <v>543</v>
      </c>
    </row>
    <row r="99">
      <c r="A99" s="5" t="s">
        <v>1060</v>
      </c>
      <c r="B99" s="1" t="s">
        <v>545</v>
      </c>
    </row>
    <row r="100">
      <c r="A100" s="25" t="s">
        <v>545</v>
      </c>
      <c r="B100" s="1" t="s">
        <v>545</v>
      </c>
    </row>
    <row r="101">
      <c r="A101" s="1" t="s">
        <v>1061</v>
      </c>
      <c r="B101" s="1" t="s">
        <v>545</v>
      </c>
    </row>
    <row r="102">
      <c r="A102" s="1" t="s">
        <v>478</v>
      </c>
      <c r="B102" s="1" t="s">
        <v>478</v>
      </c>
    </row>
    <row r="103">
      <c r="A103" s="5" t="s">
        <v>1062</v>
      </c>
      <c r="B103" s="1" t="s">
        <v>1063</v>
      </c>
    </row>
    <row r="104">
      <c r="A104" s="1" t="s">
        <v>241</v>
      </c>
      <c r="B104" s="1" t="s">
        <v>239</v>
      </c>
    </row>
    <row r="105">
      <c r="A105" s="1" t="s">
        <v>1064</v>
      </c>
      <c r="B105" s="1" t="s">
        <v>254</v>
      </c>
    </row>
    <row r="106">
      <c r="A106" s="25" t="s">
        <v>254</v>
      </c>
      <c r="B106" s="1" t="s">
        <v>254</v>
      </c>
    </row>
    <row r="107">
      <c r="A107" s="1" t="s">
        <v>271</v>
      </c>
      <c r="B107" s="1" t="s">
        <v>271</v>
      </c>
    </row>
  </sheetData>
  <dataValidations>
    <dataValidation type="list" allowBlank="1" showErrorMessage="1" sqref="B2:B107">
      <formula1>Partner!$A$2:$A985</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16" t="str">
        <f>IFERROR(__xludf.DUMMYFUNCTION("ImportRange(""https://docs.google.com/spreadsheets/d/1KgCYm9vziZoCzLB0WQ0Koimu8-IHnpz-b43ueLUEuQI/edit"",""Partner!A:AZ"")"),"Account Name")</f>
        <v>Account Name</v>
      </c>
      <c r="B1" s="16" t="str">
        <f>IFERROR(__xludf.DUMMYFUNCTION("""COMPUTED_VALUE"""),"Tier")</f>
        <v>Tier</v>
      </c>
      <c r="C1" s="16" t="str">
        <f>IFERROR(__xludf.DUMMYFUNCTION("""COMPUTED_VALUE"""),"Region")</f>
        <v>Region</v>
      </c>
      <c r="D1" s="16" t="str">
        <f>IFERROR(__xludf.DUMMYFUNCTION("""COMPUTED_VALUE"""),"Account Owner")</f>
        <v>Account Owner</v>
      </c>
      <c r="E1" s="16" t="str">
        <f>IFERROR(__xludf.DUMMYFUNCTION("""COMPUTED_VALUE"""),"Geo's Supported")</f>
        <v>Geo's Supported</v>
      </c>
      <c r="F1" s="16" t="str">
        <f>IFERROR(__xludf.DUMMYFUNCTION("""COMPUTED_VALUE"""),"Guidewire Product")</f>
        <v>Guidewire Product</v>
      </c>
      <c r="G1" s="16" t="str">
        <f>IFERROR(__xludf.DUMMYFUNCTION("""COMPUTED_VALUE"""),"Program Agreement Effective Date")</f>
        <v>Program Agreement Effective Date</v>
      </c>
      <c r="H1" s="16" t="str">
        <f>IFERROR(__xludf.DUMMYFUNCTION("""COMPUTED_VALUE"""),"Program Agreement Expiration Date")</f>
        <v>Program Agreement Expiration Date</v>
      </c>
      <c r="I1" s="16" t="str">
        <f>IFERROR(__xludf.DUMMYFUNCTION("""COMPUTED_VALUE"""),"RfG Agreement Effective Date")</f>
        <v>RfG Agreement Effective Date</v>
      </c>
      <c r="J1" s="16" t="str">
        <f>IFERROR(__xludf.DUMMYFUNCTION("""COMPUTED_VALUE"""),"Date Left Program")</f>
        <v>Date Left Program</v>
      </c>
      <c r="K1" s="16" t="str">
        <f>IFERROR(__xludf.DUMMYFUNCTION("""COMPUTED_VALUE"""),"First Accelerator Published")</f>
        <v>First Accelerator Published</v>
      </c>
      <c r="L1" s="16" t="str">
        <f>IFERROR(__xludf.DUMMYFUNCTION("""COMPUTED_VALUE"""),"Alliances Marketing Tier Level")</f>
        <v>Alliances Marketing Tier Level</v>
      </c>
      <c r="M1" s="16" t="str">
        <f>IFERROR(__xludf.DUMMYFUNCTION("""COMPUTED_VALUE"""),"Alliance Type")</f>
        <v>Alliance Type</v>
      </c>
      <c r="N1" s="16" t="str">
        <f>IFERROR(__xludf.DUMMYFUNCTION("""COMPUTED_VALUE"""),"Quarter")</f>
        <v>Quarter</v>
      </c>
      <c r="O1" s="16" t="str">
        <f>IFERROR(__xludf.DUMMYFUNCTION("""COMPUTED_VALUE"""),"Cloud Integrations")</f>
        <v>Cloud Integrations</v>
      </c>
      <c r="P1" s="16" t="str">
        <f>IFERROR(__xludf.DUMMYFUNCTION("""COMPUTED_VALUE"""),"Integrations")</f>
        <v>Integrations</v>
      </c>
      <c r="Q1" s="16" t="str">
        <f>IFERROR(__xludf.DUMMYFUNCTION("""COMPUTED_VALUE"""),"Downloads")</f>
        <v>Downloads</v>
      </c>
      <c r="R1" s="16" t="str">
        <f>IFERROR(__xludf.DUMMYFUNCTION("""COMPUTED_VALUE"""),"Downloads YTD")</f>
        <v>Downloads YTD</v>
      </c>
      <c r="S1" s="16" t="str">
        <f>IFERROR(__xludf.DUMMYFUNCTION("""COMPUTED_VALUE"""),"Marketplace Hits")</f>
        <v>Marketplace Hits</v>
      </c>
      <c r="T1" s="16" t="str">
        <f>IFERROR(__xludf.DUMMYFUNCTION("""COMPUTED_VALUE"""),"Unique Customers")</f>
        <v>Unique Customers</v>
      </c>
      <c r="U1" s="16" t="str">
        <f>IFERROR(__xludf.DUMMYFUNCTION("""COMPUTED_VALUE"""),"Cloud Downloads")</f>
        <v>Cloud Downloads</v>
      </c>
      <c r="V1" s="16" t="str">
        <f>IFERROR(__xludf.DUMMYFUNCTION("""COMPUTED_VALUE"""),"Cloud Downloads YTD")</f>
        <v>Cloud Downloads YTD</v>
      </c>
      <c r="W1" s="16" t="str">
        <f>IFERROR(__xludf.DUMMYFUNCTION("""COMPUTED_VALUE"""),"Training Compliance")</f>
        <v>Training Compliance</v>
      </c>
      <c r="X1" s="16" t="str">
        <f>IFERROR(__xludf.DUMMYFUNCTION("""COMPUTED_VALUE"""),"SI Used")</f>
        <v>SI Used</v>
      </c>
      <c r="Y1" s="16"/>
      <c r="Z1" s="16"/>
    </row>
    <row r="2">
      <c r="A2" s="16" t="str">
        <f>IFERROR(__xludf.DUMMYFUNCTION("""COMPUTED_VALUE"""),"ABI Document Support Services(R) LLC")</f>
        <v>ABI Document Support Services(R) LLC</v>
      </c>
      <c r="B2" s="16" t="str">
        <f>IFERROR(__xludf.DUMMYFUNCTION("""COMPUTED_VALUE"""),"Growth")</f>
        <v>Growth</v>
      </c>
      <c r="C2" s="26" t="str">
        <f>IFERROR(__xludf.DUMMYFUNCTION("""COMPUTED_VALUE"""),"NAM")</f>
        <v>NAM</v>
      </c>
      <c r="D2" s="16" t="str">
        <f>IFERROR(__xludf.DUMMYFUNCTION("""COMPUTED_VALUE"""),"Aaron Shaw")</f>
        <v>Aaron Shaw</v>
      </c>
      <c r="E2" s="26" t="str">
        <f>IFERROR(__xludf.DUMMYFUNCTION("""COMPUTED_VALUE"""),"United States")</f>
        <v>United States</v>
      </c>
      <c r="F2" s="26" t="str">
        <f>IFERROR(__xludf.DUMMYFUNCTION("""COMPUTED_VALUE"""),"ClaimCenter")</f>
        <v>ClaimCenter</v>
      </c>
      <c r="G2" s="20">
        <f>IFERROR(__xludf.DUMMYFUNCTION("""COMPUTED_VALUE"""),43934.0)</f>
        <v>43934</v>
      </c>
      <c r="H2" s="20">
        <f>IFERROR(__xludf.DUMMYFUNCTION("""COMPUTED_VALUE"""),44665.0)</f>
        <v>44665</v>
      </c>
      <c r="I2" s="20">
        <f>IFERROR(__xludf.DUMMYFUNCTION("""COMPUTED_VALUE"""),44337.0)</f>
        <v>44337</v>
      </c>
      <c r="J2" s="16"/>
      <c r="K2" s="20">
        <f>IFERROR(__xludf.DUMMYFUNCTION("""COMPUTED_VALUE"""),44376.0)</f>
        <v>44376</v>
      </c>
      <c r="L2" s="16" t="str">
        <f>IFERROR(__xludf.DUMMYFUNCTION("""COMPUTED_VALUE"""),"Low")</f>
        <v>Low</v>
      </c>
      <c r="M2" s="26" t="str">
        <f>IFERROR(__xludf.DUMMYFUNCTION("""COMPUTED_VALUE"""),"PartnerConnect  Technology")</f>
        <v>PartnerConnect  Technology</v>
      </c>
      <c r="N2" s="16" t="str">
        <f>IFERROR(__xludf.DUMMYFUNCTION("""COMPUTED_VALUE"""),"FY20 - Q3")</f>
        <v>FY20 - Q3</v>
      </c>
      <c r="O2" s="16">
        <f>IFERROR(__xludf.DUMMYFUNCTION("""COMPUTED_VALUE"""),0.0)</f>
        <v>0</v>
      </c>
      <c r="P2" s="16">
        <f>IFERROR(__xludf.DUMMYFUNCTION("""COMPUTED_VALUE"""),0.0)</f>
        <v>0</v>
      </c>
      <c r="Q2" s="16">
        <f>IFERROR(__xludf.DUMMYFUNCTION("""COMPUTED_VALUE"""),0.0)</f>
        <v>0</v>
      </c>
      <c r="R2" s="16">
        <f>IFERROR(__xludf.DUMMYFUNCTION("""COMPUTED_VALUE"""),0.0)</f>
        <v>0</v>
      </c>
      <c r="S2" s="16">
        <f>IFERROR(__xludf.DUMMYFUNCTION("""COMPUTED_VALUE"""),0.0)</f>
        <v>0</v>
      </c>
      <c r="T2" s="16">
        <f>IFERROR(__xludf.DUMMYFUNCTION("""COMPUTED_VALUE"""),0.0)</f>
        <v>0</v>
      </c>
      <c r="U2" s="16">
        <f>IFERROR(__xludf.DUMMYFUNCTION("""COMPUTED_VALUE"""),0.0)</f>
        <v>0</v>
      </c>
      <c r="V2" s="16">
        <f>IFERROR(__xludf.DUMMYFUNCTION("""COMPUTED_VALUE"""),0.0)</f>
        <v>0</v>
      </c>
      <c r="W2" s="16" t="str">
        <f>IFERROR(__xludf.DUMMYFUNCTION("""COMPUTED_VALUE"""),"#REF!")</f>
        <v>#REF!</v>
      </c>
      <c r="X2" s="16" t="b">
        <f>IFERROR(__xludf.DUMMYFUNCTION("""COMPUTED_VALUE"""),FALSE)</f>
        <v>0</v>
      </c>
      <c r="Y2" s="16"/>
      <c r="Z2" s="16"/>
    </row>
    <row r="3">
      <c r="A3" s="16" t="str">
        <f>IFERROR(__xludf.DUMMYFUNCTION("""COMPUTED_VALUE"""),"accuro Solutions")</f>
        <v>accuro Solutions</v>
      </c>
      <c r="B3" s="16" t="str">
        <f>IFERROR(__xludf.DUMMYFUNCTION("""COMPUTED_VALUE"""),"Growth")</f>
        <v>Growth</v>
      </c>
      <c r="C3" s="26" t="str">
        <f>IFERROR(__xludf.DUMMYFUNCTION("""COMPUTED_VALUE"""),"NAM")</f>
        <v>NAM</v>
      </c>
      <c r="D3" s="16" t="str">
        <f>IFERROR(__xludf.DUMMYFUNCTION("""COMPUTED_VALUE"""),"Rod Gowin")</f>
        <v>Rod Gowin</v>
      </c>
      <c r="E3" s="26" t="str">
        <f>IFERROR(__xludf.DUMMYFUNCTION("""COMPUTED_VALUE"""),"United States")</f>
        <v>United States</v>
      </c>
      <c r="F3" s="16" t="str">
        <f>IFERROR(__xludf.DUMMYFUNCTION("""COMPUTED_VALUE"""),"ClaimCenter")</f>
        <v>ClaimCenter</v>
      </c>
      <c r="G3" s="20">
        <f>IFERROR(__xludf.DUMMYFUNCTION("""COMPUTED_VALUE"""),45870.0)</f>
        <v>45870</v>
      </c>
      <c r="H3" s="16"/>
      <c r="I3" s="20">
        <f>IFERROR(__xludf.DUMMYFUNCTION("""COMPUTED_VALUE"""),45870.0)</f>
        <v>45870</v>
      </c>
      <c r="J3" s="16"/>
      <c r="K3" s="16"/>
      <c r="L3" s="16" t="str">
        <f>IFERROR(__xludf.DUMMYFUNCTION("""COMPUTED_VALUE"""),"Medium")</f>
        <v>Medium</v>
      </c>
      <c r="M3" s="26" t="str">
        <f>IFERROR(__xludf.DUMMYFUNCTION("""COMPUTED_VALUE"""),"PartnerConnect  Technology")</f>
        <v>PartnerConnect  Technology</v>
      </c>
      <c r="N3" s="16" t="str">
        <f>IFERROR(__xludf.DUMMYFUNCTION("""COMPUTED_VALUE"""),"FY25 - Q1")</f>
        <v>FY25 - Q1</v>
      </c>
      <c r="O3" s="16">
        <f>IFERROR(__xludf.DUMMYFUNCTION("""COMPUTED_VALUE"""),0.0)</f>
        <v>0</v>
      </c>
      <c r="P3" s="16">
        <f>IFERROR(__xludf.DUMMYFUNCTION("""COMPUTED_VALUE"""),0.0)</f>
        <v>0</v>
      </c>
      <c r="Q3" s="16">
        <f>IFERROR(__xludf.DUMMYFUNCTION("""COMPUTED_VALUE"""),0.0)</f>
        <v>0</v>
      </c>
      <c r="R3" s="16">
        <f>IFERROR(__xludf.DUMMYFUNCTION("""COMPUTED_VALUE"""),0.0)</f>
        <v>0</v>
      </c>
      <c r="S3" s="16">
        <f>IFERROR(__xludf.DUMMYFUNCTION("""COMPUTED_VALUE"""),0.0)</f>
        <v>0</v>
      </c>
      <c r="T3" s="16">
        <f>IFERROR(__xludf.DUMMYFUNCTION("""COMPUTED_VALUE"""),0.0)</f>
        <v>0</v>
      </c>
      <c r="U3" s="16">
        <f>IFERROR(__xludf.DUMMYFUNCTION("""COMPUTED_VALUE"""),0.0)</f>
        <v>0</v>
      </c>
      <c r="V3" s="16">
        <f>IFERROR(__xludf.DUMMYFUNCTION("""COMPUTED_VALUE"""),0.0)</f>
        <v>0</v>
      </c>
      <c r="W3" s="16">
        <f>IFERROR(__xludf.DUMMYFUNCTION("""COMPUTED_VALUE"""),0.0)</f>
        <v>0</v>
      </c>
      <c r="X3" s="16" t="b">
        <f>IFERROR(__xludf.DUMMYFUNCTION("""COMPUTED_VALUE"""),FALSE)</f>
        <v>0</v>
      </c>
      <c r="Y3" s="16"/>
      <c r="Z3" s="16"/>
    </row>
    <row r="4">
      <c r="A4" s="16" t="str">
        <f>IFERROR(__xludf.DUMMYFUNCTION("""COMPUTED_VALUE"""),"ACI Worldwide")</f>
        <v>ACI Worldwide</v>
      </c>
      <c r="B4" s="16" t="str">
        <f>IFERROR(__xludf.DUMMYFUNCTION("""COMPUTED_VALUE"""),"Growth")</f>
        <v>Growth</v>
      </c>
      <c r="C4" s="26" t="str">
        <f>IFERROR(__xludf.DUMMYFUNCTION("""COMPUTED_VALUE"""),"NAM")</f>
        <v>NAM</v>
      </c>
      <c r="D4" s="16" t="str">
        <f>IFERROR(__xludf.DUMMYFUNCTION("""COMPUTED_VALUE"""),"Aaron Shaw")</f>
        <v>Aaron Shaw</v>
      </c>
      <c r="E4" s="26" t="str">
        <f>IFERROR(__xludf.DUMMYFUNCTION("""COMPUTED_VALUE"""),"United States")</f>
        <v>United States</v>
      </c>
      <c r="F4" s="26" t="str">
        <f>IFERROR(__xludf.DUMMYFUNCTION("""COMPUTED_VALUE"""),"ClaimCenter, PolicyCenter, BillingCenter")</f>
        <v>ClaimCenter, PolicyCenter, BillingCenter</v>
      </c>
      <c r="G4" s="20">
        <f>IFERROR(__xludf.DUMMYFUNCTION("""COMPUTED_VALUE"""),43383.0)</f>
        <v>43383</v>
      </c>
      <c r="H4" s="20">
        <f>IFERROR(__xludf.DUMMYFUNCTION("""COMPUTED_VALUE"""),44114.0)</f>
        <v>44114</v>
      </c>
      <c r="I4" s="20">
        <f>IFERROR(__xludf.DUMMYFUNCTION("""COMPUTED_VALUE"""),43383.0)</f>
        <v>43383</v>
      </c>
      <c r="J4" s="16"/>
      <c r="K4" s="20">
        <f>IFERROR(__xludf.DUMMYFUNCTION("""COMPUTED_VALUE"""),43620.0)</f>
        <v>43620</v>
      </c>
      <c r="L4" s="16" t="str">
        <f>IFERROR(__xludf.DUMMYFUNCTION("""COMPUTED_VALUE"""),"Low")</f>
        <v>Low</v>
      </c>
      <c r="M4" s="26" t="str">
        <f>IFERROR(__xludf.DUMMYFUNCTION("""COMPUTED_VALUE"""),"PartnerConnect  Technology")</f>
        <v>PartnerConnect  Technology</v>
      </c>
      <c r="N4" s="16" t="str">
        <f>IFERROR(__xludf.DUMMYFUNCTION("""COMPUTED_VALUE"""),"FY18 - Q1")</f>
        <v>FY18 - Q1</v>
      </c>
      <c r="O4" s="16">
        <f>IFERROR(__xludf.DUMMYFUNCTION("""COMPUTED_VALUE"""),3.0)</f>
        <v>3</v>
      </c>
      <c r="P4" s="16">
        <f>IFERROR(__xludf.DUMMYFUNCTION("""COMPUTED_VALUE"""),3.0)</f>
        <v>3</v>
      </c>
      <c r="Q4" s="16">
        <f>IFERROR(__xludf.DUMMYFUNCTION("""COMPUTED_VALUE"""),38.0)</f>
        <v>38</v>
      </c>
      <c r="R4" s="16">
        <f>IFERROR(__xludf.DUMMYFUNCTION("""COMPUTED_VALUE"""),10.0)</f>
        <v>10</v>
      </c>
      <c r="S4" s="16">
        <f>IFERROR(__xludf.DUMMYFUNCTION("""COMPUTED_VALUE"""),46038.0)</f>
        <v>46038</v>
      </c>
      <c r="T4" s="16">
        <f>IFERROR(__xludf.DUMMYFUNCTION("""COMPUTED_VALUE"""),15.0)</f>
        <v>15</v>
      </c>
      <c r="U4" s="16">
        <f>IFERROR(__xludf.DUMMYFUNCTION("""COMPUTED_VALUE"""),0.0)</f>
        <v>0</v>
      </c>
      <c r="V4" s="16">
        <f>IFERROR(__xludf.DUMMYFUNCTION("""COMPUTED_VALUE"""),0.0)</f>
        <v>0</v>
      </c>
      <c r="W4" s="16">
        <f>IFERROR(__xludf.DUMMYFUNCTION("""COMPUTED_VALUE"""),0.0)</f>
        <v>0</v>
      </c>
      <c r="X4" s="16" t="b">
        <f>IFERROR(__xludf.DUMMYFUNCTION("""COMPUTED_VALUE"""),TRUE)</f>
        <v>1</v>
      </c>
      <c r="Y4" s="16"/>
      <c r="Z4" s="16"/>
    </row>
    <row r="5">
      <c r="A5" s="16" t="str">
        <f>IFERROR(__xludf.DUMMYFUNCTION("""COMPUTED_VALUE"""),"ADDATECH Systems")</f>
        <v>ADDATECH Systems</v>
      </c>
      <c r="B5" s="16" t="str">
        <f>IFERROR(__xludf.DUMMYFUNCTION("""COMPUTED_VALUE"""),"Growth")</f>
        <v>Growth</v>
      </c>
      <c r="C5" s="26" t="str">
        <f>IFERROR(__xludf.DUMMYFUNCTION("""COMPUTED_VALUE"""),"NAM")</f>
        <v>NAM</v>
      </c>
      <c r="D5" s="16" t="str">
        <f>IFERROR(__xludf.DUMMYFUNCTION("""COMPUTED_VALUE"""),"Rod Gowin")</f>
        <v>Rod Gowin</v>
      </c>
      <c r="E5" s="26" t="str">
        <f>IFERROR(__xludf.DUMMYFUNCTION("""COMPUTED_VALUE"""),"Canada")</f>
        <v>Canada</v>
      </c>
      <c r="F5" s="26" t="str">
        <f>IFERROR(__xludf.DUMMYFUNCTION("""COMPUTED_VALUE"""),"ClaimCenter")</f>
        <v>ClaimCenter</v>
      </c>
      <c r="G5" s="20">
        <f>IFERROR(__xludf.DUMMYFUNCTION("""COMPUTED_VALUE"""),44607.0)</f>
        <v>44607</v>
      </c>
      <c r="H5" s="20">
        <f>IFERROR(__xludf.DUMMYFUNCTION("""COMPUTED_VALUE"""),45336.0)</f>
        <v>45336</v>
      </c>
      <c r="I5" s="20">
        <f>IFERROR(__xludf.DUMMYFUNCTION("""COMPUTED_VALUE"""),44607.0)</f>
        <v>44607</v>
      </c>
      <c r="J5" s="16"/>
      <c r="K5" s="16"/>
      <c r="L5" s="16" t="str">
        <f>IFERROR(__xludf.DUMMYFUNCTION("""COMPUTED_VALUE"""),"Low")</f>
        <v>Low</v>
      </c>
      <c r="M5" s="26" t="str">
        <f>IFERROR(__xludf.DUMMYFUNCTION("""COMPUTED_VALUE"""),"PartnerConnect  Technology")</f>
        <v>PartnerConnect  Technology</v>
      </c>
      <c r="N5" s="16" t="str">
        <f>IFERROR(__xludf.DUMMYFUNCTION("""COMPUTED_VALUE"""),"FY22 - Q2")</f>
        <v>FY22 - Q2</v>
      </c>
      <c r="O5" s="16">
        <f>IFERROR(__xludf.DUMMYFUNCTION("""COMPUTED_VALUE"""),0.0)</f>
        <v>0</v>
      </c>
      <c r="P5" s="16">
        <f>IFERROR(__xludf.DUMMYFUNCTION("""COMPUTED_VALUE"""),0.0)</f>
        <v>0</v>
      </c>
      <c r="Q5" s="16">
        <f>IFERROR(__xludf.DUMMYFUNCTION("""COMPUTED_VALUE"""),0.0)</f>
        <v>0</v>
      </c>
      <c r="R5" s="16">
        <f>IFERROR(__xludf.DUMMYFUNCTION("""COMPUTED_VALUE"""),0.0)</f>
        <v>0</v>
      </c>
      <c r="S5" s="16">
        <f>IFERROR(__xludf.DUMMYFUNCTION("""COMPUTED_VALUE"""),0.0)</f>
        <v>0</v>
      </c>
      <c r="T5" s="16">
        <f>IFERROR(__xludf.DUMMYFUNCTION("""COMPUTED_VALUE"""),0.0)</f>
        <v>0</v>
      </c>
      <c r="U5" s="16">
        <f>IFERROR(__xludf.DUMMYFUNCTION("""COMPUTED_VALUE"""),0.0)</f>
        <v>0</v>
      </c>
      <c r="V5" s="16">
        <f>IFERROR(__xludf.DUMMYFUNCTION("""COMPUTED_VALUE"""),0.0)</f>
        <v>0</v>
      </c>
      <c r="W5" s="16">
        <f>IFERROR(__xludf.DUMMYFUNCTION("""COMPUTED_VALUE"""),0.0)</f>
        <v>0</v>
      </c>
      <c r="X5" s="16" t="b">
        <f>IFERROR(__xludf.DUMMYFUNCTION("""COMPUTED_VALUE"""),FALSE)</f>
        <v>0</v>
      </c>
      <c r="Y5" s="16"/>
      <c r="Z5" s="16"/>
    </row>
    <row r="6">
      <c r="A6" s="16" t="str">
        <f>IFERROR(__xludf.DUMMYFUNCTION("""COMPUTED_VALUE"""),"Administrative Claim Service, Inc.")</f>
        <v>Administrative Claim Service, Inc.</v>
      </c>
      <c r="B6" s="16" t="str">
        <f>IFERROR(__xludf.DUMMYFUNCTION("""COMPUTED_VALUE"""),"Growth")</f>
        <v>Growth</v>
      </c>
      <c r="C6" s="26" t="str">
        <f>IFERROR(__xludf.DUMMYFUNCTION("""COMPUTED_VALUE"""),"NAM")</f>
        <v>NAM</v>
      </c>
      <c r="D6" s="16" t="str">
        <f>IFERROR(__xludf.DUMMYFUNCTION("""COMPUTED_VALUE"""),"Rod Gowin")</f>
        <v>Rod Gowin</v>
      </c>
      <c r="E6" s="26" t="str">
        <f>IFERROR(__xludf.DUMMYFUNCTION("""COMPUTED_VALUE"""),"United States")</f>
        <v>United States</v>
      </c>
      <c r="F6" s="26"/>
      <c r="G6" s="20">
        <f>IFERROR(__xludf.DUMMYFUNCTION("""COMPUTED_VALUE"""),46037.0)</f>
        <v>46037</v>
      </c>
      <c r="H6" s="20"/>
      <c r="I6" s="20">
        <f>IFERROR(__xludf.DUMMYFUNCTION("""COMPUTED_VALUE"""),46037.0)</f>
        <v>46037</v>
      </c>
      <c r="J6" s="16"/>
      <c r="K6" s="20"/>
      <c r="L6" s="16" t="str">
        <f>IFERROR(__xludf.DUMMYFUNCTION("""COMPUTED_VALUE"""),"Medium")</f>
        <v>Medium</v>
      </c>
      <c r="M6" s="26" t="str">
        <f>IFERROR(__xludf.DUMMYFUNCTION("""COMPUTED_VALUE"""),"PartnerConnect  Technology")</f>
        <v>PartnerConnect  Technology</v>
      </c>
      <c r="N6" s="16" t="str">
        <f>IFERROR(__xludf.DUMMYFUNCTION("""COMPUTED_VALUE"""),"FY26 - Q2")</f>
        <v>FY26 - Q2</v>
      </c>
      <c r="O6" s="16">
        <f>IFERROR(__xludf.DUMMYFUNCTION("""COMPUTED_VALUE"""),0.0)</f>
        <v>0</v>
      </c>
      <c r="P6" s="16">
        <f>IFERROR(__xludf.DUMMYFUNCTION("""COMPUTED_VALUE"""),0.0)</f>
        <v>0</v>
      </c>
      <c r="Q6" s="16">
        <f>IFERROR(__xludf.DUMMYFUNCTION("""COMPUTED_VALUE"""),0.0)</f>
        <v>0</v>
      </c>
      <c r="R6" s="16">
        <f>IFERROR(__xludf.DUMMYFUNCTION("""COMPUTED_VALUE"""),0.0)</f>
        <v>0</v>
      </c>
      <c r="S6" s="16">
        <f>IFERROR(__xludf.DUMMYFUNCTION("""COMPUTED_VALUE"""),0.0)</f>
        <v>0</v>
      </c>
      <c r="T6" s="16">
        <f>IFERROR(__xludf.DUMMYFUNCTION("""COMPUTED_VALUE"""),0.0)</f>
        <v>0</v>
      </c>
      <c r="U6" s="16">
        <f>IFERROR(__xludf.DUMMYFUNCTION("""COMPUTED_VALUE"""),0.0)</f>
        <v>0</v>
      </c>
      <c r="V6" s="16">
        <f>IFERROR(__xludf.DUMMYFUNCTION("""COMPUTED_VALUE"""),0.0)</f>
        <v>0</v>
      </c>
      <c r="W6" s="16">
        <f>IFERROR(__xludf.DUMMYFUNCTION("""COMPUTED_VALUE"""),0.0)</f>
        <v>0</v>
      </c>
      <c r="X6" s="16" t="b">
        <f>IFERROR(__xludf.DUMMYFUNCTION("""COMPUTED_VALUE"""),FALSE)</f>
        <v>0</v>
      </c>
      <c r="Y6" s="16"/>
      <c r="Z6" s="16"/>
    </row>
    <row r="7">
      <c r="A7" s="16" t="str">
        <f>IFERROR(__xludf.DUMMYFUNCTION("""COMPUTED_VALUE"""),"Advanced Remarketing Services, Inc.")</f>
        <v>Advanced Remarketing Services, Inc.</v>
      </c>
      <c r="B7" s="16" t="str">
        <f>IFERROR(__xludf.DUMMYFUNCTION("""COMPUTED_VALUE"""),"Growth")</f>
        <v>Growth</v>
      </c>
      <c r="C7" s="26" t="str">
        <f>IFERROR(__xludf.DUMMYFUNCTION("""COMPUTED_VALUE"""),"NAM")</f>
        <v>NAM</v>
      </c>
      <c r="D7" s="16" t="str">
        <f>IFERROR(__xludf.DUMMYFUNCTION("""COMPUTED_VALUE"""),"Rod Gowin")</f>
        <v>Rod Gowin</v>
      </c>
      <c r="E7" s="26" t="str">
        <f>IFERROR(__xludf.DUMMYFUNCTION("""COMPUTED_VALUE"""),"United States")</f>
        <v>United States</v>
      </c>
      <c r="F7" s="26" t="str">
        <f>IFERROR(__xludf.DUMMYFUNCTION("""COMPUTED_VALUE"""),"ClaimCenter")</f>
        <v>ClaimCenter</v>
      </c>
      <c r="G7" s="20">
        <f>IFERROR(__xludf.DUMMYFUNCTION("""COMPUTED_VALUE"""),43572.0)</f>
        <v>43572</v>
      </c>
      <c r="H7" s="20">
        <f>IFERROR(__xludf.DUMMYFUNCTION("""COMPUTED_VALUE"""),44303.0)</f>
        <v>44303</v>
      </c>
      <c r="I7" s="20">
        <f>IFERROR(__xludf.DUMMYFUNCTION("""COMPUTED_VALUE"""),43572.0)</f>
        <v>43572</v>
      </c>
      <c r="J7" s="16"/>
      <c r="K7" s="13">
        <f>IFERROR(__xludf.DUMMYFUNCTION("""COMPUTED_VALUE"""),43686.0)</f>
        <v>43686</v>
      </c>
      <c r="L7" s="16" t="str">
        <f>IFERROR(__xludf.DUMMYFUNCTION("""COMPUTED_VALUE"""),"Low")</f>
        <v>Low</v>
      </c>
      <c r="M7" s="26" t="str">
        <f>IFERROR(__xludf.DUMMYFUNCTION("""COMPUTED_VALUE"""),"PartnerConnect  Technology")</f>
        <v>PartnerConnect  Technology</v>
      </c>
      <c r="N7" s="16" t="str">
        <f>IFERROR(__xludf.DUMMYFUNCTION("""COMPUTED_VALUE"""),"FY19 - Q3")</f>
        <v>FY19 - Q3</v>
      </c>
      <c r="O7" s="16">
        <f>IFERROR(__xludf.DUMMYFUNCTION("""COMPUTED_VALUE"""),0.0)</f>
        <v>0</v>
      </c>
      <c r="P7" s="16">
        <f>IFERROR(__xludf.DUMMYFUNCTION("""COMPUTED_VALUE"""),0.0)</f>
        <v>0</v>
      </c>
      <c r="Q7" s="16">
        <f>IFERROR(__xludf.DUMMYFUNCTION("""COMPUTED_VALUE"""),0.0)</f>
        <v>0</v>
      </c>
      <c r="R7" s="16">
        <f>IFERROR(__xludf.DUMMYFUNCTION("""COMPUTED_VALUE"""),0.0)</f>
        <v>0</v>
      </c>
      <c r="S7" s="16">
        <f>IFERROR(__xludf.DUMMYFUNCTION("""COMPUTED_VALUE"""),0.0)</f>
        <v>0</v>
      </c>
      <c r="T7" s="16">
        <f>IFERROR(__xludf.DUMMYFUNCTION("""COMPUTED_VALUE"""),0.0)</f>
        <v>0</v>
      </c>
      <c r="U7" s="16">
        <f>IFERROR(__xludf.DUMMYFUNCTION("""COMPUTED_VALUE"""),0.0)</f>
        <v>0</v>
      </c>
      <c r="V7" s="16">
        <f>IFERROR(__xludf.DUMMYFUNCTION("""COMPUTED_VALUE"""),0.0)</f>
        <v>0</v>
      </c>
      <c r="W7" s="16">
        <f>IFERROR(__xludf.DUMMYFUNCTION("""COMPUTED_VALUE"""),5.0)</f>
        <v>5</v>
      </c>
      <c r="X7" s="16" t="b">
        <f>IFERROR(__xludf.DUMMYFUNCTION("""COMPUTED_VALUE"""),FALSE)</f>
        <v>0</v>
      </c>
      <c r="Y7" s="16"/>
      <c r="Z7" s="16"/>
    </row>
    <row r="8">
      <c r="A8" s="16" t="str">
        <f>IFERROR(__xludf.DUMMYFUNCTION("""COMPUTED_VALUE"""),"AgentSync")</f>
        <v>AgentSync</v>
      </c>
      <c r="B8" s="16" t="str">
        <f>IFERROR(__xludf.DUMMYFUNCTION("""COMPUTED_VALUE"""),"Growth")</f>
        <v>Growth</v>
      </c>
      <c r="C8" s="26" t="str">
        <f>IFERROR(__xludf.DUMMYFUNCTION("""COMPUTED_VALUE"""),"NAM")</f>
        <v>NAM</v>
      </c>
      <c r="D8" s="16" t="str">
        <f>IFERROR(__xludf.DUMMYFUNCTION("""COMPUTED_VALUE"""),"Shannon Spies")</f>
        <v>Shannon Spies</v>
      </c>
      <c r="E8" s="26" t="str">
        <f>IFERROR(__xludf.DUMMYFUNCTION("""COMPUTED_VALUE"""),"United States")</f>
        <v>United States</v>
      </c>
      <c r="F8" s="26" t="str">
        <f>IFERROR(__xludf.DUMMYFUNCTION("""COMPUTED_VALUE"""),"PolicyCenter")</f>
        <v>PolicyCenter</v>
      </c>
      <c r="G8" s="20">
        <f>IFERROR(__xludf.DUMMYFUNCTION("""COMPUTED_VALUE"""),45364.0)</f>
        <v>45364</v>
      </c>
      <c r="H8" s="20">
        <f>IFERROR(__xludf.DUMMYFUNCTION("""COMPUTED_VALUE"""),46094.0)</f>
        <v>46094</v>
      </c>
      <c r="I8" s="20">
        <f>IFERROR(__xludf.DUMMYFUNCTION("""COMPUTED_VALUE"""),45363.0)</f>
        <v>45363</v>
      </c>
      <c r="J8" s="16"/>
      <c r="K8" s="13">
        <f>IFERROR(__xludf.DUMMYFUNCTION("""COMPUTED_VALUE"""),45951.0)</f>
        <v>45951</v>
      </c>
      <c r="L8" s="16" t="str">
        <f>IFERROR(__xludf.DUMMYFUNCTION("""COMPUTED_VALUE"""),"High")</f>
        <v>High</v>
      </c>
      <c r="M8" s="26" t="str">
        <f>IFERROR(__xludf.DUMMYFUNCTION("""COMPUTED_VALUE"""),"PartnerConnect  Technology")</f>
        <v>PartnerConnect  Technology</v>
      </c>
      <c r="N8" s="16" t="str">
        <f>IFERROR(__xludf.DUMMYFUNCTION("""COMPUTED_VALUE"""),"FY24 - Q2")</f>
        <v>FY24 - Q2</v>
      </c>
      <c r="O8" s="16">
        <f>IFERROR(__xludf.DUMMYFUNCTION("""COMPUTED_VALUE"""),1.0)</f>
        <v>1</v>
      </c>
      <c r="P8" s="16">
        <f>IFERROR(__xludf.DUMMYFUNCTION("""COMPUTED_VALUE"""),1.0)</f>
        <v>1</v>
      </c>
      <c r="Q8" s="16">
        <f>IFERROR(__xludf.DUMMYFUNCTION("""COMPUTED_VALUE"""),6.0)</f>
        <v>6</v>
      </c>
      <c r="R8" s="16">
        <f>IFERROR(__xludf.DUMMYFUNCTION("""COMPUTED_VALUE"""),6.0)</f>
        <v>6</v>
      </c>
      <c r="S8" s="16">
        <f>IFERROR(__xludf.DUMMYFUNCTION("""COMPUTED_VALUE"""),1804.0)</f>
        <v>1804</v>
      </c>
      <c r="T8" s="16">
        <f>IFERROR(__xludf.DUMMYFUNCTION("""COMPUTED_VALUE"""),4.0)</f>
        <v>4</v>
      </c>
      <c r="U8" s="16">
        <f>IFERROR(__xludf.DUMMYFUNCTION("""COMPUTED_VALUE"""),6.0)</f>
        <v>6</v>
      </c>
      <c r="V8" s="16">
        <f>IFERROR(__xludf.DUMMYFUNCTION("""COMPUTED_VALUE"""),6.0)</f>
        <v>6</v>
      </c>
      <c r="W8" s="16">
        <f>IFERROR(__xludf.DUMMYFUNCTION("""COMPUTED_VALUE"""),2.0)</f>
        <v>2</v>
      </c>
      <c r="X8" s="16" t="b">
        <f>IFERROR(__xludf.DUMMYFUNCTION("""COMPUTED_VALUE"""),TRUE)</f>
        <v>1</v>
      </c>
      <c r="Y8" s="16"/>
      <c r="Z8" s="16"/>
    </row>
    <row r="9">
      <c r="A9" s="16" t="str">
        <f>IFERROR(__xludf.DUMMYFUNCTION("""COMPUTED_VALUE"""),"Akur8")</f>
        <v>Akur8</v>
      </c>
      <c r="B9" s="16" t="str">
        <f>IFERROR(__xludf.DUMMYFUNCTION("""COMPUTED_VALUE"""),"Growth")</f>
        <v>Growth</v>
      </c>
      <c r="C9" s="26" t="str">
        <f>IFERROR(__xludf.DUMMYFUNCTION("""COMPUTED_VALUE"""),"APAC, EMEA, NAM, LatAm")</f>
        <v>APAC, EMEA, NAM, LatAm</v>
      </c>
      <c r="D9" s="16" t="str">
        <f>IFERROR(__xludf.DUMMYFUNCTION("""COMPUTED_VALUE"""),"Tim Kennedy")</f>
        <v>Tim Kennedy</v>
      </c>
      <c r="E9" s="26" t="str">
        <f>IFERROR(__xludf.DUMMYFUNCTION("""COMPUTED_VALUE"""),"France")</f>
        <v>France</v>
      </c>
      <c r="F9" s="26" t="str">
        <f>IFERROR(__xludf.DUMMYFUNCTION("""COMPUTED_VALUE"""),"PolicyCenter")</f>
        <v>PolicyCenter</v>
      </c>
      <c r="G9" s="20">
        <f>IFERROR(__xludf.DUMMYFUNCTION("""COMPUTED_VALUE"""),44550.0)</f>
        <v>44550</v>
      </c>
      <c r="H9" s="20">
        <f>IFERROR(__xludf.DUMMYFUNCTION("""COMPUTED_VALUE"""),45280.0)</f>
        <v>45280</v>
      </c>
      <c r="I9" s="20">
        <f>IFERROR(__xludf.DUMMYFUNCTION("""COMPUTED_VALUE"""),44550.0)</f>
        <v>44550</v>
      </c>
      <c r="J9" s="16"/>
      <c r="K9" s="13">
        <f>IFERROR(__xludf.DUMMYFUNCTION("""COMPUTED_VALUE"""),45218.0)</f>
        <v>45218</v>
      </c>
      <c r="L9" s="16" t="str">
        <f>IFERROR(__xludf.DUMMYFUNCTION("""COMPUTED_VALUE"""),"Medium")</f>
        <v>Medium</v>
      </c>
      <c r="M9" s="26" t="str">
        <f>IFERROR(__xludf.DUMMYFUNCTION("""COMPUTED_VALUE"""),"PartnerConnect  Technology")</f>
        <v>PartnerConnect  Technology</v>
      </c>
      <c r="N9" s="16" t="str">
        <f>IFERROR(__xludf.DUMMYFUNCTION("""COMPUTED_VALUE"""),"FY21 - Q2")</f>
        <v>FY21 - Q2</v>
      </c>
      <c r="O9" s="16">
        <f>IFERROR(__xludf.DUMMYFUNCTION("""COMPUTED_VALUE"""),2.0)</f>
        <v>2</v>
      </c>
      <c r="P9" s="16">
        <f>IFERROR(__xludf.DUMMYFUNCTION("""COMPUTED_VALUE"""),2.0)</f>
        <v>2</v>
      </c>
      <c r="Q9" s="16">
        <f>IFERROR(__xludf.DUMMYFUNCTION("""COMPUTED_VALUE"""),10.0)</f>
        <v>10</v>
      </c>
      <c r="R9" s="16">
        <f>IFERROR(__xludf.DUMMYFUNCTION("""COMPUTED_VALUE"""),8.0)</f>
        <v>8</v>
      </c>
      <c r="S9" s="16">
        <f>IFERROR(__xludf.DUMMYFUNCTION("""COMPUTED_VALUE"""),37143.0)</f>
        <v>37143</v>
      </c>
      <c r="T9" s="16">
        <f>IFERROR(__xludf.DUMMYFUNCTION("""COMPUTED_VALUE"""),8.0)</f>
        <v>8</v>
      </c>
      <c r="U9" s="16">
        <f>IFERROR(__xludf.DUMMYFUNCTION("""COMPUTED_VALUE"""),2.0)</f>
        <v>2</v>
      </c>
      <c r="V9" s="16">
        <f>IFERROR(__xludf.DUMMYFUNCTION("""COMPUTED_VALUE"""),2.0)</f>
        <v>2</v>
      </c>
      <c r="W9" s="16">
        <f>IFERROR(__xludf.DUMMYFUNCTION("""COMPUTED_VALUE"""),0.0)</f>
        <v>0</v>
      </c>
      <c r="X9" s="16" t="b">
        <f>IFERROR(__xludf.DUMMYFUNCTION("""COMPUTED_VALUE"""),FALSE)</f>
        <v>0</v>
      </c>
      <c r="Y9" s="16"/>
      <c r="Z9" s="16"/>
    </row>
    <row r="10">
      <c r="A10" s="16" t="str">
        <f>IFERROR(__xludf.DUMMYFUNCTION("""COMPUTED_VALUE"""),"Alacrity Solutions Group")</f>
        <v>Alacrity Solutions Group</v>
      </c>
      <c r="B10" s="16" t="str">
        <f>IFERROR(__xludf.DUMMYFUNCTION("""COMPUTED_VALUE"""),"Growth")</f>
        <v>Growth</v>
      </c>
      <c r="C10" s="26" t="str">
        <f>IFERROR(__xludf.DUMMYFUNCTION("""COMPUTED_VALUE"""),"NAM")</f>
        <v>NAM</v>
      </c>
      <c r="D10" s="16" t="str">
        <f>IFERROR(__xludf.DUMMYFUNCTION("""COMPUTED_VALUE"""),"Rod Gowin")</f>
        <v>Rod Gowin</v>
      </c>
      <c r="E10" s="26" t="str">
        <f>IFERROR(__xludf.DUMMYFUNCTION("""COMPUTED_VALUE"""),"United States")</f>
        <v>United States</v>
      </c>
      <c r="F10" s="26" t="str">
        <f>IFERROR(__xludf.DUMMYFUNCTION("""COMPUTED_VALUE"""),"ClaimCenter")</f>
        <v>ClaimCenter</v>
      </c>
      <c r="G10" s="20">
        <f>IFERROR(__xludf.DUMMYFUNCTION("""COMPUTED_VALUE"""),44433.0)</f>
        <v>44433</v>
      </c>
      <c r="H10" s="20">
        <f>IFERROR(__xludf.DUMMYFUNCTION("""COMPUTED_VALUE"""),45162.0)</f>
        <v>45162</v>
      </c>
      <c r="I10" s="20">
        <f>IFERROR(__xludf.DUMMYFUNCTION("""COMPUTED_VALUE"""),44433.0)</f>
        <v>44433</v>
      </c>
      <c r="J10" s="16"/>
      <c r="K10" s="16"/>
      <c r="L10" s="16" t="str">
        <f>IFERROR(__xludf.DUMMYFUNCTION("""COMPUTED_VALUE"""),"Low")</f>
        <v>Low</v>
      </c>
      <c r="M10" s="26" t="str">
        <f>IFERROR(__xludf.DUMMYFUNCTION("""COMPUTED_VALUE"""),"PartnerConnect  Technology")</f>
        <v>PartnerConnect  Technology</v>
      </c>
      <c r="N10" s="16" t="str">
        <f>IFERROR(__xludf.DUMMYFUNCTION("""COMPUTED_VALUE"""),"FY21 - Q1")</f>
        <v>FY21 - Q1</v>
      </c>
      <c r="O10" s="16">
        <f>IFERROR(__xludf.DUMMYFUNCTION("""COMPUTED_VALUE"""),0.0)</f>
        <v>0</v>
      </c>
      <c r="P10" s="16">
        <f>IFERROR(__xludf.DUMMYFUNCTION("""COMPUTED_VALUE"""),0.0)</f>
        <v>0</v>
      </c>
      <c r="Q10" s="16">
        <f>IFERROR(__xludf.DUMMYFUNCTION("""COMPUTED_VALUE"""),0.0)</f>
        <v>0</v>
      </c>
      <c r="R10" s="16">
        <f>IFERROR(__xludf.DUMMYFUNCTION("""COMPUTED_VALUE"""),0.0)</f>
        <v>0</v>
      </c>
      <c r="S10" s="16">
        <f>IFERROR(__xludf.DUMMYFUNCTION("""COMPUTED_VALUE"""),0.0)</f>
        <v>0</v>
      </c>
      <c r="T10" s="16">
        <f>IFERROR(__xludf.DUMMYFUNCTION("""COMPUTED_VALUE"""),0.0)</f>
        <v>0</v>
      </c>
      <c r="U10" s="16">
        <f>IFERROR(__xludf.DUMMYFUNCTION("""COMPUTED_VALUE"""),0.0)</f>
        <v>0</v>
      </c>
      <c r="V10" s="16">
        <f>IFERROR(__xludf.DUMMYFUNCTION("""COMPUTED_VALUE"""),0.0)</f>
        <v>0</v>
      </c>
      <c r="W10" s="16">
        <f>IFERROR(__xludf.DUMMYFUNCTION("""COMPUTED_VALUE"""),0.0)</f>
        <v>0</v>
      </c>
      <c r="X10" s="16" t="b">
        <f>IFERROR(__xludf.DUMMYFUNCTION("""COMPUTED_VALUE"""),FALSE)</f>
        <v>0</v>
      </c>
      <c r="Y10" s="16"/>
      <c r="Z10" s="16"/>
    </row>
    <row r="11">
      <c r="A11" s="16" t="str">
        <f>IFERROR(__xludf.DUMMYFUNCTION("""COMPUTED_VALUE"""),"ALE Solutions")</f>
        <v>ALE Solutions</v>
      </c>
      <c r="B11" s="16" t="str">
        <f>IFERROR(__xludf.DUMMYFUNCTION("""COMPUTED_VALUE"""),"Growth")</f>
        <v>Growth</v>
      </c>
      <c r="C11" s="26" t="str">
        <f>IFERROR(__xludf.DUMMYFUNCTION("""COMPUTED_VALUE"""),"NAM")</f>
        <v>NAM</v>
      </c>
      <c r="D11" s="16" t="str">
        <f>IFERROR(__xludf.DUMMYFUNCTION("""COMPUTED_VALUE"""),"Aaron Shaw")</f>
        <v>Aaron Shaw</v>
      </c>
      <c r="E11" s="16" t="str">
        <f>IFERROR(__xludf.DUMMYFUNCTION("""COMPUTED_VALUE"""),"United States")</f>
        <v>United States</v>
      </c>
      <c r="F11" s="26" t="str">
        <f>IFERROR(__xludf.DUMMYFUNCTION("""COMPUTED_VALUE"""),"ClaimCenter")</f>
        <v>ClaimCenter</v>
      </c>
      <c r="G11" s="20">
        <f>IFERROR(__xludf.DUMMYFUNCTION("""COMPUTED_VALUE"""),44725.0)</f>
        <v>44725</v>
      </c>
      <c r="H11" s="13">
        <f>IFERROR(__xludf.DUMMYFUNCTION("""COMPUTED_VALUE"""),45455.0)</f>
        <v>45455</v>
      </c>
      <c r="I11" s="20">
        <f>IFERROR(__xludf.DUMMYFUNCTION("""COMPUTED_VALUE"""),44725.0)</f>
        <v>44725</v>
      </c>
      <c r="J11" s="16"/>
      <c r="K11" s="13">
        <f>IFERROR(__xludf.DUMMYFUNCTION("""COMPUTED_VALUE"""),45016.0)</f>
        <v>45016</v>
      </c>
      <c r="L11" s="16" t="str">
        <f>IFERROR(__xludf.DUMMYFUNCTION("""COMPUTED_VALUE"""),"Low")</f>
        <v>Low</v>
      </c>
      <c r="M11" s="26" t="str">
        <f>IFERROR(__xludf.DUMMYFUNCTION("""COMPUTED_VALUE"""),"PartnerConnect  Technology")</f>
        <v>PartnerConnect  Technology</v>
      </c>
      <c r="N11" s="16" t="str">
        <f>IFERROR(__xludf.DUMMYFUNCTION("""COMPUTED_VALUE"""),"FY22 - Q3")</f>
        <v>FY22 - Q3</v>
      </c>
      <c r="O11" s="16">
        <f>IFERROR(__xludf.DUMMYFUNCTION("""COMPUTED_VALUE"""),1.0)</f>
        <v>1</v>
      </c>
      <c r="P11" s="16">
        <f>IFERROR(__xludf.DUMMYFUNCTION("""COMPUTED_VALUE"""),1.0)</f>
        <v>1</v>
      </c>
      <c r="Q11" s="16">
        <f>IFERROR(__xludf.DUMMYFUNCTION("""COMPUTED_VALUE"""),10.0)</f>
        <v>10</v>
      </c>
      <c r="R11" s="16">
        <f>IFERROR(__xludf.DUMMYFUNCTION("""COMPUTED_VALUE"""),3.0)</f>
        <v>3</v>
      </c>
      <c r="S11" s="16">
        <f>IFERROR(__xludf.DUMMYFUNCTION("""COMPUTED_VALUE"""),226.0)</f>
        <v>226</v>
      </c>
      <c r="T11" s="16">
        <f>IFERROR(__xludf.DUMMYFUNCTION("""COMPUTED_VALUE"""),3.0)</f>
        <v>3</v>
      </c>
      <c r="U11" s="16">
        <f>IFERROR(__xludf.DUMMYFUNCTION("""COMPUTED_VALUE"""),0.0)</f>
        <v>0</v>
      </c>
      <c r="V11" s="16">
        <f>IFERROR(__xludf.DUMMYFUNCTION("""COMPUTED_VALUE"""),0.0)</f>
        <v>0</v>
      </c>
      <c r="W11" s="16">
        <f>IFERROR(__xludf.DUMMYFUNCTION("""COMPUTED_VALUE"""),0.0)</f>
        <v>0</v>
      </c>
      <c r="X11" s="16" t="b">
        <f>IFERROR(__xludf.DUMMYFUNCTION("""COMPUTED_VALUE"""),TRUE)</f>
        <v>1</v>
      </c>
      <c r="Y11" s="16"/>
      <c r="Z11" s="16"/>
    </row>
    <row r="12">
      <c r="A12" s="16" t="str">
        <f>IFERROR(__xludf.DUMMYFUNCTION("""COMPUTED_VALUE"""),"Amazon Web Services, Inc")</f>
        <v>Amazon Web Services, Inc</v>
      </c>
      <c r="B12" s="16" t="str">
        <f>IFERROR(__xludf.DUMMYFUNCTION("""COMPUTED_VALUE"""),"Advantage")</f>
        <v>Advantage</v>
      </c>
      <c r="C12" s="26" t="str">
        <f>IFERROR(__xludf.DUMMYFUNCTION("""COMPUTED_VALUE"""),"APAC, EMEA, NAM, LatAm")</f>
        <v>APAC, EMEA, NAM, LatAm</v>
      </c>
      <c r="D12" s="16" t="str">
        <f>IFERROR(__xludf.DUMMYFUNCTION("""COMPUTED_VALUE"""),"Paul Harper")</f>
        <v>Paul Harper</v>
      </c>
      <c r="E12" s="26"/>
      <c r="F12" s="16" t="str">
        <f>IFERROR(__xludf.DUMMYFUNCTION("""COMPUTED_VALUE"""),"Cloud Data Access (CDA)")</f>
        <v>Cloud Data Access (CDA)</v>
      </c>
      <c r="G12" s="20">
        <f>IFERROR(__xludf.DUMMYFUNCTION("""COMPUTED_VALUE"""),43334.0)</f>
        <v>43334</v>
      </c>
      <c r="H12" s="20"/>
      <c r="I12" s="13">
        <f>IFERROR(__xludf.DUMMYFUNCTION("""COMPUTED_VALUE"""),45293.0)</f>
        <v>45293</v>
      </c>
      <c r="J12" s="16"/>
      <c r="K12" s="13">
        <f>IFERROR(__xludf.DUMMYFUNCTION("""COMPUTED_VALUE"""),45450.0)</f>
        <v>45450</v>
      </c>
      <c r="L12" s="16" t="str">
        <f>IFERROR(__xludf.DUMMYFUNCTION("""COMPUTED_VALUE"""),"High")</f>
        <v>High</v>
      </c>
      <c r="M12" s="26" t="str">
        <f>IFERROR(__xludf.DUMMYFUNCTION("""COMPUTED_VALUE"""),"PartnerConnect  Technology")</f>
        <v>PartnerConnect  Technology</v>
      </c>
      <c r="N12" s="16" t="str">
        <f>IFERROR(__xludf.DUMMYFUNCTION("""COMPUTED_VALUE"""),"FY18 - Q1")</f>
        <v>FY18 - Q1</v>
      </c>
      <c r="O12" s="16">
        <f>IFERROR(__xludf.DUMMYFUNCTION("""COMPUTED_VALUE"""),0.0)</f>
        <v>0</v>
      </c>
      <c r="P12" s="16">
        <f>IFERROR(__xludf.DUMMYFUNCTION("""COMPUTED_VALUE"""),0.0)</f>
        <v>0</v>
      </c>
      <c r="Q12" s="16">
        <f>IFERROR(__xludf.DUMMYFUNCTION("""COMPUTED_VALUE"""),0.0)</f>
        <v>0</v>
      </c>
      <c r="R12" s="16">
        <f>IFERROR(__xludf.DUMMYFUNCTION("""COMPUTED_VALUE"""),0.0)</f>
        <v>0</v>
      </c>
      <c r="S12" s="16">
        <f>IFERROR(__xludf.DUMMYFUNCTION("""COMPUTED_VALUE"""),0.0)</f>
        <v>0</v>
      </c>
      <c r="T12" s="16">
        <f>IFERROR(__xludf.DUMMYFUNCTION("""COMPUTED_VALUE"""),0.0)</f>
        <v>0</v>
      </c>
      <c r="U12" s="16">
        <f>IFERROR(__xludf.DUMMYFUNCTION("""COMPUTED_VALUE"""),0.0)</f>
        <v>0</v>
      </c>
      <c r="V12" s="16">
        <f>IFERROR(__xludf.DUMMYFUNCTION("""COMPUTED_VALUE"""),0.0)</f>
        <v>0</v>
      </c>
      <c r="W12" s="16">
        <f>IFERROR(__xludf.DUMMYFUNCTION("""COMPUTED_VALUE"""),0.0)</f>
        <v>0</v>
      </c>
      <c r="X12" s="16" t="b">
        <f>IFERROR(__xludf.DUMMYFUNCTION("""COMPUTED_VALUE"""),FALSE)</f>
        <v>0</v>
      </c>
      <c r="Y12" s="16"/>
      <c r="Z12" s="16"/>
    </row>
    <row r="13">
      <c r="A13" s="16" t="str">
        <f>IFERROR(__xludf.DUMMYFUNCTION("""COMPUTED_VALUE"""),"American Association of Insurance Services (AAIS)")</f>
        <v>American Association of Insurance Services (AAIS)</v>
      </c>
      <c r="B13" s="16" t="str">
        <f>IFERROR(__xludf.DUMMYFUNCTION("""COMPUTED_VALUE"""),"Growth")</f>
        <v>Growth</v>
      </c>
      <c r="C13" s="26" t="str">
        <f>IFERROR(__xludf.DUMMYFUNCTION("""COMPUTED_VALUE"""),"NAM")</f>
        <v>NAM</v>
      </c>
      <c r="D13" s="16" t="str">
        <f>IFERROR(__xludf.DUMMYFUNCTION("""COMPUTED_VALUE"""),"Eric Apse")</f>
        <v>Eric Apse</v>
      </c>
      <c r="E13" s="26" t="str">
        <f>IFERROR(__xludf.DUMMYFUNCTION("""COMPUTED_VALUE"""),"United States")</f>
        <v>United States</v>
      </c>
      <c r="F13" s="26"/>
      <c r="G13" s="20">
        <f>IFERROR(__xludf.DUMMYFUNCTION("""COMPUTED_VALUE"""),45261.0)</f>
        <v>45261</v>
      </c>
      <c r="H13" s="20">
        <f>IFERROR(__xludf.DUMMYFUNCTION("""COMPUTED_VALUE"""),45626.0)</f>
        <v>45626</v>
      </c>
      <c r="I13" s="20"/>
      <c r="J13" s="16"/>
      <c r="K13" s="16"/>
      <c r="L13" s="16" t="str">
        <f>IFERROR(__xludf.DUMMYFUNCTION("""COMPUTED_VALUE"""),"High")</f>
        <v>High</v>
      </c>
      <c r="M13" s="26" t="str">
        <f>IFERROR(__xludf.DUMMYFUNCTION("""COMPUTED_VALUE"""),"PartnerConnect  Technology")</f>
        <v>PartnerConnect  Technology</v>
      </c>
      <c r="N13" s="16" t="str">
        <f>IFERROR(__xludf.DUMMYFUNCTION("""COMPUTED_VALUE"""),"FY23 - Q2")</f>
        <v>FY23 - Q2</v>
      </c>
      <c r="O13" s="16">
        <f>IFERROR(__xludf.DUMMYFUNCTION("""COMPUTED_VALUE"""),0.0)</f>
        <v>0</v>
      </c>
      <c r="P13" s="16">
        <f>IFERROR(__xludf.DUMMYFUNCTION("""COMPUTED_VALUE"""),0.0)</f>
        <v>0</v>
      </c>
      <c r="Q13" s="16">
        <f>IFERROR(__xludf.DUMMYFUNCTION("""COMPUTED_VALUE"""),0.0)</f>
        <v>0</v>
      </c>
      <c r="R13" s="16">
        <f>IFERROR(__xludf.DUMMYFUNCTION("""COMPUTED_VALUE"""),0.0)</f>
        <v>0</v>
      </c>
      <c r="S13" s="16">
        <f>IFERROR(__xludf.DUMMYFUNCTION("""COMPUTED_VALUE"""),0.0)</f>
        <v>0</v>
      </c>
      <c r="T13" s="16">
        <f>IFERROR(__xludf.DUMMYFUNCTION("""COMPUTED_VALUE"""),0.0)</f>
        <v>0</v>
      </c>
      <c r="U13" s="16">
        <f>IFERROR(__xludf.DUMMYFUNCTION("""COMPUTED_VALUE"""),0.0)</f>
        <v>0</v>
      </c>
      <c r="V13" s="16">
        <f>IFERROR(__xludf.DUMMYFUNCTION("""COMPUTED_VALUE"""),0.0)</f>
        <v>0</v>
      </c>
      <c r="W13" s="16">
        <f>IFERROR(__xludf.DUMMYFUNCTION("""COMPUTED_VALUE"""),51.0)</f>
        <v>51</v>
      </c>
      <c r="X13" s="16" t="b">
        <f>IFERROR(__xludf.DUMMYFUNCTION("""COMPUTED_VALUE"""),FALSE)</f>
        <v>0</v>
      </c>
      <c r="Y13" s="16"/>
      <c r="Z13" s="16"/>
    </row>
    <row r="14">
      <c r="A14" s="16" t="str">
        <f>IFERROR(__xludf.DUMMYFUNCTION("""COMPUTED_VALUE"""),"Appian")</f>
        <v>Appian</v>
      </c>
      <c r="B14" s="16" t="str">
        <f>IFERROR(__xludf.DUMMYFUNCTION("""COMPUTED_VALUE"""),"Growth")</f>
        <v>Growth</v>
      </c>
      <c r="C14" s="26" t="str">
        <f>IFERROR(__xludf.DUMMYFUNCTION("""COMPUTED_VALUE"""),"APAC, EMEA, NAM, LatAm")</f>
        <v>APAC, EMEA, NAM, LatAm</v>
      </c>
      <c r="D14" s="16" t="str">
        <f>IFERROR(__xludf.DUMMYFUNCTION("""COMPUTED_VALUE"""),"Fatima Aoulagha-Bannou")</f>
        <v>Fatima Aoulagha-Bannou</v>
      </c>
      <c r="E14" s="26" t="str">
        <f>IFERROR(__xludf.DUMMYFUNCTION("""COMPUTED_VALUE"""),"United States")</f>
        <v>United States</v>
      </c>
      <c r="F14" s="26" t="str">
        <f>IFERROR(__xludf.DUMMYFUNCTION("""COMPUTED_VALUE"""),"ClaimCenter, PolicyCenter, BillingCenter")</f>
        <v>ClaimCenter, PolicyCenter, BillingCenter</v>
      </c>
      <c r="G14" s="20">
        <f>IFERROR(__xludf.DUMMYFUNCTION("""COMPUTED_VALUE"""),44771.0)</f>
        <v>44771</v>
      </c>
      <c r="H14" s="13">
        <f>IFERROR(__xludf.DUMMYFUNCTION("""COMPUTED_VALUE"""),45501.0)</f>
        <v>45501</v>
      </c>
      <c r="I14" s="20">
        <f>IFERROR(__xludf.DUMMYFUNCTION("""COMPUTED_VALUE"""),44972.0)</f>
        <v>44972</v>
      </c>
      <c r="J14" s="16"/>
      <c r="K14" s="20">
        <f>IFERROR(__xludf.DUMMYFUNCTION("""COMPUTED_VALUE"""),45223.0)</f>
        <v>45223</v>
      </c>
      <c r="L14" s="16" t="str">
        <f>IFERROR(__xludf.DUMMYFUNCTION("""COMPUTED_VALUE"""),"Medium")</f>
        <v>Medium</v>
      </c>
      <c r="M14" s="26" t="str">
        <f>IFERROR(__xludf.DUMMYFUNCTION("""COMPUTED_VALUE"""),"PartnerConnect  Technology")</f>
        <v>PartnerConnect  Technology</v>
      </c>
      <c r="N14" s="16" t="str">
        <f>IFERROR(__xludf.DUMMYFUNCTION("""COMPUTED_VALUE"""),"FY22 - Q4")</f>
        <v>FY22 - Q4</v>
      </c>
      <c r="O14" s="16">
        <f>IFERROR(__xludf.DUMMYFUNCTION("""COMPUTED_VALUE"""),2.0)</f>
        <v>2</v>
      </c>
      <c r="P14" s="16">
        <f>IFERROR(__xludf.DUMMYFUNCTION("""COMPUTED_VALUE"""),2.0)</f>
        <v>2</v>
      </c>
      <c r="Q14" s="16">
        <f>IFERROR(__xludf.DUMMYFUNCTION("""COMPUTED_VALUE"""),87.0)</f>
        <v>87</v>
      </c>
      <c r="R14" s="16">
        <f>IFERROR(__xludf.DUMMYFUNCTION("""COMPUTED_VALUE"""),51.0)</f>
        <v>51</v>
      </c>
      <c r="S14" s="16">
        <f>IFERROR(__xludf.DUMMYFUNCTION("""COMPUTED_VALUE"""),39976.0)</f>
        <v>39976</v>
      </c>
      <c r="T14" s="16">
        <f>IFERROR(__xludf.DUMMYFUNCTION("""COMPUTED_VALUE"""),16.0)</f>
        <v>16</v>
      </c>
      <c r="U14" s="16">
        <f>IFERROR(__xludf.DUMMYFUNCTION("""COMPUTED_VALUE"""),51.0)</f>
        <v>51</v>
      </c>
      <c r="V14" s="16">
        <f>IFERROR(__xludf.DUMMYFUNCTION("""COMPUTED_VALUE"""),51.0)</f>
        <v>51</v>
      </c>
      <c r="W14" s="16">
        <f>IFERROR(__xludf.DUMMYFUNCTION("""COMPUTED_VALUE"""),76.0)</f>
        <v>76</v>
      </c>
      <c r="X14" s="16" t="b">
        <f>IFERROR(__xludf.DUMMYFUNCTION("""COMPUTED_VALUE"""),FALSE)</f>
        <v>0</v>
      </c>
      <c r="Y14" s="16"/>
      <c r="Z14" s="16"/>
    </row>
    <row r="15">
      <c r="A15" s="16" t="str">
        <f>IFERROR(__xludf.DUMMYFUNCTION("""COMPUTED_VALUE"""),"Applied Systems Inc")</f>
        <v>Applied Systems Inc</v>
      </c>
      <c r="B15" s="16" t="str">
        <f>IFERROR(__xludf.DUMMYFUNCTION("""COMPUTED_VALUE"""),"Growth")</f>
        <v>Growth</v>
      </c>
      <c r="C15" s="26" t="str">
        <f>IFERROR(__xludf.DUMMYFUNCTION("""COMPUTED_VALUE"""),"NAM")</f>
        <v>NAM</v>
      </c>
      <c r="D15" s="16" t="str">
        <f>IFERROR(__xludf.DUMMYFUNCTION("""COMPUTED_VALUE"""),"Rod Gowin")</f>
        <v>Rod Gowin</v>
      </c>
      <c r="E15" s="26" t="str">
        <f>IFERROR(__xludf.DUMMYFUNCTION("""COMPUTED_VALUE"""),"United States")</f>
        <v>United States</v>
      </c>
      <c r="F15" s="26" t="str">
        <f>IFERROR(__xludf.DUMMYFUNCTION("""COMPUTED_VALUE"""),"ClaimCenter, PolicyCenter, BillingCenter, InsuranceNow")</f>
        <v>ClaimCenter, PolicyCenter, BillingCenter, InsuranceNow</v>
      </c>
      <c r="G15" s="20">
        <f>IFERROR(__xludf.DUMMYFUNCTION("""COMPUTED_VALUE"""),42152.0)</f>
        <v>42152</v>
      </c>
      <c r="H15" s="16"/>
      <c r="I15" s="20">
        <f>IFERROR(__xludf.DUMMYFUNCTION("""COMPUTED_VALUE"""),42152.0)</f>
        <v>42152</v>
      </c>
      <c r="J15" s="16"/>
      <c r="K15" s="13">
        <f>IFERROR(__xludf.DUMMYFUNCTION("""COMPUTED_VALUE"""),42292.0)</f>
        <v>42292</v>
      </c>
      <c r="L15" s="16" t="str">
        <f>IFERROR(__xludf.DUMMYFUNCTION("""COMPUTED_VALUE"""),"High")</f>
        <v>High</v>
      </c>
      <c r="M15" s="26" t="str">
        <f>IFERROR(__xludf.DUMMYFUNCTION("""COMPUTED_VALUE"""),"PartnerConnect  Technology")</f>
        <v>PartnerConnect  Technology</v>
      </c>
      <c r="N15" s="16" t="str">
        <f>IFERROR(__xludf.DUMMYFUNCTION("""COMPUTED_VALUE"""),"FY15 - Q3")</f>
        <v>FY15 - Q3</v>
      </c>
      <c r="O15" s="16">
        <f>IFERROR(__xludf.DUMMYFUNCTION("""COMPUTED_VALUE"""),4.0)</f>
        <v>4</v>
      </c>
      <c r="P15" s="16">
        <f>IFERROR(__xludf.DUMMYFUNCTION("""COMPUTED_VALUE"""),4.0)</f>
        <v>4</v>
      </c>
      <c r="Q15" s="16">
        <f>IFERROR(__xludf.DUMMYFUNCTION("""COMPUTED_VALUE"""),95.0)</f>
        <v>95</v>
      </c>
      <c r="R15" s="16">
        <f>IFERROR(__xludf.DUMMYFUNCTION("""COMPUTED_VALUE"""),79.0)</f>
        <v>79</v>
      </c>
      <c r="S15" s="16">
        <f>IFERROR(__xludf.DUMMYFUNCTION("""COMPUTED_VALUE"""),59454.0)</f>
        <v>59454</v>
      </c>
      <c r="T15" s="16">
        <f>IFERROR(__xludf.DUMMYFUNCTION("""COMPUTED_VALUE"""),38.0)</f>
        <v>38</v>
      </c>
      <c r="U15" s="16">
        <f>IFERROR(__xludf.DUMMYFUNCTION("""COMPUTED_VALUE"""),79.0)</f>
        <v>79</v>
      </c>
      <c r="V15" s="16">
        <f>IFERROR(__xludf.DUMMYFUNCTION("""COMPUTED_VALUE"""),79.0)</f>
        <v>79</v>
      </c>
      <c r="W15" s="16">
        <f>IFERROR(__xludf.DUMMYFUNCTION("""COMPUTED_VALUE"""),2.0)</f>
        <v>2</v>
      </c>
      <c r="X15" s="16" t="b">
        <f>IFERROR(__xludf.DUMMYFUNCTION("""COMPUTED_VALUE"""),FALSE)</f>
        <v>0</v>
      </c>
      <c r="Y15" s="16"/>
      <c r="Z15" s="16"/>
    </row>
    <row r="16">
      <c r="A16" s="16" t="str">
        <f>IFERROR(__xludf.DUMMYFUNCTION("""COMPUTED_VALUE"""),"Appulate, Inc.")</f>
        <v>Appulate, Inc.</v>
      </c>
      <c r="B16" s="16" t="str">
        <f>IFERROR(__xludf.DUMMYFUNCTION("""COMPUTED_VALUE"""),"Growth")</f>
        <v>Growth</v>
      </c>
      <c r="C16" s="26" t="str">
        <f>IFERROR(__xludf.DUMMYFUNCTION("""COMPUTED_VALUE"""),"NAM")</f>
        <v>NAM</v>
      </c>
      <c r="D16" s="16" t="str">
        <f>IFERROR(__xludf.DUMMYFUNCTION("""COMPUTED_VALUE"""),"Tim Kennedy")</f>
        <v>Tim Kennedy</v>
      </c>
      <c r="E16" s="26" t="str">
        <f>IFERROR(__xludf.DUMMYFUNCTION("""COMPUTED_VALUE"""),"United States")</f>
        <v>United States</v>
      </c>
      <c r="F16" s="26" t="str">
        <f>IFERROR(__xludf.DUMMYFUNCTION("""COMPUTED_VALUE"""),"PolicyCenter")</f>
        <v>PolicyCenter</v>
      </c>
      <c r="G16" s="20">
        <f>IFERROR(__xludf.DUMMYFUNCTION("""COMPUTED_VALUE"""),45597.0)</f>
        <v>45597</v>
      </c>
      <c r="H16" s="20"/>
      <c r="I16" s="20">
        <f>IFERROR(__xludf.DUMMYFUNCTION("""COMPUTED_VALUE"""),45597.0)</f>
        <v>45597</v>
      </c>
      <c r="J16" s="16"/>
      <c r="K16" s="13">
        <f>IFERROR(__xludf.DUMMYFUNCTION("""COMPUTED_VALUE"""),45958.0)</f>
        <v>45958</v>
      </c>
      <c r="L16" s="16" t="str">
        <f>IFERROR(__xludf.DUMMYFUNCTION("""COMPUTED_VALUE"""),"Medium")</f>
        <v>Medium</v>
      </c>
      <c r="M16" s="26" t="str">
        <f>IFERROR(__xludf.DUMMYFUNCTION("""COMPUTED_VALUE"""),"PartnerConnect  Technology")</f>
        <v>PartnerConnect  Technology</v>
      </c>
      <c r="N16" s="16" t="str">
        <f>IFERROR(__xludf.DUMMYFUNCTION("""COMPUTED_VALUE"""),"FY24 - Q2")</f>
        <v>FY24 - Q2</v>
      </c>
      <c r="O16" s="16">
        <f>IFERROR(__xludf.DUMMYFUNCTION("""COMPUTED_VALUE"""),1.0)</f>
        <v>1</v>
      </c>
      <c r="P16" s="16">
        <f>IFERROR(__xludf.DUMMYFUNCTION("""COMPUTED_VALUE"""),1.0)</f>
        <v>1</v>
      </c>
      <c r="Q16" s="16">
        <f>IFERROR(__xludf.DUMMYFUNCTION("""COMPUTED_VALUE"""),3.0)</f>
        <v>3</v>
      </c>
      <c r="R16" s="16">
        <f>IFERROR(__xludf.DUMMYFUNCTION("""COMPUTED_VALUE"""),3.0)</f>
        <v>3</v>
      </c>
      <c r="S16" s="16">
        <f>IFERROR(__xludf.DUMMYFUNCTION("""COMPUTED_VALUE"""),986.0)</f>
        <v>986</v>
      </c>
      <c r="T16" s="16">
        <f>IFERROR(__xludf.DUMMYFUNCTION("""COMPUTED_VALUE"""),3.0)</f>
        <v>3</v>
      </c>
      <c r="U16" s="16">
        <f>IFERROR(__xludf.DUMMYFUNCTION("""COMPUTED_VALUE"""),3.0)</f>
        <v>3</v>
      </c>
      <c r="V16" s="16">
        <f>IFERROR(__xludf.DUMMYFUNCTION("""COMPUTED_VALUE"""),3.0)</f>
        <v>3</v>
      </c>
      <c r="W16" s="16">
        <f>IFERROR(__xludf.DUMMYFUNCTION("""COMPUTED_VALUE"""),51.0)</f>
        <v>51</v>
      </c>
      <c r="X16" s="16" t="b">
        <f>IFERROR(__xludf.DUMMYFUNCTION("""COMPUTED_VALUE"""),FALSE)</f>
        <v>0</v>
      </c>
      <c r="Y16" s="16"/>
      <c r="Z16" s="16"/>
    </row>
    <row r="17">
      <c r="A17" s="16" t="str">
        <f>IFERROR(__xludf.DUMMYFUNCTION("""COMPUTED_VALUE"""),"Arbitration Forums, Inc")</f>
        <v>Arbitration Forums, Inc</v>
      </c>
      <c r="B17" s="16" t="str">
        <f>IFERROR(__xludf.DUMMYFUNCTION("""COMPUTED_VALUE"""),"Growth")</f>
        <v>Growth</v>
      </c>
      <c r="C17" s="26" t="str">
        <f>IFERROR(__xludf.DUMMYFUNCTION("""COMPUTED_VALUE"""),"NAM")</f>
        <v>NAM</v>
      </c>
      <c r="D17" s="16" t="str">
        <f>IFERROR(__xludf.DUMMYFUNCTION("""COMPUTED_VALUE"""),"Rod Gowin")</f>
        <v>Rod Gowin</v>
      </c>
      <c r="E17" s="26" t="str">
        <f>IFERROR(__xludf.DUMMYFUNCTION("""COMPUTED_VALUE"""),"United States")</f>
        <v>United States</v>
      </c>
      <c r="F17" s="26" t="str">
        <f>IFERROR(__xludf.DUMMYFUNCTION("""COMPUTED_VALUE"""),"ClaimCenter")</f>
        <v>ClaimCenter</v>
      </c>
      <c r="G17" s="20">
        <f>IFERROR(__xludf.DUMMYFUNCTION("""COMPUTED_VALUE"""),44421.0)</f>
        <v>44421</v>
      </c>
      <c r="H17" s="20">
        <f>IFERROR(__xludf.DUMMYFUNCTION("""COMPUTED_VALUE"""),45150.0)</f>
        <v>45150</v>
      </c>
      <c r="I17" s="20">
        <f>IFERROR(__xludf.DUMMYFUNCTION("""COMPUTED_VALUE"""),44439.0)</f>
        <v>44439</v>
      </c>
      <c r="J17" s="16"/>
      <c r="K17" s="13">
        <f>IFERROR(__xludf.DUMMYFUNCTION("""COMPUTED_VALUE"""),45400.0)</f>
        <v>45400</v>
      </c>
      <c r="L17" s="16" t="str">
        <f>IFERROR(__xludf.DUMMYFUNCTION("""COMPUTED_VALUE"""),"Medium")</f>
        <v>Medium</v>
      </c>
      <c r="M17" s="26" t="str">
        <f>IFERROR(__xludf.DUMMYFUNCTION("""COMPUTED_VALUE"""),"PartnerConnect  Technology")</f>
        <v>PartnerConnect  Technology</v>
      </c>
      <c r="N17" s="16" t="str">
        <f>IFERROR(__xludf.DUMMYFUNCTION("""COMPUTED_VALUE"""),"FY21 - Q1")</f>
        <v>FY21 - Q1</v>
      </c>
      <c r="O17" s="16">
        <f>IFERROR(__xludf.DUMMYFUNCTION("""COMPUTED_VALUE"""),2.0)</f>
        <v>2</v>
      </c>
      <c r="P17" s="16">
        <f>IFERROR(__xludf.DUMMYFUNCTION("""COMPUTED_VALUE"""),2.0)</f>
        <v>2</v>
      </c>
      <c r="Q17" s="16">
        <f>IFERROR(__xludf.DUMMYFUNCTION("""COMPUTED_VALUE"""),114.0)</f>
        <v>114</v>
      </c>
      <c r="R17" s="16">
        <f>IFERROR(__xludf.DUMMYFUNCTION("""COMPUTED_VALUE"""),78.0)</f>
        <v>78</v>
      </c>
      <c r="S17" s="16">
        <f>IFERROR(__xludf.DUMMYFUNCTION("""COMPUTED_VALUE"""),30196.0)</f>
        <v>30196</v>
      </c>
      <c r="T17" s="16">
        <f>IFERROR(__xludf.DUMMYFUNCTION("""COMPUTED_VALUE"""),36.0)</f>
        <v>36</v>
      </c>
      <c r="U17" s="16">
        <f>IFERROR(__xludf.DUMMYFUNCTION("""COMPUTED_VALUE"""),60.0)</f>
        <v>60</v>
      </c>
      <c r="V17" s="16">
        <f>IFERROR(__xludf.DUMMYFUNCTION("""COMPUTED_VALUE"""),60.0)</f>
        <v>60</v>
      </c>
      <c r="W17" s="16">
        <f>IFERROR(__xludf.DUMMYFUNCTION("""COMPUTED_VALUE"""),0.0)</f>
        <v>0</v>
      </c>
      <c r="X17" s="16" t="b">
        <f>IFERROR(__xludf.DUMMYFUNCTION("""COMPUTED_VALUE"""),TRUE)</f>
        <v>1</v>
      </c>
      <c r="Y17" s="16"/>
      <c r="Z17" s="16"/>
    </row>
    <row r="18">
      <c r="A18" s="16" t="str">
        <f>IFERROR(__xludf.DUMMYFUNCTION("""COMPUTED_VALUE"""),"Arity")</f>
        <v>Arity</v>
      </c>
      <c r="B18" s="16" t="str">
        <f>IFERROR(__xludf.DUMMYFUNCTION("""COMPUTED_VALUE"""),"Access")</f>
        <v>Access</v>
      </c>
      <c r="C18" s="26" t="str">
        <f>IFERROR(__xludf.DUMMYFUNCTION("""COMPUTED_VALUE"""),"NAM")</f>
        <v>NAM</v>
      </c>
      <c r="D18" s="16" t="str">
        <f>IFERROR(__xludf.DUMMYFUNCTION("""COMPUTED_VALUE"""),"Aaron Shaw")</f>
        <v>Aaron Shaw</v>
      </c>
      <c r="E18" s="26" t="str">
        <f>IFERROR(__xludf.DUMMYFUNCTION("""COMPUTED_VALUE"""),"United States")</f>
        <v>United States</v>
      </c>
      <c r="F18" s="26" t="str">
        <f>IFERROR(__xludf.DUMMYFUNCTION("""COMPUTED_VALUE"""),"PolicyCenter")</f>
        <v>PolicyCenter</v>
      </c>
      <c r="G18" s="20">
        <f>IFERROR(__xludf.DUMMYFUNCTION("""COMPUTED_VALUE"""),43637.0)</f>
        <v>43637</v>
      </c>
      <c r="H18" s="13">
        <f>IFERROR(__xludf.DUMMYFUNCTION("""COMPUTED_VALUE"""),44368.0)</f>
        <v>44368</v>
      </c>
      <c r="I18" s="20">
        <f>IFERROR(__xludf.DUMMYFUNCTION("""COMPUTED_VALUE"""),43637.0)</f>
        <v>43637</v>
      </c>
      <c r="J18" s="16"/>
      <c r="K18" s="16"/>
      <c r="L18" s="16" t="str">
        <f>IFERROR(__xludf.DUMMYFUNCTION("""COMPUTED_VALUE"""),"Medium")</f>
        <v>Medium</v>
      </c>
      <c r="M18" s="26" t="str">
        <f>IFERROR(__xludf.DUMMYFUNCTION("""COMPUTED_VALUE"""),"PartnerConnect  Technology")</f>
        <v>PartnerConnect  Technology</v>
      </c>
      <c r="N18" s="16" t="str">
        <f>IFERROR(__xludf.DUMMYFUNCTION("""COMPUTED_VALUE"""),"FY19 - Q3")</f>
        <v>FY19 - Q3</v>
      </c>
      <c r="O18" s="16">
        <f>IFERROR(__xludf.DUMMYFUNCTION("""COMPUTED_VALUE"""),0.0)</f>
        <v>0</v>
      </c>
      <c r="P18" s="16">
        <f>IFERROR(__xludf.DUMMYFUNCTION("""COMPUTED_VALUE"""),0.0)</f>
        <v>0</v>
      </c>
      <c r="Q18" s="16">
        <f>IFERROR(__xludf.DUMMYFUNCTION("""COMPUTED_VALUE"""),0.0)</f>
        <v>0</v>
      </c>
      <c r="R18" s="16">
        <f>IFERROR(__xludf.DUMMYFUNCTION("""COMPUTED_VALUE"""),0.0)</f>
        <v>0</v>
      </c>
      <c r="S18" s="16">
        <f>IFERROR(__xludf.DUMMYFUNCTION("""COMPUTED_VALUE"""),0.0)</f>
        <v>0</v>
      </c>
      <c r="T18" s="16">
        <f>IFERROR(__xludf.DUMMYFUNCTION("""COMPUTED_VALUE"""),0.0)</f>
        <v>0</v>
      </c>
      <c r="U18" s="16">
        <f>IFERROR(__xludf.DUMMYFUNCTION("""COMPUTED_VALUE"""),0.0)</f>
        <v>0</v>
      </c>
      <c r="V18" s="16">
        <f>IFERROR(__xludf.DUMMYFUNCTION("""COMPUTED_VALUE"""),0.0)</f>
        <v>0</v>
      </c>
      <c r="W18" s="16">
        <f>IFERROR(__xludf.DUMMYFUNCTION("""COMPUTED_VALUE"""),0.0)</f>
        <v>0</v>
      </c>
      <c r="X18" s="16" t="b">
        <f>IFERROR(__xludf.DUMMYFUNCTION("""COMPUTED_VALUE"""),FALSE)</f>
        <v>0</v>
      </c>
      <c r="Y18" s="16"/>
      <c r="Z18" s="16"/>
    </row>
    <row r="19">
      <c r="A19" s="16" t="str">
        <f>IFERROR(__xludf.DUMMYFUNCTION("""COMPUTED_VALUE"""),"ARMA Group Holdings")</f>
        <v>ARMA Group Holdings</v>
      </c>
      <c r="B19" s="16" t="str">
        <f>IFERROR(__xludf.DUMMYFUNCTION("""COMPUTED_VALUE"""),"Growth")</f>
        <v>Growth</v>
      </c>
      <c r="C19" s="26" t="str">
        <f>IFERROR(__xludf.DUMMYFUNCTION("""COMPUTED_VALUE"""),"APAC")</f>
        <v>APAC</v>
      </c>
      <c r="D19" s="16" t="str">
        <f>IFERROR(__xludf.DUMMYFUNCTION("""COMPUTED_VALUE"""),"Ketaki Padhye")</f>
        <v>Ketaki Padhye</v>
      </c>
      <c r="E19" s="26" t="str">
        <f>IFERROR(__xludf.DUMMYFUNCTION("""COMPUTED_VALUE"""),"Australia New Zealand")</f>
        <v>Australia New Zealand</v>
      </c>
      <c r="F19" s="26" t="str">
        <f>IFERROR(__xludf.DUMMYFUNCTION("""COMPUTED_VALUE"""),"ClaimCenter")</f>
        <v>ClaimCenter</v>
      </c>
      <c r="G19" s="20">
        <f>IFERROR(__xludf.DUMMYFUNCTION("""COMPUTED_VALUE"""),45279.0)</f>
        <v>45279</v>
      </c>
      <c r="H19" s="20"/>
      <c r="I19" s="20">
        <f>IFERROR(__xludf.DUMMYFUNCTION("""COMPUTED_VALUE"""),45444.0)</f>
        <v>45444</v>
      </c>
      <c r="J19" s="16"/>
      <c r="K19" s="20"/>
      <c r="L19" s="16" t="str">
        <f>IFERROR(__xludf.DUMMYFUNCTION("""COMPUTED_VALUE"""),"Medium")</f>
        <v>Medium</v>
      </c>
      <c r="M19" s="26" t="str">
        <f>IFERROR(__xludf.DUMMYFUNCTION("""COMPUTED_VALUE"""),"PartnerConnect  Technology")</f>
        <v>PartnerConnect  Technology</v>
      </c>
      <c r="N19" s="16" t="str">
        <f>IFERROR(__xludf.DUMMYFUNCTION("""COMPUTED_VALUE"""),"FY23 - Q2")</f>
        <v>FY23 - Q2</v>
      </c>
      <c r="O19" s="16">
        <f>IFERROR(__xludf.DUMMYFUNCTION("""COMPUTED_VALUE"""),1.0)</f>
        <v>1</v>
      </c>
      <c r="P19" s="16">
        <f>IFERROR(__xludf.DUMMYFUNCTION("""COMPUTED_VALUE"""),1.0)</f>
        <v>1</v>
      </c>
      <c r="Q19" s="16">
        <f>IFERROR(__xludf.DUMMYFUNCTION("""COMPUTED_VALUE"""),0.0)</f>
        <v>0</v>
      </c>
      <c r="R19" s="16">
        <f>IFERROR(__xludf.DUMMYFUNCTION("""COMPUTED_VALUE"""),0.0)</f>
        <v>0</v>
      </c>
      <c r="S19" s="16">
        <f>IFERROR(__xludf.DUMMYFUNCTION("""COMPUTED_VALUE"""),0.0)</f>
        <v>0</v>
      </c>
      <c r="T19" s="16">
        <f>IFERROR(__xludf.DUMMYFUNCTION("""COMPUTED_VALUE"""),0.0)</f>
        <v>0</v>
      </c>
      <c r="U19" s="16">
        <f>IFERROR(__xludf.DUMMYFUNCTION("""COMPUTED_VALUE"""),0.0)</f>
        <v>0</v>
      </c>
      <c r="V19" s="16">
        <f>IFERROR(__xludf.DUMMYFUNCTION("""COMPUTED_VALUE"""),0.0)</f>
        <v>0</v>
      </c>
      <c r="W19" s="16">
        <f>IFERROR(__xludf.DUMMYFUNCTION("""COMPUTED_VALUE"""),16.0)</f>
        <v>16</v>
      </c>
      <c r="X19" s="16" t="b">
        <f>IFERROR(__xludf.DUMMYFUNCTION("""COMPUTED_VALUE"""),FALSE)</f>
        <v>0</v>
      </c>
      <c r="Y19" s="16"/>
      <c r="Z19" s="16"/>
    </row>
    <row r="20">
      <c r="A20" s="16" t="str">
        <f>IFERROR(__xludf.DUMMYFUNCTION("""COMPUTED_VALUE"""),"Assurant")</f>
        <v>Assurant</v>
      </c>
      <c r="B20" s="16" t="str">
        <f>IFERROR(__xludf.DUMMYFUNCTION("""COMPUTED_VALUE"""),"Growth")</f>
        <v>Growth</v>
      </c>
      <c r="C20" s="26" t="str">
        <f>IFERROR(__xludf.DUMMYFUNCTION("""COMPUTED_VALUE"""),"NAM")</f>
        <v>NAM</v>
      </c>
      <c r="D20" s="16" t="str">
        <f>IFERROR(__xludf.DUMMYFUNCTION("""COMPUTED_VALUE"""),"Aaron Shaw")</f>
        <v>Aaron Shaw</v>
      </c>
      <c r="E20" s="26" t="str">
        <f>IFERROR(__xludf.DUMMYFUNCTION("""COMPUTED_VALUE"""),"United States")</f>
        <v>United States</v>
      </c>
      <c r="F20" s="26" t="str">
        <f>IFERROR(__xludf.DUMMYFUNCTION("""COMPUTED_VALUE"""),"ClaimCenter, PolicyCenter")</f>
        <v>ClaimCenter, PolicyCenter</v>
      </c>
      <c r="G20" s="20">
        <f>IFERROR(__xludf.DUMMYFUNCTION("""COMPUTED_VALUE"""),44755.0)</f>
        <v>44755</v>
      </c>
      <c r="H20" s="13">
        <f>IFERROR(__xludf.DUMMYFUNCTION("""COMPUTED_VALUE"""),45485.0)</f>
        <v>45485</v>
      </c>
      <c r="I20" s="20">
        <f>IFERROR(__xludf.DUMMYFUNCTION("""COMPUTED_VALUE"""),44755.0)</f>
        <v>44755</v>
      </c>
      <c r="J20" s="16"/>
      <c r="K20" s="20">
        <f>IFERROR(__xludf.DUMMYFUNCTION("""COMPUTED_VALUE"""),45142.0)</f>
        <v>45142</v>
      </c>
      <c r="L20" s="16" t="str">
        <f>IFERROR(__xludf.DUMMYFUNCTION("""COMPUTED_VALUE"""),"Medium")</f>
        <v>Medium</v>
      </c>
      <c r="M20" s="26" t="str">
        <f>IFERROR(__xludf.DUMMYFUNCTION("""COMPUTED_VALUE"""),"PartnerConnect  Technology")</f>
        <v>PartnerConnect  Technology</v>
      </c>
      <c r="N20" s="16" t="str">
        <f>IFERROR(__xludf.DUMMYFUNCTION("""COMPUTED_VALUE"""),"FY22 - Q4")</f>
        <v>FY22 - Q4</v>
      </c>
      <c r="O20" s="16">
        <f>IFERROR(__xludf.DUMMYFUNCTION("""COMPUTED_VALUE"""),4.0)</f>
        <v>4</v>
      </c>
      <c r="P20" s="16">
        <f>IFERROR(__xludf.DUMMYFUNCTION("""COMPUTED_VALUE"""),4.0)</f>
        <v>4</v>
      </c>
      <c r="Q20" s="16">
        <f>IFERROR(__xludf.DUMMYFUNCTION("""COMPUTED_VALUE"""),25.0)</f>
        <v>25</v>
      </c>
      <c r="R20" s="16">
        <f>IFERROR(__xludf.DUMMYFUNCTION("""COMPUTED_VALUE"""),20.0)</f>
        <v>20</v>
      </c>
      <c r="S20" s="16">
        <f>IFERROR(__xludf.DUMMYFUNCTION("""COMPUTED_VALUE"""),84599.0)</f>
        <v>84599</v>
      </c>
      <c r="T20" s="16">
        <f>IFERROR(__xludf.DUMMYFUNCTION("""COMPUTED_VALUE"""),16.0)</f>
        <v>16</v>
      </c>
      <c r="U20" s="16">
        <f>IFERROR(__xludf.DUMMYFUNCTION("""COMPUTED_VALUE"""),17.0)</f>
        <v>17</v>
      </c>
      <c r="V20" s="16">
        <f>IFERROR(__xludf.DUMMYFUNCTION("""COMPUTED_VALUE"""),17.0)</f>
        <v>17</v>
      </c>
      <c r="W20" s="16">
        <f>IFERROR(__xludf.DUMMYFUNCTION("""COMPUTED_VALUE"""),0.0)</f>
        <v>0</v>
      </c>
      <c r="X20" s="16" t="b">
        <f>IFERROR(__xludf.DUMMYFUNCTION("""COMPUTED_VALUE"""),TRUE)</f>
        <v>1</v>
      </c>
      <c r="Y20" s="16"/>
      <c r="Z20" s="16"/>
    </row>
    <row r="21">
      <c r="A21" s="16" t="str">
        <f>IFERROR(__xludf.DUMMYFUNCTION("""COMPUTED_VALUE"""),"Athenium Analytics")</f>
        <v>Athenium Analytics</v>
      </c>
      <c r="B21" s="16" t="str">
        <f>IFERROR(__xludf.DUMMYFUNCTION("""COMPUTED_VALUE"""),"Select")</f>
        <v>Select</v>
      </c>
      <c r="C21" s="26" t="str">
        <f>IFERROR(__xludf.DUMMYFUNCTION("""COMPUTED_VALUE"""),"APAC, EMEA, NAM")</f>
        <v>APAC, EMEA, NAM</v>
      </c>
      <c r="D21" s="16" t="str">
        <f>IFERROR(__xludf.DUMMYFUNCTION("""COMPUTED_VALUE"""),"Aaron Shaw")</f>
        <v>Aaron Shaw</v>
      </c>
      <c r="E21" s="26" t="str">
        <f>IFERROR(__xludf.DUMMYFUNCTION("""COMPUTED_VALUE"""),"Canada, UK, United States")</f>
        <v>Canada, UK, United States</v>
      </c>
      <c r="F21" s="26" t="str">
        <f>IFERROR(__xludf.DUMMYFUNCTION("""COMPUTED_VALUE"""),"ClaimCenter")</f>
        <v>ClaimCenter</v>
      </c>
      <c r="G21" s="20">
        <f>IFERROR(__xludf.DUMMYFUNCTION("""COMPUTED_VALUE"""),42506.0)</f>
        <v>42506</v>
      </c>
      <c r="H21" s="16"/>
      <c r="I21" s="20">
        <f>IFERROR(__xludf.DUMMYFUNCTION("""COMPUTED_VALUE"""),42506.0)</f>
        <v>42506</v>
      </c>
      <c r="J21" s="16"/>
      <c r="K21" s="13">
        <f>IFERROR(__xludf.DUMMYFUNCTION("""COMPUTED_VALUE"""),42902.0)</f>
        <v>42902</v>
      </c>
      <c r="L21" s="16" t="str">
        <f>IFERROR(__xludf.DUMMYFUNCTION("""COMPUTED_VALUE"""),"Low")</f>
        <v>Low</v>
      </c>
      <c r="M21" s="26" t="str">
        <f>IFERROR(__xludf.DUMMYFUNCTION("""COMPUTED_VALUE"""),"PartnerConnect  Technology")</f>
        <v>PartnerConnect  Technology</v>
      </c>
      <c r="N21" s="16" t="str">
        <f>IFERROR(__xludf.DUMMYFUNCTION("""COMPUTED_VALUE"""),"FY16 - Q3")</f>
        <v>FY16 - Q3</v>
      </c>
      <c r="O21" s="16">
        <f>IFERROR(__xludf.DUMMYFUNCTION("""COMPUTED_VALUE"""),0.0)</f>
        <v>0</v>
      </c>
      <c r="P21" s="16">
        <f>IFERROR(__xludf.DUMMYFUNCTION("""COMPUTED_VALUE"""),0.0)</f>
        <v>0</v>
      </c>
      <c r="Q21" s="16">
        <f>IFERROR(__xludf.DUMMYFUNCTION("""COMPUTED_VALUE"""),0.0)</f>
        <v>0</v>
      </c>
      <c r="R21" s="16">
        <f>IFERROR(__xludf.DUMMYFUNCTION("""COMPUTED_VALUE"""),0.0)</f>
        <v>0</v>
      </c>
      <c r="S21" s="16">
        <f>IFERROR(__xludf.DUMMYFUNCTION("""COMPUTED_VALUE"""),0.0)</f>
        <v>0</v>
      </c>
      <c r="T21" s="16">
        <f>IFERROR(__xludf.DUMMYFUNCTION("""COMPUTED_VALUE"""),0.0)</f>
        <v>0</v>
      </c>
      <c r="U21" s="16">
        <f>IFERROR(__xludf.DUMMYFUNCTION("""COMPUTED_VALUE"""),0.0)</f>
        <v>0</v>
      </c>
      <c r="V21" s="16">
        <f>IFERROR(__xludf.DUMMYFUNCTION("""COMPUTED_VALUE"""),0.0)</f>
        <v>0</v>
      </c>
      <c r="W21" s="16">
        <f>IFERROR(__xludf.DUMMYFUNCTION("""COMPUTED_VALUE"""),0.0)</f>
        <v>0</v>
      </c>
      <c r="X21" s="16" t="b">
        <f>IFERROR(__xludf.DUMMYFUNCTION("""COMPUTED_VALUE"""),FALSE)</f>
        <v>0</v>
      </c>
      <c r="Y21" s="16"/>
      <c r="Z21" s="16"/>
    </row>
    <row r="22">
      <c r="A22" s="16" t="str">
        <f>IFERROR(__xludf.DUMMYFUNCTION("""COMPUTED_VALUE"""),"Audatex UK Limited")</f>
        <v>Audatex UK Limited</v>
      </c>
      <c r="B22" s="16" t="str">
        <f>IFERROR(__xludf.DUMMYFUNCTION("""COMPUTED_VALUE"""),"Growth")</f>
        <v>Growth</v>
      </c>
      <c r="C22" s="26" t="str">
        <f>IFERROR(__xludf.DUMMYFUNCTION("""COMPUTED_VALUE"""),"EMEA")</f>
        <v>EMEA</v>
      </c>
      <c r="D22" s="16" t="str">
        <f>IFERROR(__xludf.DUMMYFUNCTION("""COMPUTED_VALUE"""),"Eric Apse")</f>
        <v>Eric Apse</v>
      </c>
      <c r="E22" s="26" t="str">
        <f>IFERROR(__xludf.DUMMYFUNCTION("""COMPUTED_VALUE"""),"UK")</f>
        <v>UK</v>
      </c>
      <c r="F22" s="26" t="str">
        <f>IFERROR(__xludf.DUMMYFUNCTION("""COMPUTED_VALUE"""),"ClaimCenter")</f>
        <v>ClaimCenter</v>
      </c>
      <c r="G22" s="20">
        <f>IFERROR(__xludf.DUMMYFUNCTION("""COMPUTED_VALUE"""),44596.0)</f>
        <v>44596</v>
      </c>
      <c r="H22" s="20"/>
      <c r="I22" s="20">
        <f>IFERROR(__xludf.DUMMYFUNCTION("""COMPUTED_VALUE"""),44426.0)</f>
        <v>44426</v>
      </c>
      <c r="J22" s="16"/>
      <c r="K22" s="16"/>
      <c r="L22" s="16" t="str">
        <f>IFERROR(__xludf.DUMMYFUNCTION("""COMPUTED_VALUE"""),"High")</f>
        <v>High</v>
      </c>
      <c r="M22" s="26" t="str">
        <f>IFERROR(__xludf.DUMMYFUNCTION("""COMPUTED_VALUE"""),"PartnerConnect  Technology")</f>
        <v>PartnerConnect  Technology</v>
      </c>
      <c r="N22" s="16" t="str">
        <f>IFERROR(__xludf.DUMMYFUNCTION("""COMPUTED_VALUE"""),"FY22 - Q2")</f>
        <v>FY22 - Q2</v>
      </c>
      <c r="O22" s="16">
        <f>IFERROR(__xludf.DUMMYFUNCTION("""COMPUTED_VALUE"""),0.0)</f>
        <v>0</v>
      </c>
      <c r="P22" s="16">
        <f>IFERROR(__xludf.DUMMYFUNCTION("""COMPUTED_VALUE"""),0.0)</f>
        <v>0</v>
      </c>
      <c r="Q22" s="16">
        <f>IFERROR(__xludf.DUMMYFUNCTION("""COMPUTED_VALUE"""),0.0)</f>
        <v>0</v>
      </c>
      <c r="R22" s="16">
        <f>IFERROR(__xludf.DUMMYFUNCTION("""COMPUTED_VALUE"""),0.0)</f>
        <v>0</v>
      </c>
      <c r="S22" s="16">
        <f>IFERROR(__xludf.DUMMYFUNCTION("""COMPUTED_VALUE"""),0.0)</f>
        <v>0</v>
      </c>
      <c r="T22" s="16">
        <f>IFERROR(__xludf.DUMMYFUNCTION("""COMPUTED_VALUE"""),0.0)</f>
        <v>0</v>
      </c>
      <c r="U22" s="16">
        <f>IFERROR(__xludf.DUMMYFUNCTION("""COMPUTED_VALUE"""),0.0)</f>
        <v>0</v>
      </c>
      <c r="V22" s="16">
        <f>IFERROR(__xludf.DUMMYFUNCTION("""COMPUTED_VALUE"""),0.0)</f>
        <v>0</v>
      </c>
      <c r="W22" s="16">
        <f>IFERROR(__xludf.DUMMYFUNCTION("""COMPUTED_VALUE"""),0.0)</f>
        <v>0</v>
      </c>
      <c r="X22" s="16" t="b">
        <f>IFERROR(__xludf.DUMMYFUNCTION("""COMPUTED_VALUE"""),FALSE)</f>
        <v>0</v>
      </c>
      <c r="Y22" s="16"/>
      <c r="Z22" s="16"/>
    </row>
    <row r="23">
      <c r="A23" s="16" t="str">
        <f>IFERROR(__xludf.DUMMYFUNCTION("""COMPUTED_VALUE"""),"AutoClaims Direct")</f>
        <v>AutoClaims Direct</v>
      </c>
      <c r="B23" s="16" t="str">
        <f>IFERROR(__xludf.DUMMYFUNCTION("""COMPUTED_VALUE"""),"Growth")</f>
        <v>Growth</v>
      </c>
      <c r="C23" s="26" t="str">
        <f>IFERROR(__xludf.DUMMYFUNCTION("""COMPUTED_VALUE"""),"NAM")</f>
        <v>NAM</v>
      </c>
      <c r="D23" s="16" t="str">
        <f>IFERROR(__xludf.DUMMYFUNCTION("""COMPUTED_VALUE"""),"Rod Gowin")</f>
        <v>Rod Gowin</v>
      </c>
      <c r="E23" s="26" t="str">
        <f>IFERROR(__xludf.DUMMYFUNCTION("""COMPUTED_VALUE"""),"United States")</f>
        <v>United States</v>
      </c>
      <c r="F23" s="26" t="str">
        <f>IFERROR(__xludf.DUMMYFUNCTION("""COMPUTED_VALUE"""),"ClaimCenter")</f>
        <v>ClaimCenter</v>
      </c>
      <c r="G23" s="20">
        <f>IFERROR(__xludf.DUMMYFUNCTION("""COMPUTED_VALUE"""),44044.0)</f>
        <v>44044</v>
      </c>
      <c r="H23" s="20">
        <f>IFERROR(__xludf.DUMMYFUNCTION("""COMPUTED_VALUE"""),44774.0)</f>
        <v>44774</v>
      </c>
      <c r="I23" s="20">
        <f>IFERROR(__xludf.DUMMYFUNCTION("""COMPUTED_VALUE"""),44044.0)</f>
        <v>44044</v>
      </c>
      <c r="J23" s="16"/>
      <c r="K23" s="20"/>
      <c r="L23" s="16" t="str">
        <f>IFERROR(__xludf.DUMMYFUNCTION("""COMPUTED_VALUE"""),"Low")</f>
        <v>Low</v>
      </c>
      <c r="M23" s="26" t="str">
        <f>IFERROR(__xludf.DUMMYFUNCTION("""COMPUTED_VALUE"""),"PartnerConnect  Technology")</f>
        <v>PartnerConnect  Technology</v>
      </c>
      <c r="N23" s="16" t="str">
        <f>IFERROR(__xludf.DUMMYFUNCTION("""COMPUTED_VALUE"""),"FY20 - Q1")</f>
        <v>FY20 - Q1</v>
      </c>
      <c r="O23" s="16">
        <f>IFERROR(__xludf.DUMMYFUNCTION("""COMPUTED_VALUE"""),0.0)</f>
        <v>0</v>
      </c>
      <c r="P23" s="16">
        <f>IFERROR(__xludf.DUMMYFUNCTION("""COMPUTED_VALUE"""),0.0)</f>
        <v>0</v>
      </c>
      <c r="Q23" s="16">
        <f>IFERROR(__xludf.DUMMYFUNCTION("""COMPUTED_VALUE"""),0.0)</f>
        <v>0</v>
      </c>
      <c r="R23" s="16">
        <f>IFERROR(__xludf.DUMMYFUNCTION("""COMPUTED_VALUE"""),0.0)</f>
        <v>0</v>
      </c>
      <c r="S23" s="16">
        <f>IFERROR(__xludf.DUMMYFUNCTION("""COMPUTED_VALUE"""),0.0)</f>
        <v>0</v>
      </c>
      <c r="T23" s="16">
        <f>IFERROR(__xludf.DUMMYFUNCTION("""COMPUTED_VALUE"""),0.0)</f>
        <v>0</v>
      </c>
      <c r="U23" s="16">
        <f>IFERROR(__xludf.DUMMYFUNCTION("""COMPUTED_VALUE"""),0.0)</f>
        <v>0</v>
      </c>
      <c r="V23" s="16">
        <f>IFERROR(__xludf.DUMMYFUNCTION("""COMPUTED_VALUE"""),0.0)</f>
        <v>0</v>
      </c>
      <c r="W23" s="16">
        <f>IFERROR(__xludf.DUMMYFUNCTION("""COMPUTED_VALUE"""),0.0)</f>
        <v>0</v>
      </c>
      <c r="X23" s="16" t="b">
        <f>IFERROR(__xludf.DUMMYFUNCTION("""COMPUTED_VALUE"""),FALSE)</f>
        <v>0</v>
      </c>
      <c r="Y23" s="16"/>
      <c r="Z23" s="16"/>
    </row>
    <row r="24">
      <c r="A24" s="16" t="str">
        <f>IFERROR(__xludf.DUMMYFUNCTION("""COMPUTED_VALUE"""),"Bdeo Technologies")</f>
        <v>Bdeo Technologies</v>
      </c>
      <c r="B24" s="16" t="str">
        <f>IFERROR(__xludf.DUMMYFUNCTION("""COMPUTED_VALUE"""),"Growth")</f>
        <v>Growth</v>
      </c>
      <c r="C24" s="26" t="str">
        <f>IFERROR(__xludf.DUMMYFUNCTION("""COMPUTED_VALUE"""),"APAC, EMEA, NAM, LatAm")</f>
        <v>APAC, EMEA, NAM, LatAm</v>
      </c>
      <c r="D24" s="16" t="str">
        <f>IFERROR(__xludf.DUMMYFUNCTION("""COMPUTED_VALUE"""),"Fatima Aoulagha-Bannou")</f>
        <v>Fatima Aoulagha-Bannou</v>
      </c>
      <c r="E24" s="26" t="str">
        <f>IFERROR(__xludf.DUMMYFUNCTION("""COMPUTED_VALUE"""),"Finland, Italy, South America, Spain, Sweden, Turkey, South Africa")</f>
        <v>Finland, Italy, South America, Spain, Sweden, Turkey, South Africa</v>
      </c>
      <c r="F24" s="26" t="str">
        <f>IFERROR(__xludf.DUMMYFUNCTION("""COMPUTED_VALUE"""),"ClaimCenter")</f>
        <v>ClaimCenter</v>
      </c>
      <c r="G24" s="20">
        <f>IFERROR(__xludf.DUMMYFUNCTION("""COMPUTED_VALUE"""),44354.0)</f>
        <v>44354</v>
      </c>
      <c r="H24" s="20">
        <f>IFERROR(__xludf.DUMMYFUNCTION("""COMPUTED_VALUE"""),45084.0)</f>
        <v>45084</v>
      </c>
      <c r="I24" s="20">
        <f>IFERROR(__xludf.DUMMYFUNCTION("""COMPUTED_VALUE"""),44354.0)</f>
        <v>44354</v>
      </c>
      <c r="J24" s="16"/>
      <c r="K24" s="13">
        <f>IFERROR(__xludf.DUMMYFUNCTION("""COMPUTED_VALUE"""),44665.0)</f>
        <v>44665</v>
      </c>
      <c r="L24" s="16" t="str">
        <f>IFERROR(__xludf.DUMMYFUNCTION("""COMPUTED_VALUE"""),"Low")</f>
        <v>Low</v>
      </c>
      <c r="M24" s="26" t="str">
        <f>IFERROR(__xludf.DUMMYFUNCTION("""COMPUTED_VALUE"""),"PartnerConnect  Technology")</f>
        <v>PartnerConnect  Technology</v>
      </c>
      <c r="N24" s="16" t="str">
        <f>IFERROR(__xludf.DUMMYFUNCTION("""COMPUTED_VALUE"""),"FY21 - Q3")</f>
        <v>FY21 - Q3</v>
      </c>
      <c r="O24" s="16">
        <f>IFERROR(__xludf.DUMMYFUNCTION("""COMPUTED_VALUE"""),1.0)</f>
        <v>1</v>
      </c>
      <c r="P24" s="16">
        <f>IFERROR(__xludf.DUMMYFUNCTION("""COMPUTED_VALUE"""),1.0)</f>
        <v>1</v>
      </c>
      <c r="Q24" s="16">
        <f>IFERROR(__xludf.DUMMYFUNCTION("""COMPUTED_VALUE"""),9.0)</f>
        <v>9</v>
      </c>
      <c r="R24" s="16">
        <f>IFERROR(__xludf.DUMMYFUNCTION("""COMPUTED_VALUE"""),5.0)</f>
        <v>5</v>
      </c>
      <c r="S24" s="16">
        <f>IFERROR(__xludf.DUMMYFUNCTION("""COMPUTED_VALUE"""),179.0)</f>
        <v>179</v>
      </c>
      <c r="T24" s="16">
        <f>IFERROR(__xludf.DUMMYFUNCTION("""COMPUTED_VALUE"""),9.0)</f>
        <v>9</v>
      </c>
      <c r="U24" s="16">
        <f>IFERROR(__xludf.DUMMYFUNCTION("""COMPUTED_VALUE"""),0.0)</f>
        <v>0</v>
      </c>
      <c r="V24" s="16">
        <f>IFERROR(__xludf.DUMMYFUNCTION("""COMPUTED_VALUE"""),0.0)</f>
        <v>0</v>
      </c>
      <c r="W24" s="16">
        <f>IFERROR(__xludf.DUMMYFUNCTION("""COMPUTED_VALUE"""),15.0)</f>
        <v>15</v>
      </c>
      <c r="X24" s="16" t="b">
        <f>IFERROR(__xludf.DUMMYFUNCTION("""COMPUTED_VALUE"""),FALSE)</f>
        <v>0</v>
      </c>
      <c r="Y24" s="16"/>
      <c r="Z24" s="16"/>
    </row>
    <row r="25">
      <c r="A25" s="16" t="str">
        <f>IFERROR(__xludf.DUMMYFUNCTION("""COMPUTED_VALUE"""),"Belron Canada")</f>
        <v>Belron Canada</v>
      </c>
      <c r="B25" s="16" t="str">
        <f>IFERROR(__xludf.DUMMYFUNCTION("""COMPUTED_VALUE"""),"Growth")</f>
        <v>Growth</v>
      </c>
      <c r="C25" s="26" t="str">
        <f>IFERROR(__xludf.DUMMYFUNCTION("""COMPUTED_VALUE"""),"NAM")</f>
        <v>NAM</v>
      </c>
      <c r="D25" s="16" t="str">
        <f>IFERROR(__xludf.DUMMYFUNCTION("""COMPUTED_VALUE"""),"Rod Gowin")</f>
        <v>Rod Gowin</v>
      </c>
      <c r="E25" s="26" t="str">
        <f>IFERROR(__xludf.DUMMYFUNCTION("""COMPUTED_VALUE"""),"Canada")</f>
        <v>Canada</v>
      </c>
      <c r="F25" s="26" t="str">
        <f>IFERROR(__xludf.DUMMYFUNCTION("""COMPUTED_VALUE"""),"ClaimCenter")</f>
        <v>ClaimCenter</v>
      </c>
      <c r="G25" s="20">
        <f>IFERROR(__xludf.DUMMYFUNCTION("""COMPUTED_VALUE"""),44774.0)</f>
        <v>44774</v>
      </c>
      <c r="H25" s="20">
        <f>IFERROR(__xludf.DUMMYFUNCTION("""COMPUTED_VALUE"""),45505.0)</f>
        <v>45505</v>
      </c>
      <c r="I25" s="13">
        <f>IFERROR(__xludf.DUMMYFUNCTION("""COMPUTED_VALUE"""),44774.0)</f>
        <v>44774</v>
      </c>
      <c r="J25" s="16"/>
      <c r="K25" s="13">
        <f>IFERROR(__xludf.DUMMYFUNCTION("""COMPUTED_VALUE"""),45044.0)</f>
        <v>45044</v>
      </c>
      <c r="L25" s="16" t="str">
        <f>IFERROR(__xludf.DUMMYFUNCTION("""COMPUTED_VALUE"""),"Medium")</f>
        <v>Medium</v>
      </c>
      <c r="M25" s="26" t="str">
        <f>IFERROR(__xludf.DUMMYFUNCTION("""COMPUTED_VALUE"""),"PartnerConnect  Technology")</f>
        <v>PartnerConnect  Technology</v>
      </c>
      <c r="N25" s="16" t="str">
        <f>IFERROR(__xludf.DUMMYFUNCTION("""COMPUTED_VALUE"""),"FY22 - Q1")</f>
        <v>FY22 - Q1</v>
      </c>
      <c r="O25" s="16">
        <f>IFERROR(__xludf.DUMMYFUNCTION("""COMPUTED_VALUE"""),2.0)</f>
        <v>2</v>
      </c>
      <c r="P25" s="16">
        <f>IFERROR(__xludf.DUMMYFUNCTION("""COMPUTED_VALUE"""),2.0)</f>
        <v>2</v>
      </c>
      <c r="Q25" s="16">
        <f>IFERROR(__xludf.DUMMYFUNCTION("""COMPUTED_VALUE"""),41.0)</f>
        <v>41</v>
      </c>
      <c r="R25" s="16">
        <f>IFERROR(__xludf.DUMMYFUNCTION("""COMPUTED_VALUE"""),22.0)</f>
        <v>22</v>
      </c>
      <c r="S25" s="16">
        <f>IFERROR(__xludf.DUMMYFUNCTION("""COMPUTED_VALUE"""),56745.0)</f>
        <v>56745</v>
      </c>
      <c r="T25" s="16">
        <f>IFERROR(__xludf.DUMMYFUNCTION("""COMPUTED_VALUE"""),18.0)</f>
        <v>18</v>
      </c>
      <c r="U25" s="16">
        <f>IFERROR(__xludf.DUMMYFUNCTION("""COMPUTED_VALUE"""),17.0)</f>
        <v>17</v>
      </c>
      <c r="V25" s="16">
        <f>IFERROR(__xludf.DUMMYFUNCTION("""COMPUTED_VALUE"""),17.0)</f>
        <v>17</v>
      </c>
      <c r="W25" s="16">
        <f>IFERROR(__xludf.DUMMYFUNCTION("""COMPUTED_VALUE"""),0.0)</f>
        <v>0</v>
      </c>
      <c r="X25" s="16" t="b">
        <f>IFERROR(__xludf.DUMMYFUNCTION("""COMPUTED_VALUE"""),TRUE)</f>
        <v>1</v>
      </c>
      <c r="Y25" s="16"/>
      <c r="Z25" s="16"/>
    </row>
    <row r="26">
      <c r="A26" s="16" t="str">
        <f>IFERROR(__xludf.DUMMYFUNCTION("""COMPUTED_VALUE"""),"Bindable")</f>
        <v>Bindable</v>
      </c>
      <c r="B26" s="16" t="str">
        <f>IFERROR(__xludf.DUMMYFUNCTION("""COMPUTED_VALUE"""),"Growth")</f>
        <v>Growth</v>
      </c>
      <c r="C26" s="26" t="str">
        <f>IFERROR(__xludf.DUMMYFUNCTION("""COMPUTED_VALUE"""),"NAM")</f>
        <v>NAM</v>
      </c>
      <c r="D26" s="16" t="str">
        <f>IFERROR(__xludf.DUMMYFUNCTION("""COMPUTED_VALUE"""),"Eric Apse")</f>
        <v>Eric Apse</v>
      </c>
      <c r="E26" s="26" t="str">
        <f>IFERROR(__xludf.DUMMYFUNCTION("""COMPUTED_VALUE"""),"United States")</f>
        <v>United States</v>
      </c>
      <c r="F26" s="26" t="str">
        <f>IFERROR(__xludf.DUMMYFUNCTION("""COMPUTED_VALUE"""),"PolicyCenter")</f>
        <v>PolicyCenter</v>
      </c>
      <c r="G26" s="20">
        <f>IFERROR(__xludf.DUMMYFUNCTION("""COMPUTED_VALUE"""),44847.0)</f>
        <v>44847</v>
      </c>
      <c r="H26" s="13">
        <f>IFERROR(__xludf.DUMMYFUNCTION("""COMPUTED_VALUE"""),45577.0)</f>
        <v>45577</v>
      </c>
      <c r="I26" s="16"/>
      <c r="J26" s="16"/>
      <c r="K26" s="13">
        <f>IFERROR(__xludf.DUMMYFUNCTION("""COMPUTED_VALUE"""),45139.0)</f>
        <v>45139</v>
      </c>
      <c r="L26" s="16" t="str">
        <f>IFERROR(__xludf.DUMMYFUNCTION("""COMPUTED_VALUE"""),"Medium")</f>
        <v>Medium</v>
      </c>
      <c r="M26" s="26" t="str">
        <f>IFERROR(__xludf.DUMMYFUNCTION("""COMPUTED_VALUE"""),"PartnerConnect  Technology")</f>
        <v>PartnerConnect  Technology</v>
      </c>
      <c r="N26" s="16" t="str">
        <f>IFERROR(__xludf.DUMMYFUNCTION("""COMPUTED_VALUE"""),"FY22 - Q1")</f>
        <v>FY22 - Q1</v>
      </c>
      <c r="O26" s="16">
        <f>IFERROR(__xludf.DUMMYFUNCTION("""COMPUTED_VALUE"""),1.0)</f>
        <v>1</v>
      </c>
      <c r="P26" s="16">
        <f>IFERROR(__xludf.DUMMYFUNCTION("""COMPUTED_VALUE"""),1.0)</f>
        <v>1</v>
      </c>
      <c r="Q26" s="16">
        <f>IFERROR(__xludf.DUMMYFUNCTION("""COMPUTED_VALUE"""),0.0)</f>
        <v>0</v>
      </c>
      <c r="R26" s="16">
        <f>IFERROR(__xludf.DUMMYFUNCTION("""COMPUTED_VALUE"""),0.0)</f>
        <v>0</v>
      </c>
      <c r="S26" s="16">
        <f>IFERROR(__xludf.DUMMYFUNCTION("""COMPUTED_VALUE"""),5024.0)</f>
        <v>5024</v>
      </c>
      <c r="T26" s="16">
        <f>IFERROR(__xludf.DUMMYFUNCTION("""COMPUTED_VALUE"""),0.0)</f>
        <v>0</v>
      </c>
      <c r="U26" s="16">
        <f>IFERROR(__xludf.DUMMYFUNCTION("""COMPUTED_VALUE"""),0.0)</f>
        <v>0</v>
      </c>
      <c r="V26" s="16">
        <f>IFERROR(__xludf.DUMMYFUNCTION("""COMPUTED_VALUE"""),0.0)</f>
        <v>0</v>
      </c>
      <c r="W26" s="16">
        <f>IFERROR(__xludf.DUMMYFUNCTION("""COMPUTED_VALUE"""),0.0)</f>
        <v>0</v>
      </c>
      <c r="X26" s="16" t="b">
        <f>IFERROR(__xludf.DUMMYFUNCTION("""COMPUTED_VALUE"""),FALSE)</f>
        <v>0</v>
      </c>
      <c r="Y26" s="16"/>
      <c r="Z26" s="16"/>
    </row>
    <row r="27">
      <c r="A27" s="16" t="str">
        <f>IFERROR(__xludf.DUMMYFUNCTION("""COMPUTED_VALUE"""),"Biprogy")</f>
        <v>Biprogy</v>
      </c>
      <c r="B27" s="16" t="str">
        <f>IFERROR(__xludf.DUMMYFUNCTION("""COMPUTED_VALUE"""),"Access")</f>
        <v>Access</v>
      </c>
      <c r="C27" s="26" t="str">
        <f>IFERROR(__xludf.DUMMYFUNCTION("""COMPUTED_VALUE"""),"APAC")</f>
        <v>APAC</v>
      </c>
      <c r="D27" s="16" t="str">
        <f>IFERROR(__xludf.DUMMYFUNCTION("""COMPUTED_VALUE"""),"Ketaki Padhye")</f>
        <v>Ketaki Padhye</v>
      </c>
      <c r="E27" s="26" t="str">
        <f>IFERROR(__xludf.DUMMYFUNCTION("""COMPUTED_VALUE"""),"Japan")</f>
        <v>Japan</v>
      </c>
      <c r="F27" s="26" t="str">
        <f>IFERROR(__xludf.DUMMYFUNCTION("""COMPUTED_VALUE"""),"ClaimCenter")</f>
        <v>ClaimCenter</v>
      </c>
      <c r="G27" s="20">
        <f>IFERROR(__xludf.DUMMYFUNCTION("""COMPUTED_VALUE"""),45295.0)</f>
        <v>45295</v>
      </c>
      <c r="H27" s="16"/>
      <c r="I27" s="20"/>
      <c r="J27" s="16"/>
      <c r="K27" s="16"/>
      <c r="L27" s="16" t="str">
        <f>IFERROR(__xludf.DUMMYFUNCTION("""COMPUTED_VALUE"""),"Medium")</f>
        <v>Medium</v>
      </c>
      <c r="M27" s="26" t="str">
        <f>IFERROR(__xludf.DUMMYFUNCTION("""COMPUTED_VALUE"""),"PartnerConnect  Technology")</f>
        <v>PartnerConnect  Technology</v>
      </c>
      <c r="N27" s="16" t="str">
        <f>IFERROR(__xludf.DUMMYFUNCTION("""COMPUTED_VALUE"""),"FY24 - Q2")</f>
        <v>FY24 - Q2</v>
      </c>
      <c r="O27" s="16">
        <f>IFERROR(__xludf.DUMMYFUNCTION("""COMPUTED_VALUE"""),0.0)</f>
        <v>0</v>
      </c>
      <c r="P27" s="16">
        <f>IFERROR(__xludf.DUMMYFUNCTION("""COMPUTED_VALUE"""),0.0)</f>
        <v>0</v>
      </c>
      <c r="Q27" s="16">
        <f>IFERROR(__xludf.DUMMYFUNCTION("""COMPUTED_VALUE"""),0.0)</f>
        <v>0</v>
      </c>
      <c r="R27" s="16">
        <f>IFERROR(__xludf.DUMMYFUNCTION("""COMPUTED_VALUE"""),0.0)</f>
        <v>0</v>
      </c>
      <c r="S27" s="16">
        <f>IFERROR(__xludf.DUMMYFUNCTION("""COMPUTED_VALUE"""),0.0)</f>
        <v>0</v>
      </c>
      <c r="T27" s="16">
        <f>IFERROR(__xludf.DUMMYFUNCTION("""COMPUTED_VALUE"""),0.0)</f>
        <v>0</v>
      </c>
      <c r="U27" s="16">
        <f>IFERROR(__xludf.DUMMYFUNCTION("""COMPUTED_VALUE"""),0.0)</f>
        <v>0</v>
      </c>
      <c r="V27" s="16">
        <f>IFERROR(__xludf.DUMMYFUNCTION("""COMPUTED_VALUE"""),0.0)</f>
        <v>0</v>
      </c>
      <c r="W27" s="16">
        <f>IFERROR(__xludf.DUMMYFUNCTION("""COMPUTED_VALUE"""),0.0)</f>
        <v>0</v>
      </c>
      <c r="X27" s="16" t="b">
        <f>IFERROR(__xludf.DUMMYFUNCTION("""COMPUTED_VALUE"""),FALSE)</f>
        <v>0</v>
      </c>
      <c r="Y27" s="16"/>
      <c r="Z27" s="16"/>
    </row>
    <row r="28">
      <c r="A28" s="16" t="str">
        <f>IFERROR(__xludf.DUMMYFUNCTION("""COMPUTED_VALUE"""),"Blue Flag Pty Ltd")</f>
        <v>Blue Flag Pty Ltd</v>
      </c>
      <c r="B28" s="16" t="str">
        <f>IFERROR(__xludf.DUMMYFUNCTION("""COMPUTED_VALUE"""),"Growth")</f>
        <v>Growth</v>
      </c>
      <c r="C28" s="26" t="str">
        <f>IFERROR(__xludf.DUMMYFUNCTION("""COMPUTED_VALUE"""),"APAC")</f>
        <v>APAC</v>
      </c>
      <c r="D28" s="16" t="str">
        <f>IFERROR(__xludf.DUMMYFUNCTION("""COMPUTED_VALUE"""),"Ketaki Padhye")</f>
        <v>Ketaki Padhye</v>
      </c>
      <c r="E28" s="26" t="str">
        <f>IFERROR(__xludf.DUMMYFUNCTION("""COMPUTED_VALUE"""),"Australia New Zealand")</f>
        <v>Australia New Zealand</v>
      </c>
      <c r="F28" s="26" t="str">
        <f>IFERROR(__xludf.DUMMYFUNCTION("""COMPUTED_VALUE"""),"PolicyCenter")</f>
        <v>PolicyCenter</v>
      </c>
      <c r="G28" s="20">
        <f>IFERROR(__xludf.DUMMYFUNCTION("""COMPUTED_VALUE"""),45897.0)</f>
        <v>45897</v>
      </c>
      <c r="H28" s="20"/>
      <c r="I28" s="20"/>
      <c r="J28" s="16"/>
      <c r="K28" s="16"/>
      <c r="L28" s="16" t="str">
        <f>IFERROR(__xludf.DUMMYFUNCTION("""COMPUTED_VALUE"""),"Medium")</f>
        <v>Medium</v>
      </c>
      <c r="M28" s="26" t="str">
        <f>IFERROR(__xludf.DUMMYFUNCTION("""COMPUTED_VALUE"""),"PartnerConnect  Technology")</f>
        <v>PartnerConnect  Technology</v>
      </c>
      <c r="N28" s="16" t="str">
        <f>IFERROR(__xludf.DUMMYFUNCTION("""COMPUTED_VALUE"""),"FY25 - Q1")</f>
        <v>FY25 - Q1</v>
      </c>
      <c r="O28" s="16">
        <f>IFERROR(__xludf.DUMMYFUNCTION("""COMPUTED_VALUE"""),0.0)</f>
        <v>0</v>
      </c>
      <c r="P28" s="16">
        <f>IFERROR(__xludf.DUMMYFUNCTION("""COMPUTED_VALUE"""),0.0)</f>
        <v>0</v>
      </c>
      <c r="Q28" s="16">
        <f>IFERROR(__xludf.DUMMYFUNCTION("""COMPUTED_VALUE"""),0.0)</f>
        <v>0</v>
      </c>
      <c r="R28" s="16">
        <f>IFERROR(__xludf.DUMMYFUNCTION("""COMPUTED_VALUE"""),0.0)</f>
        <v>0</v>
      </c>
      <c r="S28" s="16">
        <f>IFERROR(__xludf.DUMMYFUNCTION("""COMPUTED_VALUE"""),0.0)</f>
        <v>0</v>
      </c>
      <c r="T28" s="16">
        <f>IFERROR(__xludf.DUMMYFUNCTION("""COMPUTED_VALUE"""),0.0)</f>
        <v>0</v>
      </c>
      <c r="U28" s="16">
        <f>IFERROR(__xludf.DUMMYFUNCTION("""COMPUTED_VALUE"""),0.0)</f>
        <v>0</v>
      </c>
      <c r="V28" s="16">
        <f>IFERROR(__xludf.DUMMYFUNCTION("""COMPUTED_VALUE"""),0.0)</f>
        <v>0</v>
      </c>
      <c r="W28" s="16">
        <f>IFERROR(__xludf.DUMMYFUNCTION("""COMPUTED_VALUE"""),79.0)</f>
        <v>79</v>
      </c>
      <c r="X28" s="16" t="b">
        <f>IFERROR(__xludf.DUMMYFUNCTION("""COMPUTED_VALUE"""),FALSE)</f>
        <v>0</v>
      </c>
      <c r="Y28" s="16"/>
      <c r="Z28" s="16"/>
    </row>
    <row r="29">
      <c r="A29" s="16" t="str">
        <f>IFERROR(__xludf.DUMMYFUNCTION("""COMPUTED_VALUE"""),"Box")</f>
        <v>Box</v>
      </c>
      <c r="B29" s="16" t="str">
        <f>IFERROR(__xludf.DUMMYFUNCTION("""COMPUTED_VALUE"""),"Growth")</f>
        <v>Growth</v>
      </c>
      <c r="C29" s="26" t="str">
        <f>IFERROR(__xludf.DUMMYFUNCTION("""COMPUTED_VALUE"""),"APAC, EMEA, NAM, LatAm")</f>
        <v>APAC, EMEA, NAM, LatAm</v>
      </c>
      <c r="D29" s="16" t="str">
        <f>IFERROR(__xludf.DUMMYFUNCTION("""COMPUTED_VALUE"""),"Tim Kennedy")</f>
        <v>Tim Kennedy</v>
      </c>
      <c r="E29" s="26" t="str">
        <f>IFERROR(__xludf.DUMMYFUNCTION("""COMPUTED_VALUE"""),"Australia New Zealand,Austria,Benelux,Canada,Croatia,Czech Republic,Denmark,Finland,France,Germany,Hungary,India,Ireland,Israel,Italy,Japan,Norway,Poland,Russia,Slovakia,South America,Spain,Sweden,Switzerland,Turkey,UK,United States")</f>
        <v>Australia New Zealand,Austria,Benelux,Canada,Croatia,Czech Republic,Denmark,Finland,France,Germany,Hungary,India,Ireland,Israel,Italy,Japan,Norway,Poland,Russia,Slovakia,South America,Spain,Sweden,Switzerland,Turkey,UK,United States</v>
      </c>
      <c r="F29" s="26" t="str">
        <f>IFERROR(__xludf.DUMMYFUNCTION("""COMPUTED_VALUE"""),"ClaimCenter, PolicyCenter, BillingCenter")</f>
        <v>ClaimCenter, PolicyCenter, BillingCenter</v>
      </c>
      <c r="G29" s="20">
        <f>IFERROR(__xludf.DUMMYFUNCTION("""COMPUTED_VALUE"""),45296.0)</f>
        <v>45296</v>
      </c>
      <c r="H29" s="16"/>
      <c r="I29" s="13">
        <f>IFERROR(__xludf.DUMMYFUNCTION("""COMPUTED_VALUE"""),45389.0)</f>
        <v>45389</v>
      </c>
      <c r="J29" s="16"/>
      <c r="K29" s="13">
        <f>IFERROR(__xludf.DUMMYFUNCTION("""COMPUTED_VALUE"""),45455.0)</f>
        <v>45455</v>
      </c>
      <c r="L29" s="16" t="str">
        <f>IFERROR(__xludf.DUMMYFUNCTION("""COMPUTED_VALUE"""),"High")</f>
        <v>High</v>
      </c>
      <c r="M29" s="26" t="str">
        <f>IFERROR(__xludf.DUMMYFUNCTION("""COMPUTED_VALUE"""),"PartnerConnect  Technology")</f>
        <v>PartnerConnect  Technology</v>
      </c>
      <c r="N29" s="16" t="str">
        <f>IFERROR(__xludf.DUMMYFUNCTION("""COMPUTED_VALUE"""),"FY24 - Q2")</f>
        <v>FY24 - Q2</v>
      </c>
      <c r="O29" s="16">
        <f>IFERROR(__xludf.DUMMYFUNCTION("""COMPUTED_VALUE"""),3.0)</f>
        <v>3</v>
      </c>
      <c r="P29" s="16">
        <f>IFERROR(__xludf.DUMMYFUNCTION("""COMPUTED_VALUE"""),3.0)</f>
        <v>3</v>
      </c>
      <c r="Q29" s="16">
        <f>IFERROR(__xludf.DUMMYFUNCTION("""COMPUTED_VALUE"""),112.0)</f>
        <v>112</v>
      </c>
      <c r="R29" s="16">
        <f>IFERROR(__xludf.DUMMYFUNCTION("""COMPUTED_VALUE"""),92.0)</f>
        <v>92</v>
      </c>
      <c r="S29" s="16">
        <f>IFERROR(__xludf.DUMMYFUNCTION("""COMPUTED_VALUE"""),80420.0)</f>
        <v>80420</v>
      </c>
      <c r="T29" s="16">
        <f>IFERROR(__xludf.DUMMYFUNCTION("""COMPUTED_VALUE"""),41.0)</f>
        <v>41</v>
      </c>
      <c r="U29" s="16">
        <f>IFERROR(__xludf.DUMMYFUNCTION("""COMPUTED_VALUE"""),92.0)</f>
        <v>92</v>
      </c>
      <c r="V29" s="16">
        <f>IFERROR(__xludf.DUMMYFUNCTION("""COMPUTED_VALUE"""),92.0)</f>
        <v>92</v>
      </c>
      <c r="W29" s="16">
        <f>IFERROR(__xludf.DUMMYFUNCTION("""COMPUTED_VALUE"""),0.0)</f>
        <v>0</v>
      </c>
      <c r="X29" s="16" t="b">
        <f>IFERROR(__xludf.DUMMYFUNCTION("""COMPUTED_VALUE"""),TRUE)</f>
        <v>1</v>
      </c>
      <c r="Y29" s="16"/>
      <c r="Z29" s="16"/>
    </row>
    <row r="30">
      <c r="A30" s="16" t="str">
        <f>IFERROR(__xludf.DUMMYFUNCTION("""COMPUTED_VALUE"""),"CAB Group AB")</f>
        <v>CAB Group AB</v>
      </c>
      <c r="B30" s="16" t="str">
        <f>IFERROR(__xludf.DUMMYFUNCTION("""COMPUTED_VALUE"""),"Growth")</f>
        <v>Growth</v>
      </c>
      <c r="C30" s="26" t="str">
        <f>IFERROR(__xludf.DUMMYFUNCTION("""COMPUTED_VALUE"""),"EMEA")</f>
        <v>EMEA</v>
      </c>
      <c r="D30" s="16" t="str">
        <f>IFERROR(__xludf.DUMMYFUNCTION("""COMPUTED_VALUE"""),"Vivienne Hoary")</f>
        <v>Vivienne Hoary</v>
      </c>
      <c r="E30" s="26" t="str">
        <f>IFERROR(__xludf.DUMMYFUNCTION("""COMPUTED_VALUE"""),"Sweden")</f>
        <v>Sweden</v>
      </c>
      <c r="F30" s="26" t="str">
        <f>IFERROR(__xludf.DUMMYFUNCTION("""COMPUTED_VALUE"""),"ClaimCenter")</f>
        <v>ClaimCenter</v>
      </c>
      <c r="G30" s="20">
        <f>IFERROR(__xludf.DUMMYFUNCTION("""COMPUTED_VALUE"""),45689.0)</f>
        <v>45689</v>
      </c>
      <c r="H30" s="16"/>
      <c r="I30" s="20"/>
      <c r="J30" s="16"/>
      <c r="K30" s="16"/>
      <c r="L30" s="16" t="str">
        <f>IFERROR(__xludf.DUMMYFUNCTION("""COMPUTED_VALUE"""),"Medium")</f>
        <v>Medium</v>
      </c>
      <c r="M30" s="26" t="str">
        <f>IFERROR(__xludf.DUMMYFUNCTION("""COMPUTED_VALUE"""),"PartnerConnect  Technology")</f>
        <v>PartnerConnect  Technology</v>
      </c>
      <c r="N30" s="16" t="str">
        <f>IFERROR(__xludf.DUMMYFUNCTION("""COMPUTED_VALUE"""),"FY25 - Q2")</f>
        <v>FY25 - Q2</v>
      </c>
      <c r="O30" s="16">
        <f>IFERROR(__xludf.DUMMYFUNCTION("""COMPUTED_VALUE"""),0.0)</f>
        <v>0</v>
      </c>
      <c r="P30" s="16">
        <f>IFERROR(__xludf.DUMMYFUNCTION("""COMPUTED_VALUE"""),0.0)</f>
        <v>0</v>
      </c>
      <c r="Q30" s="16">
        <f>IFERROR(__xludf.DUMMYFUNCTION("""COMPUTED_VALUE"""),0.0)</f>
        <v>0</v>
      </c>
      <c r="R30" s="16">
        <f>IFERROR(__xludf.DUMMYFUNCTION("""COMPUTED_VALUE"""),0.0)</f>
        <v>0</v>
      </c>
      <c r="S30" s="16">
        <f>IFERROR(__xludf.DUMMYFUNCTION("""COMPUTED_VALUE"""),0.0)</f>
        <v>0</v>
      </c>
      <c r="T30" s="16">
        <f>IFERROR(__xludf.DUMMYFUNCTION("""COMPUTED_VALUE"""),0.0)</f>
        <v>0</v>
      </c>
      <c r="U30" s="16">
        <f>IFERROR(__xludf.DUMMYFUNCTION("""COMPUTED_VALUE"""),0.0)</f>
        <v>0</v>
      </c>
      <c r="V30" s="16">
        <f>IFERROR(__xludf.DUMMYFUNCTION("""COMPUTED_VALUE"""),0.0)</f>
        <v>0</v>
      </c>
      <c r="W30" s="16">
        <f>IFERROR(__xludf.DUMMYFUNCTION("""COMPUTED_VALUE"""),0.0)</f>
        <v>0</v>
      </c>
      <c r="X30" s="16" t="b">
        <f>IFERROR(__xludf.DUMMYFUNCTION("""COMPUTED_VALUE"""),FALSE)</f>
        <v>0</v>
      </c>
      <c r="Y30" s="16"/>
      <c r="Z30" s="16"/>
    </row>
    <row r="31">
      <c r="A31" s="16" t="str">
        <f>IFERROR(__xludf.DUMMYFUNCTION("""COMPUTED_VALUE"""),"Cadence Rx, Inc.")</f>
        <v>Cadence Rx, Inc.</v>
      </c>
      <c r="B31" s="16" t="str">
        <f>IFERROR(__xludf.DUMMYFUNCTION("""COMPUTED_VALUE"""),"Growth")</f>
        <v>Growth</v>
      </c>
      <c r="C31" s="26" t="str">
        <f>IFERROR(__xludf.DUMMYFUNCTION("""COMPUTED_VALUE"""),"NAM")</f>
        <v>NAM</v>
      </c>
      <c r="D31" s="16" t="str">
        <f>IFERROR(__xludf.DUMMYFUNCTION("""COMPUTED_VALUE"""),"Rod Gowin")</f>
        <v>Rod Gowin</v>
      </c>
      <c r="E31" s="26" t="str">
        <f>IFERROR(__xludf.DUMMYFUNCTION("""COMPUTED_VALUE"""),"United States")</f>
        <v>United States</v>
      </c>
      <c r="F31" s="26" t="str">
        <f>IFERROR(__xludf.DUMMYFUNCTION("""COMPUTED_VALUE"""),"ClaimCenter")</f>
        <v>ClaimCenter</v>
      </c>
      <c r="G31" s="20">
        <f>IFERROR(__xludf.DUMMYFUNCTION("""COMPUTED_VALUE"""),45849.0)</f>
        <v>45849</v>
      </c>
      <c r="H31" s="20"/>
      <c r="I31" s="20">
        <f>IFERROR(__xludf.DUMMYFUNCTION("""COMPUTED_VALUE"""),45849.0)</f>
        <v>45849</v>
      </c>
      <c r="J31" s="16"/>
      <c r="K31" s="16"/>
      <c r="L31" s="16" t="str">
        <f>IFERROR(__xludf.DUMMYFUNCTION("""COMPUTED_VALUE"""),"Medium")</f>
        <v>Medium</v>
      </c>
      <c r="M31" s="26" t="str">
        <f>IFERROR(__xludf.DUMMYFUNCTION("""COMPUTED_VALUE"""),"PartnerConnect  Technology")</f>
        <v>PartnerConnect  Technology</v>
      </c>
      <c r="N31" s="16" t="str">
        <f>IFERROR(__xludf.DUMMYFUNCTION("""COMPUTED_VALUE"""),"FY25 - Q4")</f>
        <v>FY25 - Q4</v>
      </c>
      <c r="O31" s="16">
        <f>IFERROR(__xludf.DUMMYFUNCTION("""COMPUTED_VALUE"""),0.0)</f>
        <v>0</v>
      </c>
      <c r="P31" s="16">
        <f>IFERROR(__xludf.DUMMYFUNCTION("""COMPUTED_VALUE"""),0.0)</f>
        <v>0</v>
      </c>
      <c r="Q31" s="16">
        <f>IFERROR(__xludf.DUMMYFUNCTION("""COMPUTED_VALUE"""),0.0)</f>
        <v>0</v>
      </c>
      <c r="R31" s="16">
        <f>IFERROR(__xludf.DUMMYFUNCTION("""COMPUTED_VALUE"""),0.0)</f>
        <v>0</v>
      </c>
      <c r="S31" s="16">
        <f>IFERROR(__xludf.DUMMYFUNCTION("""COMPUTED_VALUE"""),0.0)</f>
        <v>0</v>
      </c>
      <c r="T31" s="16">
        <f>IFERROR(__xludf.DUMMYFUNCTION("""COMPUTED_VALUE"""),0.0)</f>
        <v>0</v>
      </c>
      <c r="U31" s="16">
        <f>IFERROR(__xludf.DUMMYFUNCTION("""COMPUTED_VALUE"""),0.0)</f>
        <v>0</v>
      </c>
      <c r="V31" s="16">
        <f>IFERROR(__xludf.DUMMYFUNCTION("""COMPUTED_VALUE"""),0.0)</f>
        <v>0</v>
      </c>
      <c r="W31" s="16">
        <f>IFERROR(__xludf.DUMMYFUNCTION("""COMPUTED_VALUE"""),0.0)</f>
        <v>0</v>
      </c>
      <c r="X31" s="16" t="b">
        <f>IFERROR(__xludf.DUMMYFUNCTION("""COMPUTED_VALUE"""),FALSE)</f>
        <v>0</v>
      </c>
      <c r="Y31" s="16"/>
      <c r="Z31" s="16"/>
    </row>
    <row r="32">
      <c r="A32" s="16" t="str">
        <f>IFERROR(__xludf.DUMMYFUNCTION("""COMPUTED_VALUE"""),"Caliber Collision")</f>
        <v>Caliber Collision</v>
      </c>
      <c r="B32" s="16" t="str">
        <f>IFERROR(__xludf.DUMMYFUNCTION("""COMPUTED_VALUE"""),"Growth")</f>
        <v>Growth</v>
      </c>
      <c r="C32" s="26" t="str">
        <f>IFERROR(__xludf.DUMMYFUNCTION("""COMPUTED_VALUE"""),"NAM")</f>
        <v>NAM</v>
      </c>
      <c r="D32" s="16" t="str">
        <f>IFERROR(__xludf.DUMMYFUNCTION("""COMPUTED_VALUE"""),"Aaron Shaw")</f>
        <v>Aaron Shaw</v>
      </c>
      <c r="E32" s="26" t="str">
        <f>IFERROR(__xludf.DUMMYFUNCTION("""COMPUTED_VALUE"""),"United States")</f>
        <v>United States</v>
      </c>
      <c r="F32" s="26" t="str">
        <f>IFERROR(__xludf.DUMMYFUNCTION("""COMPUTED_VALUE"""),"ClaimCenter")</f>
        <v>ClaimCenter</v>
      </c>
      <c r="G32" s="20">
        <f>IFERROR(__xludf.DUMMYFUNCTION("""COMPUTED_VALUE"""),44840.0)</f>
        <v>44840</v>
      </c>
      <c r="H32" s="20">
        <f>IFERROR(__xludf.DUMMYFUNCTION("""COMPUTED_VALUE"""),45570.0)</f>
        <v>45570</v>
      </c>
      <c r="I32" s="20">
        <f>IFERROR(__xludf.DUMMYFUNCTION("""COMPUTED_VALUE"""),44840.0)</f>
        <v>44840</v>
      </c>
      <c r="J32" s="16"/>
      <c r="K32" s="16"/>
      <c r="L32" s="16" t="str">
        <f>IFERROR(__xludf.DUMMYFUNCTION("""COMPUTED_VALUE"""),"Low")</f>
        <v>Low</v>
      </c>
      <c r="M32" s="26" t="str">
        <f>IFERROR(__xludf.DUMMYFUNCTION("""COMPUTED_VALUE"""),"PartnerConnect  Technology")</f>
        <v>PartnerConnect  Technology</v>
      </c>
      <c r="N32" s="16" t="str">
        <f>IFERROR(__xludf.DUMMYFUNCTION("""COMPUTED_VALUE"""),"FY22 - Q1")</f>
        <v>FY22 - Q1</v>
      </c>
      <c r="O32" s="16">
        <f>IFERROR(__xludf.DUMMYFUNCTION("""COMPUTED_VALUE"""),0.0)</f>
        <v>0</v>
      </c>
      <c r="P32" s="16">
        <f>IFERROR(__xludf.DUMMYFUNCTION("""COMPUTED_VALUE"""),0.0)</f>
        <v>0</v>
      </c>
      <c r="Q32" s="16">
        <f>IFERROR(__xludf.DUMMYFUNCTION("""COMPUTED_VALUE"""),0.0)</f>
        <v>0</v>
      </c>
      <c r="R32" s="16">
        <f>IFERROR(__xludf.DUMMYFUNCTION("""COMPUTED_VALUE"""),0.0)</f>
        <v>0</v>
      </c>
      <c r="S32" s="16">
        <f>IFERROR(__xludf.DUMMYFUNCTION("""COMPUTED_VALUE"""),0.0)</f>
        <v>0</v>
      </c>
      <c r="T32" s="16">
        <f>IFERROR(__xludf.DUMMYFUNCTION("""COMPUTED_VALUE"""),0.0)</f>
        <v>0</v>
      </c>
      <c r="U32" s="16">
        <f>IFERROR(__xludf.DUMMYFUNCTION("""COMPUTED_VALUE"""),0.0)</f>
        <v>0</v>
      </c>
      <c r="V32" s="16">
        <f>IFERROR(__xludf.DUMMYFUNCTION("""COMPUTED_VALUE"""),0.0)</f>
        <v>0</v>
      </c>
      <c r="W32" s="16">
        <f>IFERROR(__xludf.DUMMYFUNCTION("""COMPUTED_VALUE"""),0.0)</f>
        <v>0</v>
      </c>
      <c r="X32" s="16" t="b">
        <f>IFERROR(__xludf.DUMMYFUNCTION("""COMPUTED_VALUE"""),FALSE)</f>
        <v>0</v>
      </c>
      <c r="Y32" s="16"/>
      <c r="Z32" s="16"/>
    </row>
    <row r="33">
      <c r="A33" s="16" t="str">
        <f>IFERROR(__xludf.DUMMYFUNCTION("""COMPUTED_VALUE"""),"Caliber Data Processing, LLC")</f>
        <v>Caliber Data Processing, LLC</v>
      </c>
      <c r="B33" s="16" t="str">
        <f>IFERROR(__xludf.DUMMYFUNCTION("""COMPUTED_VALUE"""),"Growth")</f>
        <v>Growth</v>
      </c>
      <c r="C33" s="26" t="str">
        <f>IFERROR(__xludf.DUMMYFUNCTION("""COMPUTED_VALUE"""),"NAM")</f>
        <v>NAM</v>
      </c>
      <c r="D33" s="16" t="str">
        <f>IFERROR(__xludf.DUMMYFUNCTION("""COMPUTED_VALUE"""),"Aaron Shaw")</f>
        <v>Aaron Shaw</v>
      </c>
      <c r="E33" s="26" t="str">
        <f>IFERROR(__xludf.DUMMYFUNCTION("""COMPUTED_VALUE"""),"United States")</f>
        <v>United States</v>
      </c>
      <c r="F33" s="26" t="str">
        <f>IFERROR(__xludf.DUMMYFUNCTION("""COMPUTED_VALUE"""),"ClaimCenter")</f>
        <v>ClaimCenter</v>
      </c>
      <c r="G33" s="20">
        <f>IFERROR(__xludf.DUMMYFUNCTION("""COMPUTED_VALUE"""),45191.0)</f>
        <v>45191</v>
      </c>
      <c r="H33" s="20">
        <f>IFERROR(__xludf.DUMMYFUNCTION("""COMPUTED_VALUE"""),45921.0)</f>
        <v>45921</v>
      </c>
      <c r="I33" s="20">
        <f>IFERROR(__xludf.DUMMYFUNCTION("""COMPUTED_VALUE"""),45191.0)</f>
        <v>45191</v>
      </c>
      <c r="J33" s="16"/>
      <c r="K33" s="20"/>
      <c r="L33" s="16" t="str">
        <f>IFERROR(__xludf.DUMMYFUNCTION("""COMPUTED_VALUE"""),"Medium")</f>
        <v>Medium</v>
      </c>
      <c r="M33" s="26" t="str">
        <f>IFERROR(__xludf.DUMMYFUNCTION("""COMPUTED_VALUE"""),"PartnerConnect  Technology")</f>
        <v>PartnerConnect  Technology</v>
      </c>
      <c r="N33" s="16" t="str">
        <f>IFERROR(__xludf.DUMMYFUNCTION("""COMPUTED_VALUE"""),"FY23 - Q1")</f>
        <v>FY23 - Q1</v>
      </c>
      <c r="O33" s="16">
        <f>IFERROR(__xludf.DUMMYFUNCTION("""COMPUTED_VALUE"""),1.0)</f>
        <v>1</v>
      </c>
      <c r="P33" s="16">
        <f>IFERROR(__xludf.DUMMYFUNCTION("""COMPUTED_VALUE"""),1.0)</f>
        <v>1</v>
      </c>
      <c r="Q33" s="16">
        <f>IFERROR(__xludf.DUMMYFUNCTION("""COMPUTED_VALUE"""),0.0)</f>
        <v>0</v>
      </c>
      <c r="R33" s="16">
        <f>IFERROR(__xludf.DUMMYFUNCTION("""COMPUTED_VALUE"""),0.0)</f>
        <v>0</v>
      </c>
      <c r="S33" s="16">
        <f>IFERROR(__xludf.DUMMYFUNCTION("""COMPUTED_VALUE"""),0.0)</f>
        <v>0</v>
      </c>
      <c r="T33" s="16">
        <f>IFERROR(__xludf.DUMMYFUNCTION("""COMPUTED_VALUE"""),0.0)</f>
        <v>0</v>
      </c>
      <c r="U33" s="16">
        <f>IFERROR(__xludf.DUMMYFUNCTION("""COMPUTED_VALUE"""),0.0)</f>
        <v>0</v>
      </c>
      <c r="V33" s="16">
        <f>IFERROR(__xludf.DUMMYFUNCTION("""COMPUTED_VALUE"""),0.0)</f>
        <v>0</v>
      </c>
      <c r="W33" s="16">
        <f>IFERROR(__xludf.DUMMYFUNCTION("""COMPUTED_VALUE"""),0.0)</f>
        <v>0</v>
      </c>
      <c r="X33" s="16" t="b">
        <f>IFERROR(__xludf.DUMMYFUNCTION("""COMPUTED_VALUE"""),TRUE)</f>
        <v>1</v>
      </c>
      <c r="Y33" s="16"/>
      <c r="Z33" s="16"/>
    </row>
    <row r="34">
      <c r="A34" s="16" t="str">
        <f>IFERROR(__xludf.DUMMYFUNCTION("""COMPUTED_VALUE"""),"Cambridge Mobile Telematics")</f>
        <v>Cambridge Mobile Telematics</v>
      </c>
      <c r="B34" s="16" t="str">
        <f>IFERROR(__xludf.DUMMYFUNCTION("""COMPUTED_VALUE"""),"Advantage")</f>
        <v>Advantage</v>
      </c>
      <c r="C34" s="26" t="str">
        <f>IFERROR(__xludf.DUMMYFUNCTION("""COMPUTED_VALUE"""),"APAC, EMEA, NAM, LatAm")</f>
        <v>APAC, EMEA, NAM, LatAm</v>
      </c>
      <c r="D34" s="16" t="str">
        <f>IFERROR(__xludf.DUMMYFUNCTION("""COMPUTED_VALUE"""),"Tim Kennedy")</f>
        <v>Tim Kennedy</v>
      </c>
      <c r="E34" s="26" t="str">
        <f>IFERROR(__xludf.DUMMYFUNCTION("""COMPUTED_VALUE"""),"United States")</f>
        <v>United States</v>
      </c>
      <c r="F34" s="16" t="str">
        <f>IFERROR(__xludf.DUMMYFUNCTION("""COMPUTED_VALUE"""),"ClaimCenter, PolicyCenter")</f>
        <v>ClaimCenter, PolicyCenter</v>
      </c>
      <c r="G34" s="20">
        <f>IFERROR(__xludf.DUMMYFUNCTION("""COMPUTED_VALUE"""),43948.0)</f>
        <v>43948</v>
      </c>
      <c r="H34" s="13">
        <f>IFERROR(__xludf.DUMMYFUNCTION("""COMPUTED_VALUE"""),44678.0)</f>
        <v>44678</v>
      </c>
      <c r="I34" s="13">
        <f>IFERROR(__xludf.DUMMYFUNCTION("""COMPUTED_VALUE"""),43948.0)</f>
        <v>43948</v>
      </c>
      <c r="J34" s="16"/>
      <c r="K34" s="13">
        <f>IFERROR(__xludf.DUMMYFUNCTION("""COMPUTED_VALUE"""),44158.0)</f>
        <v>44158</v>
      </c>
      <c r="L34" s="16" t="str">
        <f>IFERROR(__xludf.DUMMYFUNCTION("""COMPUTED_VALUE"""),"Medium")</f>
        <v>Medium</v>
      </c>
      <c r="M34" s="26" t="str">
        <f>IFERROR(__xludf.DUMMYFUNCTION("""COMPUTED_VALUE"""),"PartnerConnect  Technology")</f>
        <v>PartnerConnect  Technology</v>
      </c>
      <c r="N34" s="16" t="str">
        <f>IFERROR(__xludf.DUMMYFUNCTION("""COMPUTED_VALUE"""),"FY20 - Q3")</f>
        <v>FY20 - Q3</v>
      </c>
      <c r="O34" s="16">
        <f>IFERROR(__xludf.DUMMYFUNCTION("""COMPUTED_VALUE"""),0.0)</f>
        <v>0</v>
      </c>
      <c r="P34" s="16">
        <f>IFERROR(__xludf.DUMMYFUNCTION("""COMPUTED_VALUE"""),0.0)</f>
        <v>0</v>
      </c>
      <c r="Q34" s="16">
        <f>IFERROR(__xludf.DUMMYFUNCTION("""COMPUTED_VALUE"""),0.0)</f>
        <v>0</v>
      </c>
      <c r="R34" s="16">
        <f>IFERROR(__xludf.DUMMYFUNCTION("""COMPUTED_VALUE"""),0.0)</f>
        <v>0</v>
      </c>
      <c r="S34" s="16">
        <f>IFERROR(__xludf.DUMMYFUNCTION("""COMPUTED_VALUE"""),0.0)</f>
        <v>0</v>
      </c>
      <c r="T34" s="16">
        <f>IFERROR(__xludf.DUMMYFUNCTION("""COMPUTED_VALUE"""),0.0)</f>
        <v>0</v>
      </c>
      <c r="U34" s="16">
        <f>IFERROR(__xludf.DUMMYFUNCTION("""COMPUTED_VALUE"""),0.0)</f>
        <v>0</v>
      </c>
      <c r="V34" s="16">
        <f>IFERROR(__xludf.DUMMYFUNCTION("""COMPUTED_VALUE"""),0.0)</f>
        <v>0</v>
      </c>
      <c r="W34" s="16">
        <f>IFERROR(__xludf.DUMMYFUNCTION("""COMPUTED_VALUE"""),0.0)</f>
        <v>0</v>
      </c>
      <c r="X34" s="16" t="b">
        <f>IFERROR(__xludf.DUMMYFUNCTION("""COMPUTED_VALUE"""),FALSE)</f>
        <v>0</v>
      </c>
      <c r="Y34" s="16"/>
      <c r="Z34" s="16"/>
    </row>
    <row r="35">
      <c r="A35" s="16" t="str">
        <f>IFERROR(__xludf.DUMMYFUNCTION("""COMPUTED_VALUE"""),"CamCom Technologies Pvt. Ltd.")</f>
        <v>CamCom Technologies Pvt. Ltd.</v>
      </c>
      <c r="B35" s="16" t="str">
        <f>IFERROR(__xludf.DUMMYFUNCTION("""COMPUTED_VALUE"""),"Growth")</f>
        <v>Growth</v>
      </c>
      <c r="C35" s="26" t="str">
        <f>IFERROR(__xludf.DUMMYFUNCTION("""COMPUTED_VALUE"""),"APAC, EMEA, NAM")</f>
        <v>APAC, EMEA, NAM</v>
      </c>
      <c r="D35" s="16" t="str">
        <f>IFERROR(__xludf.DUMMYFUNCTION("""COMPUTED_VALUE"""),"Ketaki Padhye")</f>
        <v>Ketaki Padhye</v>
      </c>
      <c r="E35" s="26" t="str">
        <f>IFERROR(__xludf.DUMMYFUNCTION("""COMPUTED_VALUE"""),"Australia New Zealand, India")</f>
        <v>Australia New Zealand, India</v>
      </c>
      <c r="F35" s="26"/>
      <c r="G35" s="20">
        <f>IFERROR(__xludf.DUMMYFUNCTION("""COMPUTED_VALUE"""),45705.0)</f>
        <v>45705</v>
      </c>
      <c r="H35" s="20"/>
      <c r="I35" s="20"/>
      <c r="J35" s="16"/>
      <c r="K35" s="16"/>
      <c r="L35" s="16" t="str">
        <f>IFERROR(__xludf.DUMMYFUNCTION("""COMPUTED_VALUE"""),"Medium")</f>
        <v>Medium</v>
      </c>
      <c r="M35" s="26" t="str">
        <f>IFERROR(__xludf.DUMMYFUNCTION("""COMPUTED_VALUE"""),"PartnerConnect  Technology")</f>
        <v>PartnerConnect  Technology</v>
      </c>
      <c r="N35" s="16" t="str">
        <f>IFERROR(__xludf.DUMMYFUNCTION("""COMPUTED_VALUE"""),"FY25 - Q2")</f>
        <v>FY25 - Q2</v>
      </c>
      <c r="O35" s="16">
        <f>IFERROR(__xludf.DUMMYFUNCTION("""COMPUTED_VALUE"""),0.0)</f>
        <v>0</v>
      </c>
      <c r="P35" s="16">
        <f>IFERROR(__xludf.DUMMYFUNCTION("""COMPUTED_VALUE"""),0.0)</f>
        <v>0</v>
      </c>
      <c r="Q35" s="16">
        <f>IFERROR(__xludf.DUMMYFUNCTION("""COMPUTED_VALUE"""),0.0)</f>
        <v>0</v>
      </c>
      <c r="R35" s="16">
        <f>IFERROR(__xludf.DUMMYFUNCTION("""COMPUTED_VALUE"""),0.0)</f>
        <v>0</v>
      </c>
      <c r="S35" s="16">
        <f>IFERROR(__xludf.DUMMYFUNCTION("""COMPUTED_VALUE"""),0.0)</f>
        <v>0</v>
      </c>
      <c r="T35" s="16">
        <f>IFERROR(__xludf.DUMMYFUNCTION("""COMPUTED_VALUE"""),0.0)</f>
        <v>0</v>
      </c>
      <c r="U35" s="16">
        <f>IFERROR(__xludf.DUMMYFUNCTION("""COMPUTED_VALUE"""),0.0)</f>
        <v>0</v>
      </c>
      <c r="V35" s="16">
        <f>IFERROR(__xludf.DUMMYFUNCTION("""COMPUTED_VALUE"""),0.0)</f>
        <v>0</v>
      </c>
      <c r="W35" s="16">
        <f>IFERROR(__xludf.DUMMYFUNCTION("""COMPUTED_VALUE"""),0.0)</f>
        <v>0</v>
      </c>
      <c r="X35" s="16" t="b">
        <f>IFERROR(__xludf.DUMMYFUNCTION("""COMPUTED_VALUE"""),FALSE)</f>
        <v>0</v>
      </c>
      <c r="Y35" s="16"/>
      <c r="Z35" s="16"/>
    </row>
    <row r="36">
      <c r="A36" s="16" t="str">
        <f>IFERROR(__xludf.DUMMYFUNCTION("""COMPUTED_VALUE"""),"Cape Analytics")</f>
        <v>Cape Analytics</v>
      </c>
      <c r="B36" s="16" t="str">
        <f>IFERROR(__xludf.DUMMYFUNCTION("""COMPUTED_VALUE"""),"Growth")</f>
        <v>Growth</v>
      </c>
      <c r="C36" s="26" t="str">
        <f>IFERROR(__xludf.DUMMYFUNCTION("""COMPUTED_VALUE"""),"NAM")</f>
        <v>NAM</v>
      </c>
      <c r="D36" s="16" t="str">
        <f>IFERROR(__xludf.DUMMYFUNCTION("""COMPUTED_VALUE"""),"Tim Kennedy")</f>
        <v>Tim Kennedy</v>
      </c>
      <c r="E36" s="16" t="str">
        <f>IFERROR(__xludf.DUMMYFUNCTION("""COMPUTED_VALUE"""),"United States")</f>
        <v>United States</v>
      </c>
      <c r="F36" s="16" t="str">
        <f>IFERROR(__xludf.DUMMYFUNCTION("""COMPUTED_VALUE"""),"PolicyCenter")</f>
        <v>PolicyCenter</v>
      </c>
      <c r="G36" s="20">
        <f>IFERROR(__xludf.DUMMYFUNCTION("""COMPUTED_VALUE"""),44034.0)</f>
        <v>44034</v>
      </c>
      <c r="H36" s="20">
        <f>IFERROR(__xludf.DUMMYFUNCTION("""COMPUTED_VALUE"""),44764.0)</f>
        <v>44764</v>
      </c>
      <c r="I36" s="13">
        <f>IFERROR(__xludf.DUMMYFUNCTION("""COMPUTED_VALUE"""),44034.0)</f>
        <v>44034</v>
      </c>
      <c r="J36" s="16"/>
      <c r="K36" s="16"/>
      <c r="L36" s="16" t="str">
        <f>IFERROR(__xludf.DUMMYFUNCTION("""COMPUTED_VALUE"""),"Medium")</f>
        <v>Medium</v>
      </c>
      <c r="M36" s="26" t="str">
        <f>IFERROR(__xludf.DUMMYFUNCTION("""COMPUTED_VALUE"""),"PartnerConnect  Technology")</f>
        <v>PartnerConnect  Technology</v>
      </c>
      <c r="N36" s="16" t="str">
        <f>IFERROR(__xludf.DUMMYFUNCTION("""COMPUTED_VALUE"""),"FY20 - Q4")</f>
        <v>FY20 - Q4</v>
      </c>
      <c r="O36" s="16">
        <f>IFERROR(__xludf.DUMMYFUNCTION("""COMPUTED_VALUE"""),0.0)</f>
        <v>0</v>
      </c>
      <c r="P36" s="16">
        <f>IFERROR(__xludf.DUMMYFUNCTION("""COMPUTED_VALUE"""),0.0)</f>
        <v>0</v>
      </c>
      <c r="Q36" s="16">
        <f>IFERROR(__xludf.DUMMYFUNCTION("""COMPUTED_VALUE"""),0.0)</f>
        <v>0</v>
      </c>
      <c r="R36" s="16">
        <f>IFERROR(__xludf.DUMMYFUNCTION("""COMPUTED_VALUE"""),0.0)</f>
        <v>0</v>
      </c>
      <c r="S36" s="16">
        <f>IFERROR(__xludf.DUMMYFUNCTION("""COMPUTED_VALUE"""),0.0)</f>
        <v>0</v>
      </c>
      <c r="T36" s="16">
        <f>IFERROR(__xludf.DUMMYFUNCTION("""COMPUTED_VALUE"""),0.0)</f>
        <v>0</v>
      </c>
      <c r="U36" s="16">
        <f>IFERROR(__xludf.DUMMYFUNCTION("""COMPUTED_VALUE"""),0.0)</f>
        <v>0</v>
      </c>
      <c r="V36" s="16">
        <f>IFERROR(__xludf.DUMMYFUNCTION("""COMPUTED_VALUE"""),0.0)</f>
        <v>0</v>
      </c>
      <c r="W36" s="16">
        <f>IFERROR(__xludf.DUMMYFUNCTION("""COMPUTED_VALUE"""),17.0)</f>
        <v>17</v>
      </c>
      <c r="X36" s="16" t="b">
        <f>IFERROR(__xludf.DUMMYFUNCTION("""COMPUTED_VALUE"""),FALSE)</f>
        <v>0</v>
      </c>
      <c r="Y36" s="16"/>
      <c r="Z36" s="16"/>
    </row>
    <row r="37">
      <c r="A37" s="16" t="str">
        <f>IFERROR(__xludf.DUMMYFUNCTION("""COMPUTED_VALUE"""),"Capgemini America, Inc.")</f>
        <v>Capgemini America, Inc.</v>
      </c>
      <c r="B37" s="16" t="str">
        <f>IFERROR(__xludf.DUMMYFUNCTION("""COMPUTED_VALUE"""),"Global Strategic")</f>
        <v>Global Strategic</v>
      </c>
      <c r="C37" s="26" t="str">
        <f>IFERROR(__xludf.DUMMYFUNCTION("""COMPUTED_VALUE"""),"APAC, EMEA, NAM, LatAm")</f>
        <v>APAC, EMEA, NAM, LatAm</v>
      </c>
      <c r="D37" s="16" t="str">
        <f>IFERROR(__xludf.DUMMYFUNCTION("""COMPUTED_VALUE"""),"Steve Doss")</f>
        <v>Steve Doss</v>
      </c>
      <c r="E37" s="26"/>
      <c r="F37" s="26"/>
      <c r="G37" s="20">
        <f>IFERROR(__xludf.DUMMYFUNCTION("""COMPUTED_VALUE"""),40396.0)</f>
        <v>40396</v>
      </c>
      <c r="H37" s="20">
        <f>IFERROR(__xludf.DUMMYFUNCTION("""COMPUTED_VALUE"""),42675.0)</f>
        <v>42675</v>
      </c>
      <c r="I37" s="20"/>
      <c r="J37" s="16"/>
      <c r="K37" s="16"/>
      <c r="L37" s="16"/>
      <c r="M37" s="26" t="str">
        <f>IFERROR(__xludf.DUMMYFUNCTION("""COMPUTED_VALUE"""),"PartnerConnect  Consulting")</f>
        <v>PartnerConnect  Consulting</v>
      </c>
      <c r="N37" s="16" t="str">
        <f>IFERROR(__xludf.DUMMYFUNCTION("""COMPUTED_VALUE"""),"FY10 - Q1")</f>
        <v>FY10 - Q1</v>
      </c>
      <c r="O37" s="16">
        <f>IFERROR(__xludf.DUMMYFUNCTION("""COMPUTED_VALUE"""),32.0)</f>
        <v>32</v>
      </c>
      <c r="P37" s="16">
        <f>IFERROR(__xludf.DUMMYFUNCTION("""COMPUTED_VALUE"""),32.0)</f>
        <v>32</v>
      </c>
      <c r="Q37" s="16">
        <f>IFERROR(__xludf.DUMMYFUNCTION("""COMPUTED_VALUE"""),14.0)</f>
        <v>14</v>
      </c>
      <c r="R37" s="16">
        <f>IFERROR(__xludf.DUMMYFUNCTION("""COMPUTED_VALUE"""),14.0)</f>
        <v>14</v>
      </c>
      <c r="S37" s="16">
        <f>IFERROR(__xludf.DUMMYFUNCTION("""COMPUTED_VALUE"""),60841.0)</f>
        <v>60841</v>
      </c>
      <c r="T37" s="16">
        <f>IFERROR(__xludf.DUMMYFUNCTION("""COMPUTED_VALUE"""),15.0)</f>
        <v>15</v>
      </c>
      <c r="U37" s="16">
        <f>IFERROR(__xludf.DUMMYFUNCTION("""COMPUTED_VALUE"""),14.0)</f>
        <v>14</v>
      </c>
      <c r="V37" s="16">
        <f>IFERROR(__xludf.DUMMYFUNCTION("""COMPUTED_VALUE"""),14.0)</f>
        <v>14</v>
      </c>
      <c r="W37" s="16">
        <f>IFERROR(__xludf.DUMMYFUNCTION("""COMPUTED_VALUE"""),0.0)</f>
        <v>0</v>
      </c>
      <c r="X37" s="16" t="b">
        <f>IFERROR(__xludf.DUMMYFUNCTION("""COMPUTED_VALUE"""),TRUE)</f>
        <v>1</v>
      </c>
      <c r="Y37" s="16"/>
      <c r="Z37" s="16"/>
    </row>
    <row r="38">
      <c r="A38" s="16" t="str">
        <f>IFERROR(__xludf.DUMMYFUNCTION("""COMPUTED_VALUE"""),"Carpe Data")</f>
        <v>Carpe Data</v>
      </c>
      <c r="B38" s="16" t="str">
        <f>IFERROR(__xludf.DUMMYFUNCTION("""COMPUTED_VALUE"""),"Growth")</f>
        <v>Growth</v>
      </c>
      <c r="C38" s="26" t="str">
        <f>IFERROR(__xludf.DUMMYFUNCTION("""COMPUTED_VALUE"""),"NAM")</f>
        <v>NAM</v>
      </c>
      <c r="D38" s="16" t="str">
        <f>IFERROR(__xludf.DUMMYFUNCTION("""COMPUTED_VALUE"""),"Rod Gowin")</f>
        <v>Rod Gowin</v>
      </c>
      <c r="E38" s="26" t="str">
        <f>IFERROR(__xludf.DUMMYFUNCTION("""COMPUTED_VALUE"""),"Canada, UK, United States")</f>
        <v>Canada, UK, United States</v>
      </c>
      <c r="F38" s="26" t="str">
        <f>IFERROR(__xludf.DUMMYFUNCTION("""COMPUTED_VALUE"""),"ClaimCenter")</f>
        <v>ClaimCenter</v>
      </c>
      <c r="G38" s="20">
        <f>IFERROR(__xludf.DUMMYFUNCTION("""COMPUTED_VALUE"""),45468.0)</f>
        <v>45468</v>
      </c>
      <c r="H38" s="20">
        <f>IFERROR(__xludf.DUMMYFUNCTION("""COMPUTED_VALUE"""),46198.0)</f>
        <v>46198</v>
      </c>
      <c r="I38" s="20">
        <f>IFERROR(__xludf.DUMMYFUNCTION("""COMPUTED_VALUE"""),45468.0)</f>
        <v>45468</v>
      </c>
      <c r="J38" s="16"/>
      <c r="K38" s="16"/>
      <c r="L38" s="16" t="str">
        <f>IFERROR(__xludf.DUMMYFUNCTION("""COMPUTED_VALUE"""),"Low")</f>
        <v>Low</v>
      </c>
      <c r="M38" s="26" t="str">
        <f>IFERROR(__xludf.DUMMYFUNCTION("""COMPUTED_VALUE"""),"PartnerConnect  Technology")</f>
        <v>PartnerConnect  Technology</v>
      </c>
      <c r="N38" s="16" t="str">
        <f>IFERROR(__xludf.DUMMYFUNCTION("""COMPUTED_VALUE"""),"FY24 - Q3")</f>
        <v>FY24 - Q3</v>
      </c>
      <c r="O38" s="16">
        <f>IFERROR(__xludf.DUMMYFUNCTION("""COMPUTED_VALUE"""),0.0)</f>
        <v>0</v>
      </c>
      <c r="P38" s="16">
        <f>IFERROR(__xludf.DUMMYFUNCTION("""COMPUTED_VALUE"""),0.0)</f>
        <v>0</v>
      </c>
      <c r="Q38" s="16">
        <f>IFERROR(__xludf.DUMMYFUNCTION("""COMPUTED_VALUE"""),0.0)</f>
        <v>0</v>
      </c>
      <c r="R38" s="16">
        <f>IFERROR(__xludf.DUMMYFUNCTION("""COMPUTED_VALUE"""),0.0)</f>
        <v>0</v>
      </c>
      <c r="S38" s="16">
        <f>IFERROR(__xludf.DUMMYFUNCTION("""COMPUTED_VALUE"""),0.0)</f>
        <v>0</v>
      </c>
      <c r="T38" s="16">
        <f>IFERROR(__xludf.DUMMYFUNCTION("""COMPUTED_VALUE"""),0.0)</f>
        <v>0</v>
      </c>
      <c r="U38" s="16">
        <f>IFERROR(__xludf.DUMMYFUNCTION("""COMPUTED_VALUE"""),0.0)</f>
        <v>0</v>
      </c>
      <c r="V38" s="16">
        <f>IFERROR(__xludf.DUMMYFUNCTION("""COMPUTED_VALUE"""),0.0)</f>
        <v>0</v>
      </c>
      <c r="W38" s="16">
        <f>IFERROR(__xludf.DUMMYFUNCTION("""COMPUTED_VALUE"""),0.0)</f>
        <v>0</v>
      </c>
      <c r="X38" s="16" t="b">
        <f>IFERROR(__xludf.DUMMYFUNCTION("""COMPUTED_VALUE"""),FALSE)</f>
        <v>0</v>
      </c>
      <c r="Y38" s="16"/>
      <c r="Z38" s="16"/>
    </row>
    <row r="39">
      <c r="A39" s="16" t="str">
        <f>IFERROR(__xludf.DUMMYFUNCTION("""COMPUTED_VALUE"""),"Caseglide")</f>
        <v>Caseglide</v>
      </c>
      <c r="B39" s="16" t="str">
        <f>IFERROR(__xludf.DUMMYFUNCTION("""COMPUTED_VALUE"""),"Growth")</f>
        <v>Growth</v>
      </c>
      <c r="C39" s="26" t="str">
        <f>IFERROR(__xludf.DUMMYFUNCTION("""COMPUTED_VALUE"""),"NAM")</f>
        <v>NAM</v>
      </c>
      <c r="D39" s="16" t="str">
        <f>IFERROR(__xludf.DUMMYFUNCTION("""COMPUTED_VALUE"""),"Shannon Spies")</f>
        <v>Shannon Spies</v>
      </c>
      <c r="E39" s="26" t="str">
        <f>IFERROR(__xludf.DUMMYFUNCTION("""COMPUTED_VALUE"""),"United States")</f>
        <v>United States</v>
      </c>
      <c r="F39" s="26" t="str">
        <f>IFERROR(__xludf.DUMMYFUNCTION("""COMPUTED_VALUE"""),"ClaimCenter")</f>
        <v>ClaimCenter</v>
      </c>
      <c r="G39" s="20">
        <f>IFERROR(__xludf.DUMMYFUNCTION("""COMPUTED_VALUE"""),45279.0)</f>
        <v>45279</v>
      </c>
      <c r="H39" s="20">
        <f>IFERROR(__xludf.DUMMYFUNCTION("""COMPUTED_VALUE"""),45279.0)</f>
        <v>45279</v>
      </c>
      <c r="I39" s="20">
        <f>IFERROR(__xludf.DUMMYFUNCTION("""COMPUTED_VALUE"""),45279.0)</f>
        <v>45279</v>
      </c>
      <c r="J39" s="16"/>
      <c r="K39" s="13">
        <f>IFERROR(__xludf.DUMMYFUNCTION("""COMPUTED_VALUE"""),45890.0)</f>
        <v>45890</v>
      </c>
      <c r="L39" s="16" t="str">
        <f>IFERROR(__xludf.DUMMYFUNCTION("""COMPUTED_VALUE"""),"Medium")</f>
        <v>Medium</v>
      </c>
      <c r="M39" s="26" t="str">
        <f>IFERROR(__xludf.DUMMYFUNCTION("""COMPUTED_VALUE"""),"PartnerConnect  Technology")</f>
        <v>PartnerConnect  Technology</v>
      </c>
      <c r="N39" s="16" t="str">
        <f>IFERROR(__xludf.DUMMYFUNCTION("""COMPUTED_VALUE"""),"FY23 - Q2")</f>
        <v>FY23 - Q2</v>
      </c>
      <c r="O39" s="16">
        <f>IFERROR(__xludf.DUMMYFUNCTION("""COMPUTED_VALUE"""),1.0)</f>
        <v>1</v>
      </c>
      <c r="P39" s="16">
        <f>IFERROR(__xludf.DUMMYFUNCTION("""COMPUTED_VALUE"""),1.0)</f>
        <v>1</v>
      </c>
      <c r="Q39" s="16">
        <f>IFERROR(__xludf.DUMMYFUNCTION("""COMPUTED_VALUE"""),0.0)</f>
        <v>0</v>
      </c>
      <c r="R39" s="16">
        <f>IFERROR(__xludf.DUMMYFUNCTION("""COMPUTED_VALUE"""),0.0)</f>
        <v>0</v>
      </c>
      <c r="S39" s="16">
        <f>IFERROR(__xludf.DUMMYFUNCTION("""COMPUTED_VALUE"""),3818.0)</f>
        <v>3818</v>
      </c>
      <c r="T39" s="16">
        <f>IFERROR(__xludf.DUMMYFUNCTION("""COMPUTED_VALUE"""),0.0)</f>
        <v>0</v>
      </c>
      <c r="U39" s="16">
        <f>IFERROR(__xludf.DUMMYFUNCTION("""COMPUTED_VALUE"""),0.0)</f>
        <v>0</v>
      </c>
      <c r="V39" s="16">
        <f>IFERROR(__xludf.DUMMYFUNCTION("""COMPUTED_VALUE"""),0.0)</f>
        <v>0</v>
      </c>
      <c r="W39" s="16">
        <f>IFERROR(__xludf.DUMMYFUNCTION("""COMPUTED_VALUE"""),0.0)</f>
        <v>0</v>
      </c>
      <c r="X39" s="16" t="b">
        <f>IFERROR(__xludf.DUMMYFUNCTION("""COMPUTED_VALUE"""),TRUE)</f>
        <v>1</v>
      </c>
      <c r="Y39" s="16"/>
      <c r="Z39" s="16"/>
    </row>
    <row r="40">
      <c r="A40" s="16" t="str">
        <f>IFERROR(__xludf.DUMMYFUNCTION("""COMPUTED_VALUE"""),"CCC Intelligent Solutions Inc")</f>
        <v>CCC Intelligent Solutions Inc</v>
      </c>
      <c r="B40" s="16" t="str">
        <f>IFERROR(__xludf.DUMMYFUNCTION("""COMPUTED_VALUE"""),"Growth")</f>
        <v>Growth</v>
      </c>
      <c r="C40" s="26" t="str">
        <f>IFERROR(__xludf.DUMMYFUNCTION("""COMPUTED_VALUE"""),"NAM")</f>
        <v>NAM</v>
      </c>
      <c r="D40" s="16" t="str">
        <f>IFERROR(__xludf.DUMMYFUNCTION("""COMPUTED_VALUE"""),"Kelly Clayton")</f>
        <v>Kelly Clayton</v>
      </c>
      <c r="E40" s="26" t="str">
        <f>IFERROR(__xludf.DUMMYFUNCTION("""COMPUTED_VALUE"""),"United States")</f>
        <v>United States</v>
      </c>
      <c r="F40" s="26" t="str">
        <f>IFERROR(__xludf.DUMMYFUNCTION("""COMPUTED_VALUE"""),"ClaimCenter")</f>
        <v>ClaimCenter</v>
      </c>
      <c r="G40" s="20">
        <f>IFERROR(__xludf.DUMMYFUNCTION("""COMPUTED_VALUE"""),44585.0)</f>
        <v>44585</v>
      </c>
      <c r="H40" s="20">
        <f>IFERROR(__xludf.DUMMYFUNCTION("""COMPUTED_VALUE"""),45314.0)</f>
        <v>45314</v>
      </c>
      <c r="I40" s="20">
        <f>IFERROR(__xludf.DUMMYFUNCTION("""COMPUTED_VALUE"""),44585.0)</f>
        <v>44585</v>
      </c>
      <c r="J40" s="16"/>
      <c r="K40" s="20">
        <f>IFERROR(__xludf.DUMMYFUNCTION("""COMPUTED_VALUE"""),44743.0)</f>
        <v>44743</v>
      </c>
      <c r="L40" s="16" t="str">
        <f>IFERROR(__xludf.DUMMYFUNCTION("""COMPUTED_VALUE"""),"High")</f>
        <v>High</v>
      </c>
      <c r="M40" s="26" t="str">
        <f>IFERROR(__xludf.DUMMYFUNCTION("""COMPUTED_VALUE"""),"PartnerConnect  Technology")</f>
        <v>PartnerConnect  Technology</v>
      </c>
      <c r="N40" s="16" t="str">
        <f>IFERROR(__xludf.DUMMYFUNCTION("""COMPUTED_VALUE"""),"FY22 - Q2")</f>
        <v>FY22 - Q2</v>
      </c>
      <c r="O40" s="16">
        <f>IFERROR(__xludf.DUMMYFUNCTION("""COMPUTED_VALUE"""),3.0)</f>
        <v>3</v>
      </c>
      <c r="P40" s="16">
        <f>IFERROR(__xludf.DUMMYFUNCTION("""COMPUTED_VALUE"""),3.0)</f>
        <v>3</v>
      </c>
      <c r="Q40" s="16">
        <f>IFERROR(__xludf.DUMMYFUNCTION("""COMPUTED_VALUE"""),67.0)</f>
        <v>67</v>
      </c>
      <c r="R40" s="16">
        <f>IFERROR(__xludf.DUMMYFUNCTION("""COMPUTED_VALUE"""),28.0)</f>
        <v>28</v>
      </c>
      <c r="S40" s="16">
        <f>IFERROR(__xludf.DUMMYFUNCTION("""COMPUTED_VALUE"""),21277.0)</f>
        <v>21277</v>
      </c>
      <c r="T40" s="16">
        <f>IFERROR(__xludf.DUMMYFUNCTION("""COMPUTED_VALUE"""),33.0)</f>
        <v>33</v>
      </c>
      <c r="U40" s="16">
        <f>IFERROR(__xludf.DUMMYFUNCTION("""COMPUTED_VALUE"""),7.0)</f>
        <v>7</v>
      </c>
      <c r="V40" s="16">
        <f>IFERROR(__xludf.DUMMYFUNCTION("""COMPUTED_VALUE"""),7.0)</f>
        <v>7</v>
      </c>
      <c r="W40" s="16">
        <f>IFERROR(__xludf.DUMMYFUNCTION("""COMPUTED_VALUE"""),0.0)</f>
        <v>0</v>
      </c>
      <c r="X40" s="16" t="b">
        <f>IFERROR(__xludf.DUMMYFUNCTION("""COMPUTED_VALUE"""),FALSE)</f>
        <v>0</v>
      </c>
      <c r="Y40" s="16"/>
      <c r="Z40" s="16"/>
    </row>
    <row r="41">
      <c r="A41" s="16" t="str">
        <f>IFERROR(__xludf.DUMMYFUNCTION("""COMPUTED_VALUE"""),"CCG IQ")</f>
        <v>CCG IQ</v>
      </c>
      <c r="B41" s="16" t="str">
        <f>IFERROR(__xludf.DUMMYFUNCTION("""COMPUTED_VALUE"""),"Growth")</f>
        <v>Growth</v>
      </c>
      <c r="C41" s="26" t="str">
        <f>IFERROR(__xludf.DUMMYFUNCTION("""COMPUTED_VALUE"""),"NAM")</f>
        <v>NAM</v>
      </c>
      <c r="D41" s="16" t="str">
        <f>IFERROR(__xludf.DUMMYFUNCTION("""COMPUTED_VALUE"""),"Aaron Shaw")</f>
        <v>Aaron Shaw</v>
      </c>
      <c r="E41" s="26" t="str">
        <f>IFERROR(__xludf.DUMMYFUNCTION("""COMPUTED_VALUE"""),"United States")</f>
        <v>United States</v>
      </c>
      <c r="F41" s="26" t="str">
        <f>IFERROR(__xludf.DUMMYFUNCTION("""COMPUTED_VALUE"""),"ClaimCenter")</f>
        <v>ClaimCenter</v>
      </c>
      <c r="G41" s="20">
        <f>IFERROR(__xludf.DUMMYFUNCTION("""COMPUTED_VALUE"""),44111.0)</f>
        <v>44111</v>
      </c>
      <c r="H41" s="20">
        <f>IFERROR(__xludf.DUMMYFUNCTION("""COMPUTED_VALUE"""),44841.0)</f>
        <v>44841</v>
      </c>
      <c r="I41" s="13">
        <f>IFERROR(__xludf.DUMMYFUNCTION("""COMPUTED_VALUE"""),44469.0)</f>
        <v>44469</v>
      </c>
      <c r="J41" s="16"/>
      <c r="K41" s="13">
        <f>IFERROR(__xludf.DUMMYFUNCTION("""COMPUTED_VALUE"""),44294.0)</f>
        <v>44294</v>
      </c>
      <c r="L41" s="16" t="str">
        <f>IFERROR(__xludf.DUMMYFUNCTION("""COMPUTED_VALUE"""),"Low")</f>
        <v>Low</v>
      </c>
      <c r="M41" s="26" t="str">
        <f>IFERROR(__xludf.DUMMYFUNCTION("""COMPUTED_VALUE"""),"PartnerConnect  Technology")</f>
        <v>PartnerConnect  Technology</v>
      </c>
      <c r="N41" s="16" t="str">
        <f>IFERROR(__xludf.DUMMYFUNCTION("""COMPUTED_VALUE"""),"FY20 - Q1")</f>
        <v>FY20 - Q1</v>
      </c>
      <c r="O41" s="16">
        <f>IFERROR(__xludf.DUMMYFUNCTION("""COMPUTED_VALUE"""),0.0)</f>
        <v>0</v>
      </c>
      <c r="P41" s="16">
        <f>IFERROR(__xludf.DUMMYFUNCTION("""COMPUTED_VALUE"""),0.0)</f>
        <v>0</v>
      </c>
      <c r="Q41" s="16">
        <f>IFERROR(__xludf.DUMMYFUNCTION("""COMPUTED_VALUE"""),0.0)</f>
        <v>0</v>
      </c>
      <c r="R41" s="16">
        <f>IFERROR(__xludf.DUMMYFUNCTION("""COMPUTED_VALUE"""),0.0)</f>
        <v>0</v>
      </c>
      <c r="S41" s="16">
        <f>IFERROR(__xludf.DUMMYFUNCTION("""COMPUTED_VALUE"""),0.0)</f>
        <v>0</v>
      </c>
      <c r="T41" s="16">
        <f>IFERROR(__xludf.DUMMYFUNCTION("""COMPUTED_VALUE"""),0.0)</f>
        <v>0</v>
      </c>
      <c r="U41" s="16">
        <f>IFERROR(__xludf.DUMMYFUNCTION("""COMPUTED_VALUE"""),0.0)</f>
        <v>0</v>
      </c>
      <c r="V41" s="16">
        <f>IFERROR(__xludf.DUMMYFUNCTION("""COMPUTED_VALUE"""),0.0)</f>
        <v>0</v>
      </c>
      <c r="W41" s="16">
        <f>IFERROR(__xludf.DUMMYFUNCTION("""COMPUTED_VALUE"""),0.0)</f>
        <v>0</v>
      </c>
      <c r="X41" s="16" t="b">
        <f>IFERROR(__xludf.DUMMYFUNCTION("""COMPUTED_VALUE"""),FALSE)</f>
        <v>0</v>
      </c>
      <c r="Y41" s="16"/>
      <c r="Z41" s="16"/>
    </row>
    <row r="42">
      <c r="A42" s="16" t="str">
        <f>IFERROR(__xludf.DUMMYFUNCTION("""COMPUTED_VALUE"""),"Celonis, Inc.")</f>
        <v>Celonis, Inc.</v>
      </c>
      <c r="B42" s="16" t="str">
        <f>IFERROR(__xludf.DUMMYFUNCTION("""COMPUTED_VALUE"""),"Growth")</f>
        <v>Growth</v>
      </c>
      <c r="C42" s="26" t="str">
        <f>IFERROR(__xludf.DUMMYFUNCTION("""COMPUTED_VALUE"""),"APAC, EMEA, NAM, LatAm")</f>
        <v>APAC, EMEA, NAM, LatAm</v>
      </c>
      <c r="D42" s="16" t="str">
        <f>IFERROR(__xludf.DUMMYFUNCTION("""COMPUTED_VALUE"""),"Fatima Aoulagha-Bannou")</f>
        <v>Fatima Aoulagha-Bannou</v>
      </c>
      <c r="E42" s="26" t="str">
        <f>IFERROR(__xludf.DUMMYFUNCTION("""COMPUTED_VALUE"""),"Australia New Zealand, Austria, Benelux, Canada, Croatia, Czech Republic, Denmark, Finland, France, Germany, Hungary, India, Ireland, Israel, Italy, Norway, Poland, Slovakia, South America, Spain, Sweden, Switzerland, Turkey, UK, United States, Japan, Sou"&amp;"th Africa")</f>
        <v>Australia New Zealand, Austria, Benelux, Canada, Croatia, Czech Republic, Denmark, Finland, France, Germany, Hungary, India, Ireland, Israel, Italy, Norway, Poland, Slovakia, South America, Spain, Sweden, Switzerland, Turkey, UK, United States, Japan, South Africa</v>
      </c>
      <c r="F42" s="26" t="str">
        <f>IFERROR(__xludf.DUMMYFUNCTION("""COMPUTED_VALUE"""),"Cloud Data Access (CDA)")</f>
        <v>Cloud Data Access (CDA)</v>
      </c>
      <c r="G42" s="20">
        <f>IFERROR(__xludf.DUMMYFUNCTION("""COMPUTED_VALUE"""),44477.0)</f>
        <v>44477</v>
      </c>
      <c r="H42" s="13">
        <f>IFERROR(__xludf.DUMMYFUNCTION("""COMPUTED_VALUE"""),45206.0)</f>
        <v>45206</v>
      </c>
      <c r="I42" s="16"/>
      <c r="J42" s="16"/>
      <c r="K42" s="16"/>
      <c r="L42" s="16" t="str">
        <f>IFERROR(__xludf.DUMMYFUNCTION("""COMPUTED_VALUE"""),"Medium")</f>
        <v>Medium</v>
      </c>
      <c r="M42" s="26" t="str">
        <f>IFERROR(__xludf.DUMMYFUNCTION("""COMPUTED_VALUE"""),"PartnerConnect  Technology")</f>
        <v>PartnerConnect  Technology</v>
      </c>
      <c r="N42" s="16" t="str">
        <f>IFERROR(__xludf.DUMMYFUNCTION("""COMPUTED_VALUE"""),"FY21 - Q1")</f>
        <v>FY21 - Q1</v>
      </c>
      <c r="O42" s="16">
        <f>IFERROR(__xludf.DUMMYFUNCTION("""COMPUTED_VALUE"""),0.0)</f>
        <v>0</v>
      </c>
      <c r="P42" s="16">
        <f>IFERROR(__xludf.DUMMYFUNCTION("""COMPUTED_VALUE"""),0.0)</f>
        <v>0</v>
      </c>
      <c r="Q42" s="16">
        <f>IFERROR(__xludf.DUMMYFUNCTION("""COMPUTED_VALUE"""),0.0)</f>
        <v>0</v>
      </c>
      <c r="R42" s="16">
        <f>IFERROR(__xludf.DUMMYFUNCTION("""COMPUTED_VALUE"""),0.0)</f>
        <v>0</v>
      </c>
      <c r="S42" s="16">
        <f>IFERROR(__xludf.DUMMYFUNCTION("""COMPUTED_VALUE"""),0.0)</f>
        <v>0</v>
      </c>
      <c r="T42" s="16">
        <f>IFERROR(__xludf.DUMMYFUNCTION("""COMPUTED_VALUE"""),0.0)</f>
        <v>0</v>
      </c>
      <c r="U42" s="16">
        <f>IFERROR(__xludf.DUMMYFUNCTION("""COMPUTED_VALUE"""),0.0)</f>
        <v>0</v>
      </c>
      <c r="V42" s="16">
        <f>IFERROR(__xludf.DUMMYFUNCTION("""COMPUTED_VALUE"""),0.0)</f>
        <v>0</v>
      </c>
      <c r="W42" s="16">
        <f>IFERROR(__xludf.DUMMYFUNCTION("""COMPUTED_VALUE"""),0.0)</f>
        <v>0</v>
      </c>
      <c r="X42" s="16" t="b">
        <f>IFERROR(__xludf.DUMMYFUNCTION("""COMPUTED_VALUE"""),FALSE)</f>
        <v>0</v>
      </c>
      <c r="Y42" s="16"/>
      <c r="Z42" s="16"/>
    </row>
    <row r="43">
      <c r="A43" s="16" t="str">
        <f>IFERROR(__xludf.DUMMYFUNCTION("""COMPUTED_VALUE"""),"Cenata")</f>
        <v>Cenata</v>
      </c>
      <c r="B43" s="16" t="str">
        <f>IFERROR(__xludf.DUMMYFUNCTION("""COMPUTED_VALUE"""),"Growth")</f>
        <v>Growth</v>
      </c>
      <c r="C43" s="26" t="str">
        <f>IFERROR(__xludf.DUMMYFUNCTION("""COMPUTED_VALUE"""),"APAC, EMEA, NAM, LatAm")</f>
        <v>APAC, EMEA, NAM, LatAm</v>
      </c>
      <c r="D43" s="16" t="str">
        <f>IFERROR(__xludf.DUMMYFUNCTION("""COMPUTED_VALUE"""),"Fatima Aoulagha-Bannou")</f>
        <v>Fatima Aoulagha-Bannou</v>
      </c>
      <c r="E43" s="26" t="str">
        <f>IFERROR(__xludf.DUMMYFUNCTION("""COMPUTED_VALUE"""),"UK, United States")</f>
        <v>UK, United States</v>
      </c>
      <c r="F43" s="26" t="str">
        <f>IFERROR(__xludf.DUMMYFUNCTION("""COMPUTED_VALUE"""),"PolicyCenter")</f>
        <v>PolicyCenter</v>
      </c>
      <c r="G43" s="20">
        <f>IFERROR(__xludf.DUMMYFUNCTION("""COMPUTED_VALUE"""),45689.0)</f>
        <v>45689</v>
      </c>
      <c r="H43" s="16"/>
      <c r="I43" s="16"/>
      <c r="J43" s="16"/>
      <c r="K43" s="16"/>
      <c r="L43" s="16" t="str">
        <f>IFERROR(__xludf.DUMMYFUNCTION("""COMPUTED_VALUE"""),"Medium")</f>
        <v>Medium</v>
      </c>
      <c r="M43" s="26" t="str">
        <f>IFERROR(__xludf.DUMMYFUNCTION("""COMPUTED_VALUE"""),"PartnerConnect  Technology")</f>
        <v>PartnerConnect  Technology</v>
      </c>
      <c r="N43" s="16" t="str">
        <f>IFERROR(__xludf.DUMMYFUNCTION("""COMPUTED_VALUE"""),"FY25 - Q2")</f>
        <v>FY25 - Q2</v>
      </c>
      <c r="O43" s="16">
        <f>IFERROR(__xludf.DUMMYFUNCTION("""COMPUTED_VALUE"""),0.0)</f>
        <v>0</v>
      </c>
      <c r="P43" s="16">
        <f>IFERROR(__xludf.DUMMYFUNCTION("""COMPUTED_VALUE"""),0.0)</f>
        <v>0</v>
      </c>
      <c r="Q43" s="16">
        <f>IFERROR(__xludf.DUMMYFUNCTION("""COMPUTED_VALUE"""),0.0)</f>
        <v>0</v>
      </c>
      <c r="R43" s="16">
        <f>IFERROR(__xludf.DUMMYFUNCTION("""COMPUTED_VALUE"""),0.0)</f>
        <v>0</v>
      </c>
      <c r="S43" s="16">
        <f>IFERROR(__xludf.DUMMYFUNCTION("""COMPUTED_VALUE"""),0.0)</f>
        <v>0</v>
      </c>
      <c r="T43" s="16">
        <f>IFERROR(__xludf.DUMMYFUNCTION("""COMPUTED_VALUE"""),0.0)</f>
        <v>0</v>
      </c>
      <c r="U43" s="16">
        <f>IFERROR(__xludf.DUMMYFUNCTION("""COMPUTED_VALUE"""),0.0)</f>
        <v>0</v>
      </c>
      <c r="V43" s="16">
        <f>IFERROR(__xludf.DUMMYFUNCTION("""COMPUTED_VALUE"""),0.0)</f>
        <v>0</v>
      </c>
      <c r="W43" s="16">
        <f>IFERROR(__xludf.DUMMYFUNCTION("""COMPUTED_VALUE"""),37.0)</f>
        <v>37</v>
      </c>
      <c r="X43" s="16" t="b">
        <f>IFERROR(__xludf.DUMMYFUNCTION("""COMPUTED_VALUE"""),FALSE)</f>
        <v>0</v>
      </c>
      <c r="Y43" s="16"/>
      <c r="Z43" s="16"/>
    </row>
    <row r="44">
      <c r="A44" s="16" t="str">
        <f>IFERROR(__xludf.DUMMYFUNCTION("""COMPUTED_VALUE"""),"Centre for Study of Insurance Operations")</f>
        <v>Centre for Study of Insurance Operations</v>
      </c>
      <c r="B44" s="16" t="str">
        <f>IFERROR(__xludf.DUMMYFUNCTION("""COMPUTED_VALUE"""),"Growth")</f>
        <v>Growth</v>
      </c>
      <c r="C44" s="26" t="str">
        <f>IFERROR(__xludf.DUMMYFUNCTION("""COMPUTED_VALUE"""),"NAM")</f>
        <v>NAM</v>
      </c>
      <c r="D44" s="16" t="str">
        <f>IFERROR(__xludf.DUMMYFUNCTION("""COMPUTED_VALUE"""),"Eric Apse")</f>
        <v>Eric Apse</v>
      </c>
      <c r="E44" s="26" t="str">
        <f>IFERROR(__xludf.DUMMYFUNCTION("""COMPUTED_VALUE"""),"Canada")</f>
        <v>Canada</v>
      </c>
      <c r="F44" s="26" t="str">
        <f>IFERROR(__xludf.DUMMYFUNCTION("""COMPUTED_VALUE"""),"ClaimCenter, PolicyCenter, BillingCenter")</f>
        <v>ClaimCenter, PolicyCenter, BillingCenter</v>
      </c>
      <c r="G44" s="20">
        <f>IFERROR(__xludf.DUMMYFUNCTION("""COMPUTED_VALUE"""),45658.0)</f>
        <v>45658</v>
      </c>
      <c r="H44" s="16"/>
      <c r="I44" s="20"/>
      <c r="J44" s="16"/>
      <c r="K44" s="13">
        <f>IFERROR(__xludf.DUMMYFUNCTION("""COMPUTED_VALUE"""),45695.0)</f>
        <v>45695</v>
      </c>
      <c r="L44" s="16" t="str">
        <f>IFERROR(__xludf.DUMMYFUNCTION("""COMPUTED_VALUE"""),"Medium")</f>
        <v>Medium</v>
      </c>
      <c r="M44" s="26" t="str">
        <f>IFERROR(__xludf.DUMMYFUNCTION("""COMPUTED_VALUE"""),"PartnerConnect  Technology")</f>
        <v>PartnerConnect  Technology</v>
      </c>
      <c r="N44" s="16" t="str">
        <f>IFERROR(__xludf.DUMMYFUNCTION("""COMPUTED_VALUE"""),"FY25 - Q2")</f>
        <v>FY25 - Q2</v>
      </c>
      <c r="O44" s="16">
        <f>IFERROR(__xludf.DUMMYFUNCTION("""COMPUTED_VALUE"""),1.0)</f>
        <v>1</v>
      </c>
      <c r="P44" s="16">
        <f>IFERROR(__xludf.DUMMYFUNCTION("""COMPUTED_VALUE"""),1.0)</f>
        <v>1</v>
      </c>
      <c r="Q44" s="16">
        <f>IFERROR(__xludf.DUMMYFUNCTION("""COMPUTED_VALUE"""),37.0)</f>
        <v>37</v>
      </c>
      <c r="R44" s="16">
        <f>IFERROR(__xludf.DUMMYFUNCTION("""COMPUTED_VALUE"""),37.0)</f>
        <v>37</v>
      </c>
      <c r="S44" s="16">
        <f>IFERROR(__xludf.DUMMYFUNCTION("""COMPUTED_VALUE"""),2418.0)</f>
        <v>2418</v>
      </c>
      <c r="T44" s="16">
        <f>IFERROR(__xludf.DUMMYFUNCTION("""COMPUTED_VALUE"""),18.0)</f>
        <v>18</v>
      </c>
      <c r="U44" s="16">
        <f>IFERROR(__xludf.DUMMYFUNCTION("""COMPUTED_VALUE"""),37.0)</f>
        <v>37</v>
      </c>
      <c r="V44" s="16">
        <f>IFERROR(__xludf.DUMMYFUNCTION("""COMPUTED_VALUE"""),37.0)</f>
        <v>37</v>
      </c>
      <c r="W44" s="16">
        <f>IFERROR(__xludf.DUMMYFUNCTION("""COMPUTED_VALUE"""),0.0)</f>
        <v>0</v>
      </c>
      <c r="X44" s="16" t="b">
        <f>IFERROR(__xludf.DUMMYFUNCTION("""COMPUTED_VALUE"""),FALSE)</f>
        <v>0</v>
      </c>
      <c r="Y44" s="16"/>
      <c r="Z44" s="16"/>
    </row>
    <row r="45">
      <c r="A45" s="16" t="str">
        <f>IFERROR(__xludf.DUMMYFUNCTION("""COMPUTED_VALUE"""),"CGI Information Systems and Management Consultants Inc.")</f>
        <v>CGI Information Systems and Management Consultants Inc.</v>
      </c>
      <c r="B45" s="16" t="str">
        <f>IFERROR(__xludf.DUMMYFUNCTION("""COMPUTED_VALUE"""),"Select")</f>
        <v>Select</v>
      </c>
      <c r="C45" s="26" t="str">
        <f>IFERROR(__xludf.DUMMYFUNCTION("""COMPUTED_VALUE"""),"EMEA, NAM")</f>
        <v>EMEA, NAM</v>
      </c>
      <c r="D45" s="16" t="str">
        <f>IFERROR(__xludf.DUMMYFUNCTION("""COMPUTED_VALUE"""),"J Giles")</f>
        <v>J Giles</v>
      </c>
      <c r="E45" s="26" t="str">
        <f>IFERROR(__xludf.DUMMYFUNCTION("""COMPUTED_VALUE"""),"Canada")</f>
        <v>Canada</v>
      </c>
      <c r="F45" s="26"/>
      <c r="G45" s="20">
        <f>IFERROR(__xludf.DUMMYFUNCTION("""COMPUTED_VALUE"""),41930.0)</f>
        <v>41930</v>
      </c>
      <c r="H45" s="20">
        <f>IFERROR(__xludf.DUMMYFUNCTION("""COMPUTED_VALUE"""),42661.0)</f>
        <v>42661</v>
      </c>
      <c r="I45" s="20"/>
      <c r="J45" s="16"/>
      <c r="K45" s="20"/>
      <c r="L45" s="16"/>
      <c r="M45" s="26" t="str">
        <f>IFERROR(__xludf.DUMMYFUNCTION("""COMPUTED_VALUE"""),"PartnerConnect  Consulting")</f>
        <v>PartnerConnect  Consulting</v>
      </c>
      <c r="N45" s="16" t="str">
        <f>IFERROR(__xludf.DUMMYFUNCTION("""COMPUTED_VALUE"""),"FY14 - Q1")</f>
        <v>FY14 - Q1</v>
      </c>
      <c r="O45" s="16">
        <f>IFERROR(__xludf.DUMMYFUNCTION("""COMPUTED_VALUE"""),4.0)</f>
        <v>4</v>
      </c>
      <c r="P45" s="16">
        <f>IFERROR(__xludf.DUMMYFUNCTION("""COMPUTED_VALUE"""),4.0)</f>
        <v>4</v>
      </c>
      <c r="Q45" s="16">
        <f>IFERROR(__xludf.DUMMYFUNCTION("""COMPUTED_VALUE"""),4.0)</f>
        <v>4</v>
      </c>
      <c r="R45" s="16">
        <f>IFERROR(__xludf.DUMMYFUNCTION("""COMPUTED_VALUE"""),4.0)</f>
        <v>4</v>
      </c>
      <c r="S45" s="16">
        <f>IFERROR(__xludf.DUMMYFUNCTION("""COMPUTED_VALUE"""),24146.0)</f>
        <v>24146</v>
      </c>
      <c r="T45" s="16">
        <f>IFERROR(__xludf.DUMMYFUNCTION("""COMPUTED_VALUE"""),4.0)</f>
        <v>4</v>
      </c>
      <c r="U45" s="16">
        <f>IFERROR(__xludf.DUMMYFUNCTION("""COMPUTED_VALUE"""),4.0)</f>
        <v>4</v>
      </c>
      <c r="V45" s="16">
        <f>IFERROR(__xludf.DUMMYFUNCTION("""COMPUTED_VALUE"""),4.0)</f>
        <v>4</v>
      </c>
      <c r="W45" s="16">
        <f>IFERROR(__xludf.DUMMYFUNCTION("""COMPUTED_VALUE"""),0.0)</f>
        <v>0</v>
      </c>
      <c r="X45" s="16" t="b">
        <f>IFERROR(__xludf.DUMMYFUNCTION("""COMPUTED_VALUE"""),FALSE)</f>
        <v>0</v>
      </c>
      <c r="Y45" s="16"/>
      <c r="Z45" s="16"/>
    </row>
    <row r="46">
      <c r="A46" s="27" t="str">
        <f>IFERROR(__xludf.DUMMYFUNCTION("""COMPUTED_VALUE"""),"Charlee.AI")</f>
        <v>Charlee.AI</v>
      </c>
      <c r="B46" s="16" t="str">
        <f>IFERROR(__xludf.DUMMYFUNCTION("""COMPUTED_VALUE"""),"Growth")</f>
        <v>Growth</v>
      </c>
      <c r="C46" s="26" t="str">
        <f>IFERROR(__xludf.DUMMYFUNCTION("""COMPUTED_VALUE"""),"APAC, EMEA, NAM, LatAm")</f>
        <v>APAC, EMEA, NAM, LatAm</v>
      </c>
      <c r="D46" s="16" t="str">
        <f>IFERROR(__xludf.DUMMYFUNCTION("""COMPUTED_VALUE"""),"Shannon Spies")</f>
        <v>Shannon Spies</v>
      </c>
      <c r="E46" s="26" t="str">
        <f>IFERROR(__xludf.DUMMYFUNCTION("""COMPUTED_VALUE"""),"United States")</f>
        <v>United States</v>
      </c>
      <c r="F46" s="26" t="str">
        <f>IFERROR(__xludf.DUMMYFUNCTION("""COMPUTED_VALUE"""),"ClaimCenter")</f>
        <v>ClaimCenter</v>
      </c>
      <c r="G46" s="20">
        <f>IFERROR(__xludf.DUMMYFUNCTION("""COMPUTED_VALUE"""),45471.0)</f>
        <v>45471</v>
      </c>
      <c r="H46" s="20"/>
      <c r="I46" s="20">
        <f>IFERROR(__xludf.DUMMYFUNCTION("""COMPUTED_VALUE"""),45471.0)</f>
        <v>45471</v>
      </c>
      <c r="J46" s="16"/>
      <c r="K46" s="20"/>
      <c r="L46" s="16" t="str">
        <f>IFERROR(__xludf.DUMMYFUNCTION("""COMPUTED_VALUE"""),"Medium")</f>
        <v>Medium</v>
      </c>
      <c r="M46" s="26" t="str">
        <f>IFERROR(__xludf.DUMMYFUNCTION("""COMPUTED_VALUE"""),"PartnerConnect  Technology")</f>
        <v>PartnerConnect  Technology</v>
      </c>
      <c r="N46" s="16" t="str">
        <f>IFERROR(__xludf.DUMMYFUNCTION("""COMPUTED_VALUE"""),"FY24 - Q3")</f>
        <v>FY24 - Q3</v>
      </c>
      <c r="O46" s="16">
        <f>IFERROR(__xludf.DUMMYFUNCTION("""COMPUTED_VALUE"""),0.0)</f>
        <v>0</v>
      </c>
      <c r="P46" s="16">
        <f>IFERROR(__xludf.DUMMYFUNCTION("""COMPUTED_VALUE"""),0.0)</f>
        <v>0</v>
      </c>
      <c r="Q46" s="16">
        <f>IFERROR(__xludf.DUMMYFUNCTION("""COMPUTED_VALUE"""),0.0)</f>
        <v>0</v>
      </c>
      <c r="R46" s="16">
        <f>IFERROR(__xludf.DUMMYFUNCTION("""COMPUTED_VALUE"""),0.0)</f>
        <v>0</v>
      </c>
      <c r="S46" s="16">
        <f>IFERROR(__xludf.DUMMYFUNCTION("""COMPUTED_VALUE"""),0.0)</f>
        <v>0</v>
      </c>
      <c r="T46" s="16">
        <f>IFERROR(__xludf.DUMMYFUNCTION("""COMPUTED_VALUE"""),0.0)</f>
        <v>0</v>
      </c>
      <c r="U46" s="16">
        <f>IFERROR(__xludf.DUMMYFUNCTION("""COMPUTED_VALUE"""),0.0)</f>
        <v>0</v>
      </c>
      <c r="V46" s="16">
        <f>IFERROR(__xludf.DUMMYFUNCTION("""COMPUTED_VALUE"""),0.0)</f>
        <v>0</v>
      </c>
      <c r="W46" s="16">
        <f>IFERROR(__xludf.DUMMYFUNCTION("""COMPUTED_VALUE"""),0.0)</f>
        <v>0</v>
      </c>
      <c r="X46" s="16" t="b">
        <f>IFERROR(__xludf.DUMMYFUNCTION("""COMPUTED_VALUE"""),FALSE)</f>
        <v>0</v>
      </c>
      <c r="Y46" s="16"/>
      <c r="Z46" s="16"/>
    </row>
    <row r="47">
      <c r="A47" s="16" t="str">
        <f>IFERROR(__xludf.DUMMYFUNCTION("""COMPUTED_VALUE"""),"Chrp Technologies Inc")</f>
        <v>Chrp Technologies Inc</v>
      </c>
      <c r="B47" s="16" t="str">
        <f>IFERROR(__xludf.DUMMYFUNCTION("""COMPUTED_VALUE"""),"Growth")</f>
        <v>Growth</v>
      </c>
      <c r="C47" s="26" t="str">
        <f>IFERROR(__xludf.DUMMYFUNCTION("""COMPUTED_VALUE"""),"NAM")</f>
        <v>NAM</v>
      </c>
      <c r="D47" s="16" t="str">
        <f>IFERROR(__xludf.DUMMYFUNCTION("""COMPUTED_VALUE"""),"Aaron Shaw")</f>
        <v>Aaron Shaw</v>
      </c>
      <c r="E47" s="26" t="str">
        <f>IFERROR(__xludf.DUMMYFUNCTION("""COMPUTED_VALUE"""),"United States")</f>
        <v>United States</v>
      </c>
      <c r="F47" s="26" t="str">
        <f>IFERROR(__xludf.DUMMYFUNCTION("""COMPUTED_VALUE"""),"PolicyCenter")</f>
        <v>PolicyCenter</v>
      </c>
      <c r="G47" s="20">
        <f>IFERROR(__xludf.DUMMYFUNCTION("""COMPUTED_VALUE"""),44774.0)</f>
        <v>44774</v>
      </c>
      <c r="H47" s="13">
        <f>IFERROR(__xludf.DUMMYFUNCTION("""COMPUTED_VALUE"""),45505.0)</f>
        <v>45505</v>
      </c>
      <c r="I47" s="20">
        <f>IFERROR(__xludf.DUMMYFUNCTION("""COMPUTED_VALUE"""),44774.0)</f>
        <v>44774</v>
      </c>
      <c r="J47" s="16"/>
      <c r="K47" s="13">
        <f>IFERROR(__xludf.DUMMYFUNCTION("""COMPUTED_VALUE"""),45187.0)</f>
        <v>45187</v>
      </c>
      <c r="L47" s="16" t="str">
        <f>IFERROR(__xludf.DUMMYFUNCTION("""COMPUTED_VALUE"""),"Low")</f>
        <v>Low</v>
      </c>
      <c r="M47" s="26" t="str">
        <f>IFERROR(__xludf.DUMMYFUNCTION("""COMPUTED_VALUE"""),"PartnerConnect  Technology")</f>
        <v>PartnerConnect  Technology</v>
      </c>
      <c r="N47" s="16" t="str">
        <f>IFERROR(__xludf.DUMMYFUNCTION("""COMPUTED_VALUE"""),"FY22 - Q1")</f>
        <v>FY22 - Q1</v>
      </c>
      <c r="O47" s="16">
        <f>IFERROR(__xludf.DUMMYFUNCTION("""COMPUTED_VALUE"""),1.0)</f>
        <v>1</v>
      </c>
      <c r="P47" s="16">
        <f>IFERROR(__xludf.DUMMYFUNCTION("""COMPUTED_VALUE"""),1.0)</f>
        <v>1</v>
      </c>
      <c r="Q47" s="16">
        <f>IFERROR(__xludf.DUMMYFUNCTION("""COMPUTED_VALUE"""),7.0)</f>
        <v>7</v>
      </c>
      <c r="R47" s="16">
        <f>IFERROR(__xludf.DUMMYFUNCTION("""COMPUTED_VALUE"""),4.0)</f>
        <v>4</v>
      </c>
      <c r="S47" s="16">
        <f>IFERROR(__xludf.DUMMYFUNCTION("""COMPUTED_VALUE"""),17425.0)</f>
        <v>17425</v>
      </c>
      <c r="T47" s="16">
        <f>IFERROR(__xludf.DUMMYFUNCTION("""COMPUTED_VALUE"""),4.0)</f>
        <v>4</v>
      </c>
      <c r="U47" s="16">
        <f>IFERROR(__xludf.DUMMYFUNCTION("""COMPUTED_VALUE"""),0.0)</f>
        <v>0</v>
      </c>
      <c r="V47" s="16">
        <f>IFERROR(__xludf.DUMMYFUNCTION("""COMPUTED_VALUE"""),0.0)</f>
        <v>0</v>
      </c>
      <c r="W47" s="16">
        <f>IFERROR(__xludf.DUMMYFUNCTION("""COMPUTED_VALUE"""),38.0)</f>
        <v>38</v>
      </c>
      <c r="X47" s="16" t="b">
        <f>IFERROR(__xludf.DUMMYFUNCTION("""COMPUTED_VALUE"""),TRUE)</f>
        <v>1</v>
      </c>
      <c r="Y47" s="16"/>
      <c r="Z47" s="16"/>
    </row>
    <row r="48">
      <c r="A48" s="16" t="str">
        <f>IFERROR(__xludf.DUMMYFUNCTION("""COMPUTED_VALUE"""),"Claimatic")</f>
        <v>Claimatic</v>
      </c>
      <c r="B48" s="16" t="str">
        <f>IFERROR(__xludf.DUMMYFUNCTION("""COMPUTED_VALUE"""),"Growth")</f>
        <v>Growth</v>
      </c>
      <c r="C48" s="26" t="str">
        <f>IFERROR(__xludf.DUMMYFUNCTION("""COMPUTED_VALUE"""),"NAM")</f>
        <v>NAM</v>
      </c>
      <c r="D48" s="16" t="str">
        <f>IFERROR(__xludf.DUMMYFUNCTION("""COMPUTED_VALUE"""),"Rod Gowin")</f>
        <v>Rod Gowin</v>
      </c>
      <c r="E48" s="26" t="str">
        <f>IFERROR(__xludf.DUMMYFUNCTION("""COMPUTED_VALUE"""),"United States")</f>
        <v>United States</v>
      </c>
      <c r="F48" s="26" t="str">
        <f>IFERROR(__xludf.DUMMYFUNCTION("""COMPUTED_VALUE"""),"ClaimCenter")</f>
        <v>ClaimCenter</v>
      </c>
      <c r="G48" s="20">
        <f>IFERROR(__xludf.DUMMYFUNCTION("""COMPUTED_VALUE"""),44658.0)</f>
        <v>44658</v>
      </c>
      <c r="H48" s="20">
        <f>IFERROR(__xludf.DUMMYFUNCTION("""COMPUTED_VALUE"""),45389.0)</f>
        <v>45389</v>
      </c>
      <c r="I48" s="20">
        <f>IFERROR(__xludf.DUMMYFUNCTION("""COMPUTED_VALUE"""),44956.0)</f>
        <v>44956</v>
      </c>
      <c r="J48" s="16"/>
      <c r="K48" s="20">
        <f>IFERROR(__xludf.DUMMYFUNCTION("""COMPUTED_VALUE"""),45363.0)</f>
        <v>45363</v>
      </c>
      <c r="L48" s="16" t="str">
        <f>IFERROR(__xludf.DUMMYFUNCTION("""COMPUTED_VALUE"""),"Medium")</f>
        <v>Medium</v>
      </c>
      <c r="M48" s="26" t="str">
        <f>IFERROR(__xludf.DUMMYFUNCTION("""COMPUTED_VALUE"""),"PartnerConnect  Technology")</f>
        <v>PartnerConnect  Technology</v>
      </c>
      <c r="N48" s="16" t="str">
        <f>IFERROR(__xludf.DUMMYFUNCTION("""COMPUTED_VALUE"""),"FY22 - Q3")</f>
        <v>FY22 - Q3</v>
      </c>
      <c r="O48" s="16">
        <f>IFERROR(__xludf.DUMMYFUNCTION("""COMPUTED_VALUE"""),1.0)</f>
        <v>1</v>
      </c>
      <c r="P48" s="16">
        <f>IFERROR(__xludf.DUMMYFUNCTION("""COMPUTED_VALUE"""),1.0)</f>
        <v>1</v>
      </c>
      <c r="Q48" s="16">
        <f>IFERROR(__xludf.DUMMYFUNCTION("""COMPUTED_VALUE"""),64.0)</f>
        <v>64</v>
      </c>
      <c r="R48" s="16">
        <f>IFERROR(__xludf.DUMMYFUNCTION("""COMPUTED_VALUE"""),44.0)</f>
        <v>44</v>
      </c>
      <c r="S48" s="16">
        <f>IFERROR(__xludf.DUMMYFUNCTION("""COMPUTED_VALUE"""),19177.0)</f>
        <v>19177</v>
      </c>
      <c r="T48" s="16">
        <f>IFERROR(__xludf.DUMMYFUNCTION("""COMPUTED_VALUE"""),21.0)</f>
        <v>21</v>
      </c>
      <c r="U48" s="16">
        <f>IFERROR(__xludf.DUMMYFUNCTION("""COMPUTED_VALUE"""),44.0)</f>
        <v>44</v>
      </c>
      <c r="V48" s="16">
        <f>IFERROR(__xludf.DUMMYFUNCTION("""COMPUTED_VALUE"""),44.0)</f>
        <v>44</v>
      </c>
      <c r="W48" s="16">
        <f>IFERROR(__xludf.DUMMYFUNCTION("""COMPUTED_VALUE"""),0.0)</f>
        <v>0</v>
      </c>
      <c r="X48" s="16" t="b">
        <f>IFERROR(__xludf.DUMMYFUNCTION("""COMPUTED_VALUE"""),TRUE)</f>
        <v>1</v>
      </c>
      <c r="Y48" s="16"/>
      <c r="Z48" s="16"/>
    </row>
    <row r="49">
      <c r="A49" s="16" t="str">
        <f>IFERROR(__xludf.DUMMYFUNCTION("""COMPUTED_VALUE"""),"ClaimDeck")</f>
        <v>ClaimDeck</v>
      </c>
      <c r="B49" s="16" t="str">
        <f>IFERROR(__xludf.DUMMYFUNCTION("""COMPUTED_VALUE"""),"Growth")</f>
        <v>Growth</v>
      </c>
      <c r="C49" s="26" t="str">
        <f>IFERROR(__xludf.DUMMYFUNCTION("""COMPUTED_VALUE"""),"NAM")</f>
        <v>NAM</v>
      </c>
      <c r="D49" s="16" t="str">
        <f>IFERROR(__xludf.DUMMYFUNCTION("""COMPUTED_VALUE"""),"Shannon Spies")</f>
        <v>Shannon Spies</v>
      </c>
      <c r="E49" s="26" t="str">
        <f>IFERROR(__xludf.DUMMYFUNCTION("""COMPUTED_VALUE"""),"United States")</f>
        <v>United States</v>
      </c>
      <c r="F49" s="26" t="str">
        <f>IFERROR(__xludf.DUMMYFUNCTION("""COMPUTED_VALUE"""),"ClaimCenter")</f>
        <v>ClaimCenter</v>
      </c>
      <c r="G49" s="20">
        <f>IFERROR(__xludf.DUMMYFUNCTION("""COMPUTED_VALUE"""),45536.0)</f>
        <v>45536</v>
      </c>
      <c r="H49" s="20"/>
      <c r="I49" s="20">
        <f>IFERROR(__xludf.DUMMYFUNCTION("""COMPUTED_VALUE"""),45538.0)</f>
        <v>45538</v>
      </c>
      <c r="J49" s="16"/>
      <c r="K49" s="16"/>
      <c r="L49" s="16" t="str">
        <f>IFERROR(__xludf.DUMMYFUNCTION("""COMPUTED_VALUE"""),"Low")</f>
        <v>Low</v>
      </c>
      <c r="M49" s="26" t="str">
        <f>IFERROR(__xludf.DUMMYFUNCTION("""COMPUTED_VALUE"""),"PartnerConnect  Technology")</f>
        <v>PartnerConnect  Technology</v>
      </c>
      <c r="N49" s="16" t="str">
        <f>IFERROR(__xludf.DUMMYFUNCTION("""COMPUTED_VALUE"""),"FY24 - Q1")</f>
        <v>FY24 - Q1</v>
      </c>
      <c r="O49" s="16">
        <f>IFERROR(__xludf.DUMMYFUNCTION("""COMPUTED_VALUE"""),0.0)</f>
        <v>0</v>
      </c>
      <c r="P49" s="16">
        <f>IFERROR(__xludf.DUMMYFUNCTION("""COMPUTED_VALUE"""),0.0)</f>
        <v>0</v>
      </c>
      <c r="Q49" s="16">
        <f>IFERROR(__xludf.DUMMYFUNCTION("""COMPUTED_VALUE"""),0.0)</f>
        <v>0</v>
      </c>
      <c r="R49" s="16">
        <f>IFERROR(__xludf.DUMMYFUNCTION("""COMPUTED_VALUE"""),0.0)</f>
        <v>0</v>
      </c>
      <c r="S49" s="16">
        <f>IFERROR(__xludf.DUMMYFUNCTION("""COMPUTED_VALUE"""),0.0)</f>
        <v>0</v>
      </c>
      <c r="T49" s="16">
        <f>IFERROR(__xludf.DUMMYFUNCTION("""COMPUTED_VALUE"""),0.0)</f>
        <v>0</v>
      </c>
      <c r="U49" s="16">
        <f>IFERROR(__xludf.DUMMYFUNCTION("""COMPUTED_VALUE"""),0.0)</f>
        <v>0</v>
      </c>
      <c r="V49" s="16">
        <f>IFERROR(__xludf.DUMMYFUNCTION("""COMPUTED_VALUE"""),0.0)</f>
        <v>0</v>
      </c>
      <c r="W49" s="16">
        <f>IFERROR(__xludf.DUMMYFUNCTION("""COMPUTED_VALUE"""),0.0)</f>
        <v>0</v>
      </c>
      <c r="X49" s="16" t="b">
        <f>IFERROR(__xludf.DUMMYFUNCTION("""COMPUTED_VALUE"""),FALSE)</f>
        <v>0</v>
      </c>
      <c r="Y49" s="16"/>
      <c r="Z49" s="16"/>
    </row>
    <row r="50">
      <c r="A50" s="16" t="str">
        <f>IFERROR(__xludf.DUMMYFUNCTION("""COMPUTED_VALUE"""),"ClaimFox")</f>
        <v>ClaimFox</v>
      </c>
      <c r="B50" s="16" t="str">
        <f>IFERROR(__xludf.DUMMYFUNCTION("""COMPUTED_VALUE"""),"Growth")</f>
        <v>Growth</v>
      </c>
      <c r="C50" s="26" t="str">
        <f>IFERROR(__xludf.DUMMYFUNCTION("""COMPUTED_VALUE"""),"NAM")</f>
        <v>NAM</v>
      </c>
      <c r="D50" s="16" t="str">
        <f>IFERROR(__xludf.DUMMYFUNCTION("""COMPUTED_VALUE"""),"Aaron Shaw")</f>
        <v>Aaron Shaw</v>
      </c>
      <c r="E50" s="26" t="str">
        <f>IFERROR(__xludf.DUMMYFUNCTION("""COMPUTED_VALUE"""),"United States")</f>
        <v>United States</v>
      </c>
      <c r="F50" s="26" t="str">
        <f>IFERROR(__xludf.DUMMYFUNCTION("""COMPUTED_VALUE"""),"ClaimCenter")</f>
        <v>ClaimCenter</v>
      </c>
      <c r="G50" s="20">
        <f>IFERROR(__xludf.DUMMYFUNCTION("""COMPUTED_VALUE"""),43850.0)</f>
        <v>43850</v>
      </c>
      <c r="H50" s="20">
        <f>IFERROR(__xludf.DUMMYFUNCTION("""COMPUTED_VALUE"""),44581.0)</f>
        <v>44581</v>
      </c>
      <c r="I50" s="20">
        <f>IFERROR(__xludf.DUMMYFUNCTION("""COMPUTED_VALUE"""),43858.0)</f>
        <v>43858</v>
      </c>
      <c r="J50" s="16"/>
      <c r="K50" s="13">
        <f>IFERROR(__xludf.DUMMYFUNCTION("""COMPUTED_VALUE"""),44068.0)</f>
        <v>44068</v>
      </c>
      <c r="L50" s="16" t="str">
        <f>IFERROR(__xludf.DUMMYFUNCTION("""COMPUTED_VALUE"""),"Low")</f>
        <v>Low</v>
      </c>
      <c r="M50" s="26" t="str">
        <f>IFERROR(__xludf.DUMMYFUNCTION("""COMPUTED_VALUE"""),"PartnerConnect  Technology")</f>
        <v>PartnerConnect  Technology</v>
      </c>
      <c r="N50" s="16" t="str">
        <f>IFERROR(__xludf.DUMMYFUNCTION("""COMPUTED_VALUE"""),"FY20 - Q2")</f>
        <v>FY20 - Q2</v>
      </c>
      <c r="O50" s="16">
        <f>IFERROR(__xludf.DUMMYFUNCTION("""COMPUTED_VALUE"""),0.0)</f>
        <v>0</v>
      </c>
      <c r="P50" s="16">
        <f>IFERROR(__xludf.DUMMYFUNCTION("""COMPUTED_VALUE"""),0.0)</f>
        <v>0</v>
      </c>
      <c r="Q50" s="16">
        <f>IFERROR(__xludf.DUMMYFUNCTION("""COMPUTED_VALUE"""),0.0)</f>
        <v>0</v>
      </c>
      <c r="R50" s="16">
        <f>IFERROR(__xludf.DUMMYFUNCTION("""COMPUTED_VALUE"""),0.0)</f>
        <v>0</v>
      </c>
      <c r="S50" s="16">
        <f>IFERROR(__xludf.DUMMYFUNCTION("""COMPUTED_VALUE"""),0.0)</f>
        <v>0</v>
      </c>
      <c r="T50" s="16">
        <f>IFERROR(__xludf.DUMMYFUNCTION("""COMPUTED_VALUE"""),0.0)</f>
        <v>0</v>
      </c>
      <c r="U50" s="16">
        <f>IFERROR(__xludf.DUMMYFUNCTION("""COMPUTED_VALUE"""),0.0)</f>
        <v>0</v>
      </c>
      <c r="V50" s="16">
        <f>IFERROR(__xludf.DUMMYFUNCTION("""COMPUTED_VALUE"""),0.0)</f>
        <v>0</v>
      </c>
      <c r="W50" s="16">
        <f>IFERROR(__xludf.DUMMYFUNCTION("""COMPUTED_VALUE"""),0.0)</f>
        <v>0</v>
      </c>
      <c r="X50" s="16" t="b">
        <f>IFERROR(__xludf.DUMMYFUNCTION("""COMPUTED_VALUE"""),FALSE)</f>
        <v>0</v>
      </c>
      <c r="Y50" s="16"/>
      <c r="Z50" s="16"/>
    </row>
    <row r="51">
      <c r="A51" s="16" t="str">
        <f>IFERROR(__xludf.DUMMYFUNCTION("""COMPUTED_VALUE"""),"ClaimSafe Pty Ltd")</f>
        <v>ClaimSafe Pty Ltd</v>
      </c>
      <c r="B51" s="16" t="str">
        <f>IFERROR(__xludf.DUMMYFUNCTION("""COMPUTED_VALUE"""),"Growth")</f>
        <v>Growth</v>
      </c>
      <c r="C51" s="26" t="str">
        <f>IFERROR(__xludf.DUMMYFUNCTION("""COMPUTED_VALUE"""),"APAC, EMEA, NAM, LatAm")</f>
        <v>APAC, EMEA, NAM, LatAm</v>
      </c>
      <c r="D51" s="16" t="str">
        <f>IFERROR(__xludf.DUMMYFUNCTION("""COMPUTED_VALUE"""),"Aaron Shaw")</f>
        <v>Aaron Shaw</v>
      </c>
      <c r="E51" s="26" t="str">
        <f>IFERROR(__xludf.DUMMYFUNCTION("""COMPUTED_VALUE"""),"Australia New Zealand")</f>
        <v>Australia New Zealand</v>
      </c>
      <c r="F51" s="26" t="str">
        <f>IFERROR(__xludf.DUMMYFUNCTION("""COMPUTED_VALUE"""),"ClaimCenter")</f>
        <v>ClaimCenter</v>
      </c>
      <c r="G51" s="20">
        <f>IFERROR(__xludf.DUMMYFUNCTION("""COMPUTED_VALUE"""),45399.0)</f>
        <v>45399</v>
      </c>
      <c r="H51" s="20">
        <f>IFERROR(__xludf.DUMMYFUNCTION("""COMPUTED_VALUE"""),46129.0)</f>
        <v>46129</v>
      </c>
      <c r="I51" s="20">
        <f>IFERROR(__xludf.DUMMYFUNCTION("""COMPUTED_VALUE"""),45399.0)</f>
        <v>45399</v>
      </c>
      <c r="J51" s="16"/>
      <c r="K51" s="16"/>
      <c r="L51" s="16" t="str">
        <f>IFERROR(__xludf.DUMMYFUNCTION("""COMPUTED_VALUE"""),"Low")</f>
        <v>Low</v>
      </c>
      <c r="M51" s="26" t="str">
        <f>IFERROR(__xludf.DUMMYFUNCTION("""COMPUTED_VALUE"""),"PartnerConnect  Technology")</f>
        <v>PartnerConnect  Technology</v>
      </c>
      <c r="N51" s="16" t="str">
        <f>IFERROR(__xludf.DUMMYFUNCTION("""COMPUTED_VALUE"""),"FY24 - Q3")</f>
        <v>FY24 - Q3</v>
      </c>
      <c r="O51" s="16">
        <f>IFERROR(__xludf.DUMMYFUNCTION("""COMPUTED_VALUE"""),0.0)</f>
        <v>0</v>
      </c>
      <c r="P51" s="16">
        <f>IFERROR(__xludf.DUMMYFUNCTION("""COMPUTED_VALUE"""),0.0)</f>
        <v>0</v>
      </c>
      <c r="Q51" s="16">
        <f>IFERROR(__xludf.DUMMYFUNCTION("""COMPUTED_VALUE"""),0.0)</f>
        <v>0</v>
      </c>
      <c r="R51" s="16">
        <f>IFERROR(__xludf.DUMMYFUNCTION("""COMPUTED_VALUE"""),0.0)</f>
        <v>0</v>
      </c>
      <c r="S51" s="16">
        <f>IFERROR(__xludf.DUMMYFUNCTION("""COMPUTED_VALUE"""),0.0)</f>
        <v>0</v>
      </c>
      <c r="T51" s="16">
        <f>IFERROR(__xludf.DUMMYFUNCTION("""COMPUTED_VALUE"""),0.0)</f>
        <v>0</v>
      </c>
      <c r="U51" s="16">
        <f>IFERROR(__xludf.DUMMYFUNCTION("""COMPUTED_VALUE"""),0.0)</f>
        <v>0</v>
      </c>
      <c r="V51" s="16">
        <f>IFERROR(__xludf.DUMMYFUNCTION("""COMPUTED_VALUE"""),0.0)</f>
        <v>0</v>
      </c>
      <c r="W51" s="16">
        <f>IFERROR(__xludf.DUMMYFUNCTION("""COMPUTED_VALUE"""),0.0)</f>
        <v>0</v>
      </c>
      <c r="X51" s="16" t="b">
        <f>IFERROR(__xludf.DUMMYFUNCTION("""COMPUTED_VALUE"""),FALSE)</f>
        <v>0</v>
      </c>
      <c r="Y51" s="16"/>
      <c r="Z51" s="16"/>
    </row>
    <row r="52">
      <c r="A52" s="16" t="str">
        <f>IFERROR(__xludf.DUMMYFUNCTION("""COMPUTED_VALUE"""),"ClaimTECH")</f>
        <v>ClaimTECH</v>
      </c>
      <c r="B52" s="16"/>
      <c r="C52" s="26" t="str">
        <f>IFERROR(__xludf.DUMMYFUNCTION("""COMPUTED_VALUE"""),"NAM")</f>
        <v>NAM</v>
      </c>
      <c r="D52" s="16" t="str">
        <f>IFERROR(__xludf.DUMMYFUNCTION("""COMPUTED_VALUE"""),"Kelly Clayton")</f>
        <v>Kelly Clayton</v>
      </c>
      <c r="E52" s="26" t="str">
        <f>IFERROR(__xludf.DUMMYFUNCTION("""COMPUTED_VALUE"""),"United States")</f>
        <v>United States</v>
      </c>
      <c r="F52" s="26" t="str">
        <f>IFERROR(__xludf.DUMMYFUNCTION("""COMPUTED_VALUE"""),"ClaimCenter")</f>
        <v>ClaimCenter</v>
      </c>
      <c r="G52" s="20">
        <f>IFERROR(__xludf.DUMMYFUNCTION("""COMPUTED_VALUE"""),43334.0)</f>
        <v>43334</v>
      </c>
      <c r="H52" s="13">
        <f>IFERROR(__xludf.DUMMYFUNCTION("""COMPUTED_VALUE"""),44065.0)</f>
        <v>44065</v>
      </c>
      <c r="I52" s="20">
        <f>IFERROR(__xludf.DUMMYFUNCTION("""COMPUTED_VALUE"""),43334.0)</f>
        <v>43334</v>
      </c>
      <c r="J52" s="16"/>
      <c r="K52" s="20">
        <f>IFERROR(__xludf.DUMMYFUNCTION("""COMPUTED_VALUE"""),44916.0)</f>
        <v>44916</v>
      </c>
      <c r="L52" s="16" t="str">
        <f>IFERROR(__xludf.DUMMYFUNCTION("""COMPUTED_VALUE"""),"Low")</f>
        <v>Low</v>
      </c>
      <c r="M52" s="26" t="str">
        <f>IFERROR(__xludf.DUMMYFUNCTION("""COMPUTED_VALUE"""),"PartnerConnect  Technology")</f>
        <v>PartnerConnect  Technology</v>
      </c>
      <c r="N52" s="16" t="str">
        <f>IFERROR(__xludf.DUMMYFUNCTION("""COMPUTED_VALUE"""),"FY18 - Q1")</f>
        <v>FY18 - Q1</v>
      </c>
      <c r="O52" s="16">
        <f>IFERROR(__xludf.DUMMYFUNCTION("""COMPUTED_VALUE"""),0.0)</f>
        <v>0</v>
      </c>
      <c r="P52" s="16">
        <f>IFERROR(__xludf.DUMMYFUNCTION("""COMPUTED_VALUE"""),0.0)</f>
        <v>0</v>
      </c>
      <c r="Q52" s="16">
        <f>IFERROR(__xludf.DUMMYFUNCTION("""COMPUTED_VALUE"""),0.0)</f>
        <v>0</v>
      </c>
      <c r="R52" s="16">
        <f>IFERROR(__xludf.DUMMYFUNCTION("""COMPUTED_VALUE"""),0.0)</f>
        <v>0</v>
      </c>
      <c r="S52" s="16">
        <f>IFERROR(__xludf.DUMMYFUNCTION("""COMPUTED_VALUE"""),0.0)</f>
        <v>0</v>
      </c>
      <c r="T52" s="16">
        <f>IFERROR(__xludf.DUMMYFUNCTION("""COMPUTED_VALUE"""),0.0)</f>
        <v>0</v>
      </c>
      <c r="U52" s="16">
        <f>IFERROR(__xludf.DUMMYFUNCTION("""COMPUTED_VALUE"""),0.0)</f>
        <v>0</v>
      </c>
      <c r="V52" s="16">
        <f>IFERROR(__xludf.DUMMYFUNCTION("""COMPUTED_VALUE"""),0.0)</f>
        <v>0</v>
      </c>
      <c r="W52" s="16">
        <f>IFERROR(__xludf.DUMMYFUNCTION("""COMPUTED_VALUE"""),27.0)</f>
        <v>27</v>
      </c>
      <c r="X52" s="16" t="b">
        <f>IFERROR(__xludf.DUMMYFUNCTION("""COMPUTED_VALUE"""),FALSE)</f>
        <v>0</v>
      </c>
      <c r="Y52" s="16"/>
      <c r="Z52" s="16"/>
    </row>
    <row r="53">
      <c r="A53" s="16" t="str">
        <f>IFERROR(__xludf.DUMMYFUNCTION("""COMPUTED_VALUE"""),"CLARA Analytics")</f>
        <v>CLARA Analytics</v>
      </c>
      <c r="B53" s="16" t="str">
        <f>IFERROR(__xludf.DUMMYFUNCTION("""COMPUTED_VALUE"""),"Advantage")</f>
        <v>Advantage</v>
      </c>
      <c r="C53" s="26" t="str">
        <f>IFERROR(__xludf.DUMMYFUNCTION("""COMPUTED_VALUE"""),"NAM")</f>
        <v>NAM</v>
      </c>
      <c r="D53" s="16" t="str">
        <f>IFERROR(__xludf.DUMMYFUNCTION("""COMPUTED_VALUE"""),"Tim Kennedy")</f>
        <v>Tim Kennedy</v>
      </c>
      <c r="E53" s="26" t="str">
        <f>IFERROR(__xludf.DUMMYFUNCTION("""COMPUTED_VALUE"""),"United States")</f>
        <v>United States</v>
      </c>
      <c r="F53" s="26" t="str">
        <f>IFERROR(__xludf.DUMMYFUNCTION("""COMPUTED_VALUE"""),"ClaimCenter")</f>
        <v>ClaimCenter</v>
      </c>
      <c r="G53" s="20">
        <f>IFERROR(__xludf.DUMMYFUNCTION("""COMPUTED_VALUE"""),44011.0)</f>
        <v>44011</v>
      </c>
      <c r="H53" s="13">
        <f>IFERROR(__xludf.DUMMYFUNCTION("""COMPUTED_VALUE"""),44742.0)</f>
        <v>44742</v>
      </c>
      <c r="I53" s="20">
        <f>IFERROR(__xludf.DUMMYFUNCTION("""COMPUTED_VALUE"""),44011.0)</f>
        <v>44011</v>
      </c>
      <c r="J53" s="16"/>
      <c r="K53" s="13">
        <f>IFERROR(__xludf.DUMMYFUNCTION("""COMPUTED_VALUE"""),45329.0)</f>
        <v>45329</v>
      </c>
      <c r="L53" s="16" t="str">
        <f>IFERROR(__xludf.DUMMYFUNCTION("""COMPUTED_VALUE"""),"High")</f>
        <v>High</v>
      </c>
      <c r="M53" s="26" t="str">
        <f>IFERROR(__xludf.DUMMYFUNCTION("""COMPUTED_VALUE"""),"PartnerConnect  Technology")</f>
        <v>PartnerConnect  Technology</v>
      </c>
      <c r="N53" s="16" t="str">
        <f>IFERROR(__xludf.DUMMYFUNCTION("""COMPUTED_VALUE"""),"FY20 - Q3")</f>
        <v>FY20 - Q3</v>
      </c>
      <c r="O53" s="16">
        <f>IFERROR(__xludf.DUMMYFUNCTION("""COMPUTED_VALUE"""),2.0)</f>
        <v>2</v>
      </c>
      <c r="P53" s="16">
        <f>IFERROR(__xludf.DUMMYFUNCTION("""COMPUTED_VALUE"""),2.0)</f>
        <v>2</v>
      </c>
      <c r="Q53" s="16">
        <f>IFERROR(__xludf.DUMMYFUNCTION("""COMPUTED_VALUE"""),44.0)</f>
        <v>44</v>
      </c>
      <c r="R53" s="16">
        <f>IFERROR(__xludf.DUMMYFUNCTION("""COMPUTED_VALUE"""),33.0)</f>
        <v>33</v>
      </c>
      <c r="S53" s="16">
        <f>IFERROR(__xludf.DUMMYFUNCTION("""COMPUTED_VALUE"""),21237.0)</f>
        <v>21237</v>
      </c>
      <c r="T53" s="16">
        <f>IFERROR(__xludf.DUMMYFUNCTION("""COMPUTED_VALUE"""),22.0)</f>
        <v>22</v>
      </c>
      <c r="U53" s="16">
        <f>IFERROR(__xludf.DUMMYFUNCTION("""COMPUTED_VALUE"""),33.0)</f>
        <v>33</v>
      </c>
      <c r="V53" s="16">
        <f>IFERROR(__xludf.DUMMYFUNCTION("""COMPUTED_VALUE"""),33.0)</f>
        <v>33</v>
      </c>
      <c r="W53" s="16">
        <f>IFERROR(__xludf.DUMMYFUNCTION("""COMPUTED_VALUE"""),0.0)</f>
        <v>0</v>
      </c>
      <c r="X53" s="16" t="b">
        <f>IFERROR(__xludf.DUMMYFUNCTION("""COMPUTED_VALUE"""),TRUE)</f>
        <v>1</v>
      </c>
      <c r="Y53" s="16"/>
      <c r="Z53" s="16"/>
    </row>
    <row r="54">
      <c r="A54" s="16" t="str">
        <f>IFERROR(__xludf.DUMMYFUNCTION("""COMPUTED_VALUE"""),"Cloverleaf Analytics, Inc.")</f>
        <v>Cloverleaf Analytics, Inc.</v>
      </c>
      <c r="B54" s="16" t="str">
        <f>IFERROR(__xludf.DUMMYFUNCTION("""COMPUTED_VALUE"""),"Growth")</f>
        <v>Growth</v>
      </c>
      <c r="C54" s="26" t="str">
        <f>IFERROR(__xludf.DUMMYFUNCTION("""COMPUTED_VALUE"""),"NAM")</f>
        <v>NAM</v>
      </c>
      <c r="D54" s="16" t="str">
        <f>IFERROR(__xludf.DUMMYFUNCTION("""COMPUTED_VALUE"""),"Eric Apse")</f>
        <v>Eric Apse</v>
      </c>
      <c r="E54" s="26" t="str">
        <f>IFERROR(__xludf.DUMMYFUNCTION("""COMPUTED_VALUE"""),"United States")</f>
        <v>United States</v>
      </c>
      <c r="F54" s="26" t="str">
        <f>IFERROR(__xludf.DUMMYFUNCTION("""COMPUTED_VALUE"""),"InsuranceNow")</f>
        <v>InsuranceNow</v>
      </c>
      <c r="G54" s="20">
        <f>IFERROR(__xludf.DUMMYFUNCTION("""COMPUTED_VALUE"""),44141.0)</f>
        <v>44141</v>
      </c>
      <c r="H54" s="16"/>
      <c r="I54" s="20">
        <f>IFERROR(__xludf.DUMMYFUNCTION("""COMPUTED_VALUE"""),44141.0)</f>
        <v>44141</v>
      </c>
      <c r="J54" s="16"/>
      <c r="K54" s="13">
        <f>IFERROR(__xludf.DUMMYFUNCTION("""COMPUTED_VALUE"""),44151.0)</f>
        <v>44151</v>
      </c>
      <c r="L54" s="16" t="str">
        <f>IFERROR(__xludf.DUMMYFUNCTION("""COMPUTED_VALUE"""),"Medium")</f>
        <v>Medium</v>
      </c>
      <c r="M54" s="26" t="str">
        <f>IFERROR(__xludf.DUMMYFUNCTION("""COMPUTED_VALUE"""),"PartnerConnect  Technology")</f>
        <v>PartnerConnect  Technology</v>
      </c>
      <c r="N54" s="16" t="str">
        <f>IFERROR(__xludf.DUMMYFUNCTION("""COMPUTED_VALUE"""),"FY20 - Q2")</f>
        <v>FY20 - Q2</v>
      </c>
      <c r="O54" s="16">
        <f>IFERROR(__xludf.DUMMYFUNCTION("""COMPUTED_VALUE"""),1.0)</f>
        <v>1</v>
      </c>
      <c r="P54" s="16">
        <f>IFERROR(__xludf.DUMMYFUNCTION("""COMPUTED_VALUE"""),1.0)</f>
        <v>1</v>
      </c>
      <c r="Q54" s="16">
        <f>IFERROR(__xludf.DUMMYFUNCTION("""COMPUTED_VALUE"""),0.0)</f>
        <v>0</v>
      </c>
      <c r="R54" s="16">
        <f>IFERROR(__xludf.DUMMYFUNCTION("""COMPUTED_VALUE"""),0.0)</f>
        <v>0</v>
      </c>
      <c r="S54" s="16">
        <f>IFERROR(__xludf.DUMMYFUNCTION("""COMPUTED_VALUE"""),0.0)</f>
        <v>0</v>
      </c>
      <c r="T54" s="16">
        <f>IFERROR(__xludf.DUMMYFUNCTION("""COMPUTED_VALUE"""),0.0)</f>
        <v>0</v>
      </c>
      <c r="U54" s="16">
        <f>IFERROR(__xludf.DUMMYFUNCTION("""COMPUTED_VALUE"""),0.0)</f>
        <v>0</v>
      </c>
      <c r="V54" s="16">
        <f>IFERROR(__xludf.DUMMYFUNCTION("""COMPUTED_VALUE"""),0.0)</f>
        <v>0</v>
      </c>
      <c r="W54" s="16">
        <f>IFERROR(__xludf.DUMMYFUNCTION("""COMPUTED_VALUE"""),0.0)</f>
        <v>0</v>
      </c>
      <c r="X54" s="16" t="b">
        <f>IFERROR(__xludf.DUMMYFUNCTION("""COMPUTED_VALUE"""),FALSE)</f>
        <v>0</v>
      </c>
      <c r="Y54" s="16"/>
      <c r="Z54" s="16"/>
    </row>
    <row r="55">
      <c r="A55" s="16" t="str">
        <f>IFERROR(__xludf.DUMMYFUNCTION("""COMPUTED_VALUE"""),"Clyde &amp; Co LLP")</f>
        <v>Clyde &amp; Co LLP</v>
      </c>
      <c r="B55" s="16" t="str">
        <f>IFERROR(__xludf.DUMMYFUNCTION("""COMPUTED_VALUE"""),"Growth")</f>
        <v>Growth</v>
      </c>
      <c r="C55" s="26" t="str">
        <f>IFERROR(__xludf.DUMMYFUNCTION("""COMPUTED_VALUE"""),"EMEA")</f>
        <v>EMEA</v>
      </c>
      <c r="D55" s="16" t="str">
        <f>IFERROR(__xludf.DUMMYFUNCTION("""COMPUTED_VALUE"""),"Vivienne Hoary")</f>
        <v>Vivienne Hoary</v>
      </c>
      <c r="E55" s="26" t="str">
        <f>IFERROR(__xludf.DUMMYFUNCTION("""COMPUTED_VALUE"""),"UK")</f>
        <v>UK</v>
      </c>
      <c r="F55" s="26" t="str">
        <f>IFERROR(__xludf.DUMMYFUNCTION("""COMPUTED_VALUE"""),"ClaimCenter")</f>
        <v>ClaimCenter</v>
      </c>
      <c r="G55" s="20">
        <f>IFERROR(__xludf.DUMMYFUNCTION("""COMPUTED_VALUE"""),45436.0)</f>
        <v>45436</v>
      </c>
      <c r="H55" s="20"/>
      <c r="I55" s="20">
        <f>IFERROR(__xludf.DUMMYFUNCTION("""COMPUTED_VALUE"""),45436.0)</f>
        <v>45436</v>
      </c>
      <c r="J55" s="16"/>
      <c r="K55" s="20"/>
      <c r="L55" s="16" t="str">
        <f>IFERROR(__xludf.DUMMYFUNCTION("""COMPUTED_VALUE"""),"Medium")</f>
        <v>Medium</v>
      </c>
      <c r="M55" s="26" t="str">
        <f>IFERROR(__xludf.DUMMYFUNCTION("""COMPUTED_VALUE"""),"PartnerConnect  Technology")</f>
        <v>PartnerConnect  Technology</v>
      </c>
      <c r="N55" s="16" t="str">
        <f>IFERROR(__xludf.DUMMYFUNCTION("""COMPUTED_VALUE"""),"FY24 - Q3")</f>
        <v>FY24 - Q3</v>
      </c>
      <c r="O55" s="16">
        <f>IFERROR(__xludf.DUMMYFUNCTION("""COMPUTED_VALUE"""),1.0)</f>
        <v>1</v>
      </c>
      <c r="P55" s="16">
        <f>IFERROR(__xludf.DUMMYFUNCTION("""COMPUTED_VALUE"""),1.0)</f>
        <v>1</v>
      </c>
      <c r="Q55" s="16">
        <f>IFERROR(__xludf.DUMMYFUNCTION("""COMPUTED_VALUE"""),0.0)</f>
        <v>0</v>
      </c>
      <c r="R55" s="16">
        <f>IFERROR(__xludf.DUMMYFUNCTION("""COMPUTED_VALUE"""),0.0)</f>
        <v>0</v>
      </c>
      <c r="S55" s="16">
        <f>IFERROR(__xludf.DUMMYFUNCTION("""COMPUTED_VALUE"""),48.0)</f>
        <v>48</v>
      </c>
      <c r="T55" s="16">
        <f>IFERROR(__xludf.DUMMYFUNCTION("""COMPUTED_VALUE"""),0.0)</f>
        <v>0</v>
      </c>
      <c r="U55" s="16">
        <f>IFERROR(__xludf.DUMMYFUNCTION("""COMPUTED_VALUE"""),0.0)</f>
        <v>0</v>
      </c>
      <c r="V55" s="16">
        <f>IFERROR(__xludf.DUMMYFUNCTION("""COMPUTED_VALUE"""),0.0)</f>
        <v>0</v>
      </c>
      <c r="W55" s="16">
        <f>IFERROR(__xludf.DUMMYFUNCTION("""COMPUTED_VALUE"""),0.0)</f>
        <v>0</v>
      </c>
      <c r="X55" s="16" t="b">
        <f>IFERROR(__xludf.DUMMYFUNCTION("""COMPUTED_VALUE"""),FALSE)</f>
        <v>0</v>
      </c>
      <c r="Y55" s="16"/>
      <c r="Z55" s="16"/>
    </row>
    <row r="56">
      <c r="A56" s="16" t="str">
        <f>IFERROR(__xludf.DUMMYFUNCTION("""COMPUTED_VALUE"""),"Codafication")</f>
        <v>Codafication</v>
      </c>
      <c r="B56" s="16" t="str">
        <f>IFERROR(__xludf.DUMMYFUNCTION("""COMPUTED_VALUE"""),"Growth")</f>
        <v>Growth</v>
      </c>
      <c r="C56" s="26" t="str">
        <f>IFERROR(__xludf.DUMMYFUNCTION("""COMPUTED_VALUE"""),"APAC, EMEA, NAM, LatAm")</f>
        <v>APAC, EMEA, NAM, LatAm</v>
      </c>
      <c r="D56" s="16" t="str">
        <f>IFERROR(__xludf.DUMMYFUNCTION("""COMPUTED_VALUE"""),"Shannon Spies")</f>
        <v>Shannon Spies</v>
      </c>
      <c r="E56" s="26" t="str">
        <f>IFERROR(__xludf.DUMMYFUNCTION("""COMPUTED_VALUE"""),"Australia New Zealand")</f>
        <v>Australia New Zealand</v>
      </c>
      <c r="F56" s="26" t="str">
        <f>IFERROR(__xludf.DUMMYFUNCTION("""COMPUTED_VALUE"""),"ClaimCenter")</f>
        <v>ClaimCenter</v>
      </c>
      <c r="G56" s="20">
        <f>IFERROR(__xludf.DUMMYFUNCTION("""COMPUTED_VALUE"""),45470.0)</f>
        <v>45470</v>
      </c>
      <c r="H56" s="20"/>
      <c r="I56" s="20">
        <f>IFERROR(__xludf.DUMMYFUNCTION("""COMPUTED_VALUE"""),45470.0)</f>
        <v>45470</v>
      </c>
      <c r="J56" s="16"/>
      <c r="K56" s="20"/>
      <c r="L56" s="16" t="str">
        <f>IFERROR(__xludf.DUMMYFUNCTION("""COMPUTED_VALUE"""),"Medium")</f>
        <v>Medium</v>
      </c>
      <c r="M56" s="26" t="str">
        <f>IFERROR(__xludf.DUMMYFUNCTION("""COMPUTED_VALUE"""),"PartnerConnect  Technology")</f>
        <v>PartnerConnect  Technology</v>
      </c>
      <c r="N56" s="16" t="str">
        <f>IFERROR(__xludf.DUMMYFUNCTION("""COMPUTED_VALUE"""),"FY24 - Q3")</f>
        <v>FY24 - Q3</v>
      </c>
      <c r="O56" s="16">
        <f>IFERROR(__xludf.DUMMYFUNCTION("""COMPUTED_VALUE"""),0.0)</f>
        <v>0</v>
      </c>
      <c r="P56" s="16">
        <f>IFERROR(__xludf.DUMMYFUNCTION("""COMPUTED_VALUE"""),0.0)</f>
        <v>0</v>
      </c>
      <c r="Q56" s="16">
        <f>IFERROR(__xludf.DUMMYFUNCTION("""COMPUTED_VALUE"""),0.0)</f>
        <v>0</v>
      </c>
      <c r="R56" s="16">
        <f>IFERROR(__xludf.DUMMYFUNCTION("""COMPUTED_VALUE"""),0.0)</f>
        <v>0</v>
      </c>
      <c r="S56" s="16">
        <f>IFERROR(__xludf.DUMMYFUNCTION("""COMPUTED_VALUE"""),0.0)</f>
        <v>0</v>
      </c>
      <c r="T56" s="16">
        <f>IFERROR(__xludf.DUMMYFUNCTION("""COMPUTED_VALUE"""),0.0)</f>
        <v>0</v>
      </c>
      <c r="U56" s="16">
        <f>IFERROR(__xludf.DUMMYFUNCTION("""COMPUTED_VALUE"""),0.0)</f>
        <v>0</v>
      </c>
      <c r="V56" s="16">
        <f>IFERROR(__xludf.DUMMYFUNCTION("""COMPUTED_VALUE"""),0.0)</f>
        <v>0</v>
      </c>
      <c r="W56" s="16">
        <f>IFERROR(__xludf.DUMMYFUNCTION("""COMPUTED_VALUE"""),0.0)</f>
        <v>0</v>
      </c>
      <c r="X56" s="16" t="b">
        <f>IFERROR(__xludf.DUMMYFUNCTION("""COMPUTED_VALUE"""),FALSE)</f>
        <v>0</v>
      </c>
      <c r="Y56" s="16"/>
      <c r="Z56" s="16"/>
    </row>
    <row r="57">
      <c r="A57" s="16" t="str">
        <f>IFERROR(__xludf.DUMMYFUNCTION("""COMPUTED_VALUE"""),"CogniSure")</f>
        <v>CogniSure</v>
      </c>
      <c r="B57" s="16" t="str">
        <f>IFERROR(__xludf.DUMMYFUNCTION("""COMPUTED_VALUE"""),"Growth")</f>
        <v>Growth</v>
      </c>
      <c r="C57" s="26" t="str">
        <f>IFERROR(__xludf.DUMMYFUNCTION("""COMPUTED_VALUE"""),"EMEA, NAM")</f>
        <v>EMEA, NAM</v>
      </c>
      <c r="D57" s="16" t="str">
        <f>IFERROR(__xludf.DUMMYFUNCTION("""COMPUTED_VALUE"""),"Aaron Shaw")</f>
        <v>Aaron Shaw</v>
      </c>
      <c r="E57" s="26" t="str">
        <f>IFERROR(__xludf.DUMMYFUNCTION("""COMPUTED_VALUE"""),"United States")</f>
        <v>United States</v>
      </c>
      <c r="F57" s="26" t="str">
        <f>IFERROR(__xludf.DUMMYFUNCTION("""COMPUTED_VALUE"""),"PolicyCenter")</f>
        <v>PolicyCenter</v>
      </c>
      <c r="G57" s="20">
        <f>IFERROR(__xludf.DUMMYFUNCTION("""COMPUTED_VALUE"""),44258.0)</f>
        <v>44258</v>
      </c>
      <c r="H57" s="20">
        <f>IFERROR(__xludf.DUMMYFUNCTION("""COMPUTED_VALUE"""),44988.0)</f>
        <v>44988</v>
      </c>
      <c r="I57" s="20">
        <f>IFERROR(__xludf.DUMMYFUNCTION("""COMPUTED_VALUE"""),44263.0)</f>
        <v>44263</v>
      </c>
      <c r="J57" s="16"/>
      <c r="K57" s="20">
        <f>IFERROR(__xludf.DUMMYFUNCTION("""COMPUTED_VALUE"""),44497.0)</f>
        <v>44497</v>
      </c>
      <c r="L57" s="16" t="str">
        <f>IFERROR(__xludf.DUMMYFUNCTION("""COMPUTED_VALUE"""),"Medium")</f>
        <v>Medium</v>
      </c>
      <c r="M57" s="26" t="str">
        <f>IFERROR(__xludf.DUMMYFUNCTION("""COMPUTED_VALUE"""),"PartnerConnect  Technology")</f>
        <v>PartnerConnect  Technology</v>
      </c>
      <c r="N57" s="16" t="str">
        <f>IFERROR(__xludf.DUMMYFUNCTION("""COMPUTED_VALUE"""),"FY21 - Q2")</f>
        <v>FY21 - Q2</v>
      </c>
      <c r="O57" s="16">
        <f>IFERROR(__xludf.DUMMYFUNCTION("""COMPUTED_VALUE"""),1.0)</f>
        <v>1</v>
      </c>
      <c r="P57" s="16">
        <f>IFERROR(__xludf.DUMMYFUNCTION("""COMPUTED_VALUE"""),1.0)</f>
        <v>1</v>
      </c>
      <c r="Q57" s="16">
        <f>IFERROR(__xludf.DUMMYFUNCTION("""COMPUTED_VALUE"""),23.0)</f>
        <v>23</v>
      </c>
      <c r="R57" s="16">
        <f>IFERROR(__xludf.DUMMYFUNCTION("""COMPUTED_VALUE"""),5.0)</f>
        <v>5</v>
      </c>
      <c r="S57" s="16">
        <f>IFERROR(__xludf.DUMMYFUNCTION("""COMPUTED_VALUE"""),20917.0)</f>
        <v>20917</v>
      </c>
      <c r="T57" s="16">
        <f>IFERROR(__xludf.DUMMYFUNCTION("""COMPUTED_VALUE"""),16.0)</f>
        <v>16</v>
      </c>
      <c r="U57" s="16">
        <f>IFERROR(__xludf.DUMMYFUNCTION("""COMPUTED_VALUE"""),0.0)</f>
        <v>0</v>
      </c>
      <c r="V57" s="16">
        <f>IFERROR(__xludf.DUMMYFUNCTION("""COMPUTED_VALUE"""),0.0)</f>
        <v>0</v>
      </c>
      <c r="W57" s="16">
        <f>IFERROR(__xludf.DUMMYFUNCTION("""COMPUTED_VALUE"""),0.0)</f>
        <v>0</v>
      </c>
      <c r="X57" s="16" t="b">
        <f>IFERROR(__xludf.DUMMYFUNCTION("""COMPUTED_VALUE"""),FALSE)</f>
        <v>0</v>
      </c>
      <c r="Y57" s="16"/>
      <c r="Z57" s="16"/>
    </row>
    <row r="58">
      <c r="A58" s="16" t="str">
        <f>IFERROR(__xludf.DUMMYFUNCTION("""COMPUTED_VALUE"""),"Cognizant")</f>
        <v>Cognizant</v>
      </c>
      <c r="B58" s="16" t="str">
        <f>IFERROR(__xludf.DUMMYFUNCTION("""COMPUTED_VALUE"""),"Global Premier")</f>
        <v>Global Premier</v>
      </c>
      <c r="C58" s="26" t="str">
        <f>IFERROR(__xludf.DUMMYFUNCTION("""COMPUTED_VALUE"""),"APAC, EMEA, NAM")</f>
        <v>APAC, EMEA, NAM</v>
      </c>
      <c r="D58" s="16" t="str">
        <f>IFERROR(__xludf.DUMMYFUNCTION("""COMPUTED_VALUE"""),"J Giles")</f>
        <v>J Giles</v>
      </c>
      <c r="E58" s="26"/>
      <c r="F58" s="26"/>
      <c r="G58" s="20">
        <f>IFERROR(__xludf.DUMMYFUNCTION("""COMPUTED_VALUE"""),41944.0)</f>
        <v>41944</v>
      </c>
      <c r="H58" s="20">
        <f>IFERROR(__xludf.DUMMYFUNCTION("""COMPUTED_VALUE"""),42675.0)</f>
        <v>42675</v>
      </c>
      <c r="I58" s="16"/>
      <c r="J58" s="16"/>
      <c r="K58" s="16"/>
      <c r="L58" s="16"/>
      <c r="M58" s="26" t="str">
        <f>IFERROR(__xludf.DUMMYFUNCTION("""COMPUTED_VALUE"""),"PartnerConnect  Consulting")</f>
        <v>PartnerConnect  Consulting</v>
      </c>
      <c r="N58" s="16" t="str">
        <f>IFERROR(__xludf.DUMMYFUNCTION("""COMPUTED_VALUE"""),"FY14 - Q2")</f>
        <v>FY14 - Q2</v>
      </c>
      <c r="O58" s="16">
        <f>IFERROR(__xludf.DUMMYFUNCTION("""COMPUTED_VALUE"""),8.0)</f>
        <v>8</v>
      </c>
      <c r="P58" s="16">
        <f>IFERROR(__xludf.DUMMYFUNCTION("""COMPUTED_VALUE"""),8.0)</f>
        <v>8</v>
      </c>
      <c r="Q58" s="16">
        <f>IFERROR(__xludf.DUMMYFUNCTION("""COMPUTED_VALUE"""),0.0)</f>
        <v>0</v>
      </c>
      <c r="R58" s="16">
        <f>IFERROR(__xludf.DUMMYFUNCTION("""COMPUTED_VALUE"""),0.0)</f>
        <v>0</v>
      </c>
      <c r="S58" s="16">
        <f>IFERROR(__xludf.DUMMYFUNCTION("""COMPUTED_VALUE"""),11431.0)</f>
        <v>11431</v>
      </c>
      <c r="T58" s="16">
        <f>IFERROR(__xludf.DUMMYFUNCTION("""COMPUTED_VALUE"""),0.0)</f>
        <v>0</v>
      </c>
      <c r="U58" s="16">
        <f>IFERROR(__xludf.DUMMYFUNCTION("""COMPUTED_VALUE"""),0.0)</f>
        <v>0</v>
      </c>
      <c r="V58" s="16">
        <f>IFERROR(__xludf.DUMMYFUNCTION("""COMPUTED_VALUE"""),0.0)</f>
        <v>0</v>
      </c>
      <c r="W58" s="16">
        <f>IFERROR(__xludf.DUMMYFUNCTION("""COMPUTED_VALUE"""),0.0)</f>
        <v>0</v>
      </c>
      <c r="X58" s="16" t="b">
        <f>IFERROR(__xludf.DUMMYFUNCTION("""COMPUTED_VALUE"""),FALSE)</f>
        <v>0</v>
      </c>
      <c r="Y58" s="16"/>
      <c r="Z58" s="16"/>
    </row>
    <row r="59">
      <c r="A59" s="16" t="str">
        <f>IFERROR(__xludf.DUMMYFUNCTION("""COMPUTED_VALUE"""),"Commerce Bank")</f>
        <v>Commerce Bank</v>
      </c>
      <c r="B59" s="16" t="str">
        <f>IFERROR(__xludf.DUMMYFUNCTION("""COMPUTED_VALUE"""),"Growth")</f>
        <v>Growth</v>
      </c>
      <c r="C59" s="26" t="str">
        <f>IFERROR(__xludf.DUMMYFUNCTION("""COMPUTED_VALUE"""),"NAM")</f>
        <v>NAM</v>
      </c>
      <c r="D59" s="16" t="str">
        <f>IFERROR(__xludf.DUMMYFUNCTION("""COMPUTED_VALUE"""),"Aaron Shaw")</f>
        <v>Aaron Shaw</v>
      </c>
      <c r="E59" s="26" t="str">
        <f>IFERROR(__xludf.DUMMYFUNCTION("""COMPUTED_VALUE"""),"Canada, United States")</f>
        <v>Canada, United States</v>
      </c>
      <c r="F59" s="26" t="str">
        <f>IFERROR(__xludf.DUMMYFUNCTION("""COMPUTED_VALUE"""),"ClaimCenter")</f>
        <v>ClaimCenter</v>
      </c>
      <c r="G59" s="20">
        <f>IFERROR(__xludf.DUMMYFUNCTION("""COMPUTED_VALUE"""),44085.0)</f>
        <v>44085</v>
      </c>
      <c r="H59" s="20">
        <f>IFERROR(__xludf.DUMMYFUNCTION("""COMPUTED_VALUE"""),44816.0)</f>
        <v>44816</v>
      </c>
      <c r="I59" s="20">
        <f>IFERROR(__xludf.DUMMYFUNCTION("""COMPUTED_VALUE"""),44085.0)</f>
        <v>44085</v>
      </c>
      <c r="J59" s="16"/>
      <c r="K59" s="13">
        <f>IFERROR(__xludf.DUMMYFUNCTION("""COMPUTED_VALUE"""),44460.0)</f>
        <v>44460</v>
      </c>
      <c r="L59" s="16" t="str">
        <f>IFERROR(__xludf.DUMMYFUNCTION("""COMPUTED_VALUE"""),"Low")</f>
        <v>Low</v>
      </c>
      <c r="M59" s="26" t="str">
        <f>IFERROR(__xludf.DUMMYFUNCTION("""COMPUTED_VALUE"""),"PartnerConnect  Technology")</f>
        <v>PartnerConnect  Technology</v>
      </c>
      <c r="N59" s="16" t="str">
        <f>IFERROR(__xludf.DUMMYFUNCTION("""COMPUTED_VALUE"""),"FY20 - Q1")</f>
        <v>FY20 - Q1</v>
      </c>
      <c r="O59" s="16">
        <f>IFERROR(__xludf.DUMMYFUNCTION("""COMPUTED_VALUE"""),1.0)</f>
        <v>1</v>
      </c>
      <c r="P59" s="16">
        <f>IFERROR(__xludf.DUMMYFUNCTION("""COMPUTED_VALUE"""),1.0)</f>
        <v>1</v>
      </c>
      <c r="Q59" s="16">
        <f>IFERROR(__xludf.DUMMYFUNCTION("""COMPUTED_VALUE"""),22.0)</f>
        <v>22</v>
      </c>
      <c r="R59" s="16">
        <f>IFERROR(__xludf.DUMMYFUNCTION("""COMPUTED_VALUE"""),2.0)</f>
        <v>2</v>
      </c>
      <c r="S59" s="16">
        <f>IFERROR(__xludf.DUMMYFUNCTION("""COMPUTED_VALUE"""),15286.0)</f>
        <v>15286</v>
      </c>
      <c r="T59" s="16">
        <f>IFERROR(__xludf.DUMMYFUNCTION("""COMPUTED_VALUE"""),10.0)</f>
        <v>10</v>
      </c>
      <c r="U59" s="16">
        <f>IFERROR(__xludf.DUMMYFUNCTION("""COMPUTED_VALUE"""),0.0)</f>
        <v>0</v>
      </c>
      <c r="V59" s="16">
        <f>IFERROR(__xludf.DUMMYFUNCTION("""COMPUTED_VALUE"""),0.0)</f>
        <v>0</v>
      </c>
      <c r="W59" s="16">
        <f>IFERROR(__xludf.DUMMYFUNCTION("""COMPUTED_VALUE"""),0.0)</f>
        <v>0</v>
      </c>
      <c r="X59" s="16" t="b">
        <f>IFERROR(__xludf.DUMMYFUNCTION("""COMPUTED_VALUE"""),TRUE)</f>
        <v>1</v>
      </c>
      <c r="Y59" s="16"/>
      <c r="Z59" s="16"/>
    </row>
    <row r="60">
      <c r="A60" s="16" t="str">
        <f>IFERROR(__xludf.DUMMYFUNCTION("""COMPUTED_VALUE"""),"Computershare Communication Services Pty Ltd")</f>
        <v>Computershare Communication Services Pty Ltd</v>
      </c>
      <c r="B60" s="16" t="str">
        <f>IFERROR(__xludf.DUMMYFUNCTION("""COMPUTED_VALUE"""),"Growth")</f>
        <v>Growth</v>
      </c>
      <c r="C60" s="26" t="str">
        <f>IFERROR(__xludf.DUMMYFUNCTION("""COMPUTED_VALUE"""),"APAC")</f>
        <v>APAC</v>
      </c>
      <c r="D60" s="16" t="str">
        <f>IFERROR(__xludf.DUMMYFUNCTION("""COMPUTED_VALUE"""),"Ketaki Padhye")</f>
        <v>Ketaki Padhye</v>
      </c>
      <c r="E60" s="26" t="str">
        <f>IFERROR(__xludf.DUMMYFUNCTION("""COMPUTED_VALUE"""),"Australia New Zealand")</f>
        <v>Australia New Zealand</v>
      </c>
      <c r="F60" s="26" t="str">
        <f>IFERROR(__xludf.DUMMYFUNCTION("""COMPUTED_VALUE"""),"ClaimCenter, PolicyCenter")</f>
        <v>ClaimCenter, PolicyCenter</v>
      </c>
      <c r="G60" s="20">
        <f>IFERROR(__xludf.DUMMYFUNCTION("""COMPUTED_VALUE"""),45407.0)</f>
        <v>45407</v>
      </c>
      <c r="H60" s="20">
        <f>IFERROR(__xludf.DUMMYFUNCTION("""COMPUTED_VALUE"""),46137.0)</f>
        <v>46137</v>
      </c>
      <c r="I60" s="20"/>
      <c r="J60" s="16"/>
      <c r="K60" s="16"/>
      <c r="L60" s="16" t="str">
        <f>IFERROR(__xludf.DUMMYFUNCTION("""COMPUTED_VALUE"""),"Medium")</f>
        <v>Medium</v>
      </c>
      <c r="M60" s="26" t="str">
        <f>IFERROR(__xludf.DUMMYFUNCTION("""COMPUTED_VALUE"""),"PartnerConnect  Technology")</f>
        <v>PartnerConnect  Technology</v>
      </c>
      <c r="N60" s="16" t="str">
        <f>IFERROR(__xludf.DUMMYFUNCTION("""COMPUTED_VALUE"""),"FY24 - Q3")</f>
        <v>FY24 - Q3</v>
      </c>
      <c r="O60" s="16">
        <f>IFERROR(__xludf.DUMMYFUNCTION("""COMPUTED_VALUE"""),0.0)</f>
        <v>0</v>
      </c>
      <c r="P60" s="16">
        <f>IFERROR(__xludf.DUMMYFUNCTION("""COMPUTED_VALUE"""),0.0)</f>
        <v>0</v>
      </c>
      <c r="Q60" s="16">
        <f>IFERROR(__xludf.DUMMYFUNCTION("""COMPUTED_VALUE"""),0.0)</f>
        <v>0</v>
      </c>
      <c r="R60" s="16">
        <f>IFERROR(__xludf.DUMMYFUNCTION("""COMPUTED_VALUE"""),0.0)</f>
        <v>0</v>
      </c>
      <c r="S60" s="16">
        <f>IFERROR(__xludf.DUMMYFUNCTION("""COMPUTED_VALUE"""),0.0)</f>
        <v>0</v>
      </c>
      <c r="T60" s="16">
        <f>IFERROR(__xludf.DUMMYFUNCTION("""COMPUTED_VALUE"""),0.0)</f>
        <v>0</v>
      </c>
      <c r="U60" s="16">
        <f>IFERROR(__xludf.DUMMYFUNCTION("""COMPUTED_VALUE"""),0.0)</f>
        <v>0</v>
      </c>
      <c r="V60" s="16">
        <f>IFERROR(__xludf.DUMMYFUNCTION("""COMPUTED_VALUE"""),0.0)</f>
        <v>0</v>
      </c>
      <c r="W60" s="16">
        <f>IFERROR(__xludf.DUMMYFUNCTION("""COMPUTED_VALUE"""),0.0)</f>
        <v>0</v>
      </c>
      <c r="X60" s="16" t="b">
        <f>IFERROR(__xludf.DUMMYFUNCTION("""COMPUTED_VALUE"""),FALSE)</f>
        <v>0</v>
      </c>
      <c r="Y60" s="16"/>
      <c r="Z60" s="16"/>
    </row>
    <row r="61">
      <c r="A61" s="16" t="str">
        <f>IFERROR(__xludf.DUMMYFUNCTION("""COMPUTED_VALUE"""),"Confianza Inc.")</f>
        <v>Confianza Inc.</v>
      </c>
      <c r="B61" s="16" t="str">
        <f>IFERROR(__xludf.DUMMYFUNCTION("""COMPUTED_VALUE"""),"Growth")</f>
        <v>Growth</v>
      </c>
      <c r="C61" s="26" t="str">
        <f>IFERROR(__xludf.DUMMYFUNCTION("""COMPUTED_VALUE"""),"NAM")</f>
        <v>NAM</v>
      </c>
      <c r="D61" s="16" t="str">
        <f>IFERROR(__xludf.DUMMYFUNCTION("""COMPUTED_VALUE"""),"Rod Gowin")</f>
        <v>Rod Gowin</v>
      </c>
      <c r="E61" s="26" t="str">
        <f>IFERROR(__xludf.DUMMYFUNCTION("""COMPUTED_VALUE"""),"United States")</f>
        <v>United States</v>
      </c>
      <c r="F61" s="26" t="str">
        <f>IFERROR(__xludf.DUMMYFUNCTION("""COMPUTED_VALUE"""),"PolicyCenter")</f>
        <v>PolicyCenter</v>
      </c>
      <c r="G61" s="20">
        <f>IFERROR(__xludf.DUMMYFUNCTION("""COMPUTED_VALUE"""),45468.0)</f>
        <v>45468</v>
      </c>
      <c r="H61" s="13">
        <f>IFERROR(__xludf.DUMMYFUNCTION("""COMPUTED_VALUE"""),46198.0)</f>
        <v>46198</v>
      </c>
      <c r="I61" s="20">
        <f>IFERROR(__xludf.DUMMYFUNCTION("""COMPUTED_VALUE"""),45468.0)</f>
        <v>45468</v>
      </c>
      <c r="J61" s="16"/>
      <c r="K61" s="16"/>
      <c r="L61" s="16" t="str">
        <f>IFERROR(__xludf.DUMMYFUNCTION("""COMPUTED_VALUE"""),"Low")</f>
        <v>Low</v>
      </c>
      <c r="M61" s="26" t="str">
        <f>IFERROR(__xludf.DUMMYFUNCTION("""COMPUTED_VALUE"""),"PartnerConnect  Technology")</f>
        <v>PartnerConnect  Technology</v>
      </c>
      <c r="N61" s="16" t="str">
        <f>IFERROR(__xludf.DUMMYFUNCTION("""COMPUTED_VALUE"""),"FY24 - Q3")</f>
        <v>FY24 - Q3</v>
      </c>
      <c r="O61" s="16">
        <f>IFERROR(__xludf.DUMMYFUNCTION("""COMPUTED_VALUE"""),0.0)</f>
        <v>0</v>
      </c>
      <c r="P61" s="16">
        <f>IFERROR(__xludf.DUMMYFUNCTION("""COMPUTED_VALUE"""),0.0)</f>
        <v>0</v>
      </c>
      <c r="Q61" s="16">
        <f>IFERROR(__xludf.DUMMYFUNCTION("""COMPUTED_VALUE"""),0.0)</f>
        <v>0</v>
      </c>
      <c r="R61" s="16">
        <f>IFERROR(__xludf.DUMMYFUNCTION("""COMPUTED_VALUE"""),0.0)</f>
        <v>0</v>
      </c>
      <c r="S61" s="16">
        <f>IFERROR(__xludf.DUMMYFUNCTION("""COMPUTED_VALUE"""),0.0)</f>
        <v>0</v>
      </c>
      <c r="T61" s="16">
        <f>IFERROR(__xludf.DUMMYFUNCTION("""COMPUTED_VALUE"""),0.0)</f>
        <v>0</v>
      </c>
      <c r="U61" s="16">
        <f>IFERROR(__xludf.DUMMYFUNCTION("""COMPUTED_VALUE"""),0.0)</f>
        <v>0</v>
      </c>
      <c r="V61" s="16">
        <f>IFERROR(__xludf.DUMMYFUNCTION("""COMPUTED_VALUE"""),0.0)</f>
        <v>0</v>
      </c>
      <c r="W61" s="16">
        <f>IFERROR(__xludf.DUMMYFUNCTION("""COMPUTED_VALUE"""),0.0)</f>
        <v>0</v>
      </c>
      <c r="X61" s="16" t="b">
        <f>IFERROR(__xludf.DUMMYFUNCTION("""COMPUTED_VALUE"""),FALSE)</f>
        <v>0</v>
      </c>
      <c r="Y61" s="16"/>
      <c r="Z61" s="16"/>
    </row>
    <row r="62">
      <c r="A62" s="16" t="str">
        <f>IFERROR(__xludf.DUMMYFUNCTION("""COMPUTED_VALUE"""),"ControlExpert GmbH")</f>
        <v>ControlExpert GmbH</v>
      </c>
      <c r="B62" s="16" t="str">
        <f>IFERROR(__xludf.DUMMYFUNCTION("""COMPUTED_VALUE"""),"Growth")</f>
        <v>Growth</v>
      </c>
      <c r="C62" s="26" t="str">
        <f>IFERROR(__xludf.DUMMYFUNCTION("""COMPUTED_VALUE"""),"APAC, EMEA, NAM, LatAm")</f>
        <v>APAC, EMEA, NAM, LatAm</v>
      </c>
      <c r="D62" s="16" t="str">
        <f>IFERROR(__xludf.DUMMYFUNCTION("""COMPUTED_VALUE"""),"Vivienne Hoary")</f>
        <v>Vivienne Hoary</v>
      </c>
      <c r="E62" s="26" t="str">
        <f>IFERROR(__xludf.DUMMYFUNCTION("""COMPUTED_VALUE"""),"Australia New Zealand, Austria, Canada, France, Germany, Italy, Poland, Switzerland, UK, United States, Japan")</f>
        <v>Australia New Zealand, Austria, Canada, France, Germany, Italy, Poland, Switzerland, UK, United States, Japan</v>
      </c>
      <c r="F62" s="26" t="str">
        <f>IFERROR(__xludf.DUMMYFUNCTION("""COMPUTED_VALUE"""),"ClaimCenter")</f>
        <v>ClaimCenter</v>
      </c>
      <c r="G62" s="20">
        <f>IFERROR(__xludf.DUMMYFUNCTION("""COMPUTED_VALUE"""),44641.0)</f>
        <v>44641</v>
      </c>
      <c r="H62" s="20">
        <f>IFERROR(__xludf.DUMMYFUNCTION("""COMPUTED_VALUE"""),45371.0)</f>
        <v>45371</v>
      </c>
      <c r="I62" s="20">
        <f>IFERROR(__xludf.DUMMYFUNCTION("""COMPUTED_VALUE"""),44641.0)</f>
        <v>44641</v>
      </c>
      <c r="J62" s="16"/>
      <c r="K62" s="20"/>
      <c r="L62" s="16" t="str">
        <f>IFERROR(__xludf.DUMMYFUNCTION("""COMPUTED_VALUE"""),"Medium")</f>
        <v>Medium</v>
      </c>
      <c r="M62" s="26" t="str">
        <f>IFERROR(__xludf.DUMMYFUNCTION("""COMPUTED_VALUE"""),"PartnerConnect  Technology")</f>
        <v>PartnerConnect  Technology</v>
      </c>
      <c r="N62" s="16" t="str">
        <f>IFERROR(__xludf.DUMMYFUNCTION("""COMPUTED_VALUE"""),"FY22 - Q2")</f>
        <v>FY22 - Q2</v>
      </c>
      <c r="O62" s="16">
        <f>IFERROR(__xludf.DUMMYFUNCTION("""COMPUTED_VALUE"""),0.0)</f>
        <v>0</v>
      </c>
      <c r="P62" s="16">
        <f>IFERROR(__xludf.DUMMYFUNCTION("""COMPUTED_VALUE"""),0.0)</f>
        <v>0</v>
      </c>
      <c r="Q62" s="16">
        <f>IFERROR(__xludf.DUMMYFUNCTION("""COMPUTED_VALUE"""),0.0)</f>
        <v>0</v>
      </c>
      <c r="R62" s="16">
        <f>IFERROR(__xludf.DUMMYFUNCTION("""COMPUTED_VALUE"""),0.0)</f>
        <v>0</v>
      </c>
      <c r="S62" s="16">
        <f>IFERROR(__xludf.DUMMYFUNCTION("""COMPUTED_VALUE"""),0.0)</f>
        <v>0</v>
      </c>
      <c r="T62" s="16">
        <f>IFERROR(__xludf.DUMMYFUNCTION("""COMPUTED_VALUE"""),0.0)</f>
        <v>0</v>
      </c>
      <c r="U62" s="16">
        <f>IFERROR(__xludf.DUMMYFUNCTION("""COMPUTED_VALUE"""),0.0)</f>
        <v>0</v>
      </c>
      <c r="V62" s="16">
        <f>IFERROR(__xludf.DUMMYFUNCTION("""COMPUTED_VALUE"""),0.0)</f>
        <v>0</v>
      </c>
      <c r="W62" s="16">
        <f>IFERROR(__xludf.DUMMYFUNCTION("""COMPUTED_VALUE"""),0.0)</f>
        <v>0</v>
      </c>
      <c r="X62" s="16" t="b">
        <f>IFERROR(__xludf.DUMMYFUNCTION("""COMPUTED_VALUE"""),FALSE)</f>
        <v>0</v>
      </c>
      <c r="Y62" s="16"/>
      <c r="Z62" s="16"/>
    </row>
    <row r="63">
      <c r="A63" s="16" t="str">
        <f>IFERROR(__xludf.DUMMYFUNCTION("""COMPUTED_VALUE"""),"Convr, Inc.")</f>
        <v>Convr, Inc.</v>
      </c>
      <c r="B63" s="16" t="str">
        <f>IFERROR(__xludf.DUMMYFUNCTION("""COMPUTED_VALUE"""),"Growth")</f>
        <v>Growth</v>
      </c>
      <c r="C63" s="26" t="str">
        <f>IFERROR(__xludf.DUMMYFUNCTION("""COMPUTED_VALUE"""),"NAM")</f>
        <v>NAM</v>
      </c>
      <c r="D63" s="16" t="str">
        <f>IFERROR(__xludf.DUMMYFUNCTION("""COMPUTED_VALUE"""),"Aaron Shaw")</f>
        <v>Aaron Shaw</v>
      </c>
      <c r="E63" s="26" t="str">
        <f>IFERROR(__xludf.DUMMYFUNCTION("""COMPUTED_VALUE"""),"Ireland, UK, United States")</f>
        <v>Ireland, UK, United States</v>
      </c>
      <c r="F63" s="26" t="str">
        <f>IFERROR(__xludf.DUMMYFUNCTION("""COMPUTED_VALUE"""),"PolicyCenter")</f>
        <v>PolicyCenter</v>
      </c>
      <c r="G63" s="20">
        <f>IFERROR(__xludf.DUMMYFUNCTION("""COMPUTED_VALUE"""),45717.0)</f>
        <v>45717</v>
      </c>
      <c r="H63" s="16"/>
      <c r="I63" s="20">
        <f>IFERROR(__xludf.DUMMYFUNCTION("""COMPUTED_VALUE"""),45717.0)</f>
        <v>45717</v>
      </c>
      <c r="J63" s="16"/>
      <c r="K63" s="20"/>
      <c r="L63" s="16" t="str">
        <f>IFERROR(__xludf.DUMMYFUNCTION("""COMPUTED_VALUE"""),"Medium")</f>
        <v>Medium</v>
      </c>
      <c r="M63" s="26" t="str">
        <f>IFERROR(__xludf.DUMMYFUNCTION("""COMPUTED_VALUE"""),"PartnerConnect  Technology")</f>
        <v>PartnerConnect  Technology</v>
      </c>
      <c r="N63" s="16" t="str">
        <f>IFERROR(__xludf.DUMMYFUNCTION("""COMPUTED_VALUE"""),"FY25 - Q2")</f>
        <v>FY25 - Q2</v>
      </c>
      <c r="O63" s="16">
        <f>IFERROR(__xludf.DUMMYFUNCTION("""COMPUTED_VALUE"""),0.0)</f>
        <v>0</v>
      </c>
      <c r="P63" s="16">
        <f>IFERROR(__xludf.DUMMYFUNCTION("""COMPUTED_VALUE"""),0.0)</f>
        <v>0</v>
      </c>
      <c r="Q63" s="16">
        <f>IFERROR(__xludf.DUMMYFUNCTION("""COMPUTED_VALUE"""),0.0)</f>
        <v>0</v>
      </c>
      <c r="R63" s="16">
        <f>IFERROR(__xludf.DUMMYFUNCTION("""COMPUTED_VALUE"""),0.0)</f>
        <v>0</v>
      </c>
      <c r="S63" s="16">
        <f>IFERROR(__xludf.DUMMYFUNCTION("""COMPUTED_VALUE"""),0.0)</f>
        <v>0</v>
      </c>
      <c r="T63" s="16">
        <f>IFERROR(__xludf.DUMMYFUNCTION("""COMPUTED_VALUE"""),0.0)</f>
        <v>0</v>
      </c>
      <c r="U63" s="16">
        <f>IFERROR(__xludf.DUMMYFUNCTION("""COMPUTED_VALUE"""),0.0)</f>
        <v>0</v>
      </c>
      <c r="V63" s="16">
        <f>IFERROR(__xludf.DUMMYFUNCTION("""COMPUTED_VALUE"""),0.0)</f>
        <v>0</v>
      </c>
      <c r="W63" s="16">
        <f>IFERROR(__xludf.DUMMYFUNCTION("""COMPUTED_VALUE"""),38.0)</f>
        <v>38</v>
      </c>
      <c r="X63" s="16" t="b">
        <f>IFERROR(__xludf.DUMMYFUNCTION("""COMPUTED_VALUE"""),FALSE)</f>
        <v>0</v>
      </c>
      <c r="Y63" s="16"/>
      <c r="Z63" s="16"/>
    </row>
    <row r="64">
      <c r="A64" s="16" t="str">
        <f>IFERROR(__xludf.DUMMYFUNCTION("""COMPUTED_VALUE"""),"Copart, Inc.")</f>
        <v>Copart, Inc.</v>
      </c>
      <c r="B64" s="16" t="str">
        <f>IFERROR(__xludf.DUMMYFUNCTION("""COMPUTED_VALUE"""),"Growth")</f>
        <v>Growth</v>
      </c>
      <c r="C64" s="26" t="str">
        <f>IFERROR(__xludf.DUMMYFUNCTION("""COMPUTED_VALUE"""),"EMEA, NAM")</f>
        <v>EMEA, NAM</v>
      </c>
      <c r="D64" s="16" t="str">
        <f>IFERROR(__xludf.DUMMYFUNCTION("""COMPUTED_VALUE"""),"Aaron Shaw")</f>
        <v>Aaron Shaw</v>
      </c>
      <c r="E64" s="26" t="str">
        <f>IFERROR(__xludf.DUMMYFUNCTION("""COMPUTED_VALUE"""),"Australia New Zealand, Canada, Ireland, UK, United States")</f>
        <v>Australia New Zealand, Canada, Ireland, UK, United States</v>
      </c>
      <c r="F64" s="26" t="str">
        <f>IFERROR(__xludf.DUMMYFUNCTION("""COMPUTED_VALUE"""),"ClaimCenter")</f>
        <v>ClaimCenter</v>
      </c>
      <c r="G64" s="20">
        <f>IFERROR(__xludf.DUMMYFUNCTION("""COMPUTED_VALUE"""),42752.0)</f>
        <v>42752</v>
      </c>
      <c r="H64" s="13">
        <f>IFERROR(__xludf.DUMMYFUNCTION("""COMPUTED_VALUE"""),43540.0)</f>
        <v>43540</v>
      </c>
      <c r="I64" s="20">
        <f>IFERROR(__xludf.DUMMYFUNCTION("""COMPUTED_VALUE"""),42752.0)</f>
        <v>42752</v>
      </c>
      <c r="J64" s="16"/>
      <c r="K64" s="13">
        <f>IFERROR(__xludf.DUMMYFUNCTION("""COMPUTED_VALUE"""),43217.0)</f>
        <v>43217</v>
      </c>
      <c r="L64" s="16" t="str">
        <f>IFERROR(__xludf.DUMMYFUNCTION("""COMPUTED_VALUE"""),"High")</f>
        <v>High</v>
      </c>
      <c r="M64" s="26" t="str">
        <f>IFERROR(__xludf.DUMMYFUNCTION("""COMPUTED_VALUE"""),"PartnerConnect  Technology")</f>
        <v>PartnerConnect  Technology</v>
      </c>
      <c r="N64" s="16" t="str">
        <f>IFERROR(__xludf.DUMMYFUNCTION("""COMPUTED_VALUE"""),"FY17 - Q2")</f>
        <v>FY17 - Q2</v>
      </c>
      <c r="O64" s="16">
        <f>IFERROR(__xludf.DUMMYFUNCTION("""COMPUTED_VALUE"""),2.0)</f>
        <v>2</v>
      </c>
      <c r="P64" s="16">
        <f>IFERROR(__xludf.DUMMYFUNCTION("""COMPUTED_VALUE"""),2.0)</f>
        <v>2</v>
      </c>
      <c r="Q64" s="16">
        <f>IFERROR(__xludf.DUMMYFUNCTION("""COMPUTED_VALUE"""),196.0)</f>
        <v>196</v>
      </c>
      <c r="R64" s="16">
        <f>IFERROR(__xludf.DUMMYFUNCTION("""COMPUTED_VALUE"""),74.0)</f>
        <v>74</v>
      </c>
      <c r="S64" s="16">
        <f>IFERROR(__xludf.DUMMYFUNCTION("""COMPUTED_VALUE"""),28398.0)</f>
        <v>28398</v>
      </c>
      <c r="T64" s="16">
        <f>IFERROR(__xludf.DUMMYFUNCTION("""COMPUTED_VALUE"""),73.0)</f>
        <v>73</v>
      </c>
      <c r="U64" s="16">
        <f>IFERROR(__xludf.DUMMYFUNCTION("""COMPUTED_VALUE"""),42.0)</f>
        <v>42</v>
      </c>
      <c r="V64" s="16">
        <f>IFERROR(__xludf.DUMMYFUNCTION("""COMPUTED_VALUE"""),42.0)</f>
        <v>42</v>
      </c>
      <c r="W64" s="16">
        <f>IFERROR(__xludf.DUMMYFUNCTION("""COMPUTED_VALUE"""),0.0)</f>
        <v>0</v>
      </c>
      <c r="X64" s="16" t="b">
        <f>IFERROR(__xludf.DUMMYFUNCTION("""COMPUTED_VALUE"""),FALSE)</f>
        <v>0</v>
      </c>
      <c r="Y64" s="16"/>
      <c r="Z64" s="16"/>
    </row>
    <row r="65">
      <c r="A65" s="16" t="str">
        <f>IFERROR(__xludf.DUMMYFUNCTION("""COMPUTED_VALUE"""),"CoreLogic")</f>
        <v>CoreLogic</v>
      </c>
      <c r="B65" s="16" t="str">
        <f>IFERROR(__xludf.DUMMYFUNCTION("""COMPUTED_VALUE"""),"Advantage")</f>
        <v>Advantage</v>
      </c>
      <c r="C65" s="26" t="str">
        <f>IFERROR(__xludf.DUMMYFUNCTION("""COMPUTED_VALUE"""),"NAM")</f>
        <v>NAM</v>
      </c>
      <c r="D65" s="16" t="str">
        <f>IFERROR(__xludf.DUMMYFUNCTION("""COMPUTED_VALUE"""),"Tim Kennedy")</f>
        <v>Tim Kennedy</v>
      </c>
      <c r="E65" s="26" t="str">
        <f>IFERROR(__xludf.DUMMYFUNCTION("""COMPUTED_VALUE"""),"United States")</f>
        <v>United States</v>
      </c>
      <c r="F65" s="26" t="str">
        <f>IFERROR(__xludf.DUMMYFUNCTION("""COMPUTED_VALUE"""),"ClaimCenter, PolicyCenter, InsuranceNow")</f>
        <v>ClaimCenter, PolicyCenter, InsuranceNow</v>
      </c>
      <c r="G65" s="20">
        <f>IFERROR(__xludf.DUMMYFUNCTION("""COMPUTED_VALUE"""),42752.0)</f>
        <v>42752</v>
      </c>
      <c r="H65" s="16"/>
      <c r="I65" s="13">
        <f>IFERROR(__xludf.DUMMYFUNCTION("""COMPUTED_VALUE"""),42752.0)</f>
        <v>42752</v>
      </c>
      <c r="J65" s="16"/>
      <c r="K65" s="13">
        <f>IFERROR(__xludf.DUMMYFUNCTION("""COMPUTED_VALUE"""),42944.0)</f>
        <v>42944</v>
      </c>
      <c r="L65" s="16" t="str">
        <f>IFERROR(__xludf.DUMMYFUNCTION("""COMPUTED_VALUE"""),"High")</f>
        <v>High</v>
      </c>
      <c r="M65" s="26" t="str">
        <f>IFERROR(__xludf.DUMMYFUNCTION("""COMPUTED_VALUE"""),"PartnerConnect  Technology")</f>
        <v>PartnerConnect  Technology</v>
      </c>
      <c r="N65" s="16" t="str">
        <f>IFERROR(__xludf.DUMMYFUNCTION("""COMPUTED_VALUE"""),"FY17 - Q2")</f>
        <v>FY17 - Q2</v>
      </c>
      <c r="O65" s="16">
        <f>IFERROR(__xludf.DUMMYFUNCTION("""COMPUTED_VALUE"""),7.0)</f>
        <v>7</v>
      </c>
      <c r="P65" s="16">
        <f>IFERROR(__xludf.DUMMYFUNCTION("""COMPUTED_VALUE"""),7.0)</f>
        <v>7</v>
      </c>
      <c r="Q65" s="16">
        <f>IFERROR(__xludf.DUMMYFUNCTION("""COMPUTED_VALUE"""),93.0)</f>
        <v>93</v>
      </c>
      <c r="R65" s="16">
        <f>IFERROR(__xludf.DUMMYFUNCTION("""COMPUTED_VALUE"""),39.0)</f>
        <v>39</v>
      </c>
      <c r="S65" s="16">
        <f>IFERROR(__xludf.DUMMYFUNCTION("""COMPUTED_VALUE"""),49291.0)</f>
        <v>49291</v>
      </c>
      <c r="T65" s="16">
        <f>IFERROR(__xludf.DUMMYFUNCTION("""COMPUTED_VALUE"""),45.0)</f>
        <v>45</v>
      </c>
      <c r="U65" s="16">
        <f>IFERROR(__xludf.DUMMYFUNCTION("""COMPUTED_VALUE"""),0.0)</f>
        <v>0</v>
      </c>
      <c r="V65" s="16">
        <f>IFERROR(__xludf.DUMMYFUNCTION("""COMPUTED_VALUE"""),0.0)</f>
        <v>0</v>
      </c>
      <c r="W65" s="16">
        <f>IFERROR(__xludf.DUMMYFUNCTION("""COMPUTED_VALUE"""),0.0)</f>
        <v>0</v>
      </c>
      <c r="X65" s="16" t="b">
        <f>IFERROR(__xludf.DUMMYFUNCTION("""COMPUTED_VALUE"""),TRUE)</f>
        <v>1</v>
      </c>
      <c r="Y65" s="16"/>
      <c r="Z65" s="16"/>
    </row>
    <row r="66">
      <c r="A66" s="16" t="str">
        <f>IFERROR(__xludf.DUMMYFUNCTION("""COMPUTED_VALUE"""),"Coretec Solutions T/A Causia")</f>
        <v>Coretec Solutions T/A Causia</v>
      </c>
      <c r="B66" s="16" t="str">
        <f>IFERROR(__xludf.DUMMYFUNCTION("""COMPUTED_VALUE"""),"Growth")</f>
        <v>Growth</v>
      </c>
      <c r="C66" s="26" t="str">
        <f>IFERROR(__xludf.DUMMYFUNCTION("""COMPUTED_VALUE"""),"APAC")</f>
        <v>APAC</v>
      </c>
      <c r="D66" s="16" t="str">
        <f>IFERROR(__xludf.DUMMYFUNCTION("""COMPUTED_VALUE"""),"Ketaki Padhye")</f>
        <v>Ketaki Padhye</v>
      </c>
      <c r="E66" s="26"/>
      <c r="F66" s="26" t="str">
        <f>IFERROR(__xludf.DUMMYFUNCTION("""COMPUTED_VALUE"""),"ClaimCenter")</f>
        <v>ClaimCenter</v>
      </c>
      <c r="G66" s="20">
        <f>IFERROR(__xludf.DUMMYFUNCTION("""COMPUTED_VALUE"""),45870.0)</f>
        <v>45870</v>
      </c>
      <c r="H66" s="16"/>
      <c r="I66" s="20"/>
      <c r="J66" s="16"/>
      <c r="K66" s="16"/>
      <c r="L66" s="16" t="str">
        <f>IFERROR(__xludf.DUMMYFUNCTION("""COMPUTED_VALUE"""),"Medium")</f>
        <v>Medium</v>
      </c>
      <c r="M66" s="26" t="str">
        <f>IFERROR(__xludf.DUMMYFUNCTION("""COMPUTED_VALUE"""),"PartnerConnect  Technology")</f>
        <v>PartnerConnect  Technology</v>
      </c>
      <c r="N66" s="16" t="str">
        <f>IFERROR(__xludf.DUMMYFUNCTION("""COMPUTED_VALUE"""),"FY25 - Q1")</f>
        <v>FY25 - Q1</v>
      </c>
      <c r="O66" s="16">
        <f>IFERROR(__xludf.DUMMYFUNCTION("""COMPUTED_VALUE"""),0.0)</f>
        <v>0</v>
      </c>
      <c r="P66" s="16">
        <f>IFERROR(__xludf.DUMMYFUNCTION("""COMPUTED_VALUE"""),0.0)</f>
        <v>0</v>
      </c>
      <c r="Q66" s="16">
        <f>IFERROR(__xludf.DUMMYFUNCTION("""COMPUTED_VALUE"""),0.0)</f>
        <v>0</v>
      </c>
      <c r="R66" s="16">
        <f>IFERROR(__xludf.DUMMYFUNCTION("""COMPUTED_VALUE"""),0.0)</f>
        <v>0</v>
      </c>
      <c r="S66" s="16">
        <f>IFERROR(__xludf.DUMMYFUNCTION("""COMPUTED_VALUE"""),0.0)</f>
        <v>0</v>
      </c>
      <c r="T66" s="16">
        <f>IFERROR(__xludf.DUMMYFUNCTION("""COMPUTED_VALUE"""),0.0)</f>
        <v>0</v>
      </c>
      <c r="U66" s="16">
        <f>IFERROR(__xludf.DUMMYFUNCTION("""COMPUTED_VALUE"""),0.0)</f>
        <v>0</v>
      </c>
      <c r="V66" s="16">
        <f>IFERROR(__xludf.DUMMYFUNCTION("""COMPUTED_VALUE"""),0.0)</f>
        <v>0</v>
      </c>
      <c r="W66" s="16">
        <f>IFERROR(__xludf.DUMMYFUNCTION("""COMPUTED_VALUE"""),0.0)</f>
        <v>0</v>
      </c>
      <c r="X66" s="16" t="b">
        <f>IFERROR(__xludf.DUMMYFUNCTION("""COMPUTED_VALUE"""),FALSE)</f>
        <v>0</v>
      </c>
      <c r="Y66" s="16"/>
      <c r="Z66" s="16"/>
    </row>
    <row r="67">
      <c r="A67" s="16" t="str">
        <f>IFERROR(__xludf.DUMMYFUNCTION("""COMPUTED_VALUE"""),"CorVel Healthcare Corporation")</f>
        <v>CorVel Healthcare Corporation</v>
      </c>
      <c r="B67" s="16" t="str">
        <f>IFERROR(__xludf.DUMMYFUNCTION("""COMPUTED_VALUE"""),"Growth")</f>
        <v>Growth</v>
      </c>
      <c r="C67" s="26" t="str">
        <f>IFERROR(__xludf.DUMMYFUNCTION("""COMPUTED_VALUE"""),"NAM")</f>
        <v>NAM</v>
      </c>
      <c r="D67" s="16" t="str">
        <f>IFERROR(__xludf.DUMMYFUNCTION("""COMPUTED_VALUE"""),"Shannon Spies")</f>
        <v>Shannon Spies</v>
      </c>
      <c r="E67" s="26" t="str">
        <f>IFERROR(__xludf.DUMMYFUNCTION("""COMPUTED_VALUE"""),"Canada, United States")</f>
        <v>Canada, United States</v>
      </c>
      <c r="F67" s="26" t="str">
        <f>IFERROR(__xludf.DUMMYFUNCTION("""COMPUTED_VALUE"""),"ClaimCenter")</f>
        <v>ClaimCenter</v>
      </c>
      <c r="G67" s="20">
        <f>IFERROR(__xludf.DUMMYFUNCTION("""COMPUTED_VALUE"""),45646.0)</f>
        <v>45646</v>
      </c>
      <c r="H67" s="16"/>
      <c r="I67" s="13">
        <f>IFERROR(__xludf.DUMMYFUNCTION("""COMPUTED_VALUE"""),45646.0)</f>
        <v>45646</v>
      </c>
      <c r="J67" s="16"/>
      <c r="K67" s="16"/>
      <c r="L67" s="16" t="str">
        <f>IFERROR(__xludf.DUMMYFUNCTION("""COMPUTED_VALUE"""),"Medium")</f>
        <v>Medium</v>
      </c>
      <c r="M67" s="26" t="str">
        <f>IFERROR(__xludf.DUMMYFUNCTION("""COMPUTED_VALUE"""),"PartnerConnect  Technology")</f>
        <v>PartnerConnect  Technology</v>
      </c>
      <c r="N67" s="16" t="str">
        <f>IFERROR(__xludf.DUMMYFUNCTION("""COMPUTED_VALUE"""),"FY24 - Q2")</f>
        <v>FY24 - Q2</v>
      </c>
      <c r="O67" s="16">
        <f>IFERROR(__xludf.DUMMYFUNCTION("""COMPUTED_VALUE"""),1.0)</f>
        <v>1</v>
      </c>
      <c r="P67" s="16">
        <f>IFERROR(__xludf.DUMMYFUNCTION("""COMPUTED_VALUE"""),1.0)</f>
        <v>1</v>
      </c>
      <c r="Q67" s="16">
        <f>IFERROR(__xludf.DUMMYFUNCTION("""COMPUTED_VALUE"""),0.0)</f>
        <v>0</v>
      </c>
      <c r="R67" s="16">
        <f>IFERROR(__xludf.DUMMYFUNCTION("""COMPUTED_VALUE"""),0.0)</f>
        <v>0</v>
      </c>
      <c r="S67" s="16">
        <f>IFERROR(__xludf.DUMMYFUNCTION("""COMPUTED_VALUE"""),0.0)</f>
        <v>0</v>
      </c>
      <c r="T67" s="16">
        <f>IFERROR(__xludf.DUMMYFUNCTION("""COMPUTED_VALUE"""),0.0)</f>
        <v>0</v>
      </c>
      <c r="U67" s="16">
        <f>IFERROR(__xludf.DUMMYFUNCTION("""COMPUTED_VALUE"""),0.0)</f>
        <v>0</v>
      </c>
      <c r="V67" s="16">
        <f>IFERROR(__xludf.DUMMYFUNCTION("""COMPUTED_VALUE"""),0.0)</f>
        <v>0</v>
      </c>
      <c r="W67" s="16">
        <f>IFERROR(__xludf.DUMMYFUNCTION("""COMPUTED_VALUE"""),0.0)</f>
        <v>0</v>
      </c>
      <c r="X67" s="16" t="b">
        <f>IFERROR(__xludf.DUMMYFUNCTION("""COMPUTED_VALUE"""),FALSE)</f>
        <v>0</v>
      </c>
      <c r="Y67" s="16"/>
      <c r="Z67" s="16"/>
    </row>
    <row r="68">
      <c r="A68" s="16" t="str">
        <f>IFERROR(__xludf.DUMMYFUNCTION("""COMPUTED_VALUE"""),"Cox Automotive Australia Pty Ltd")</f>
        <v>Cox Automotive Australia Pty Ltd</v>
      </c>
      <c r="B68" s="16" t="str">
        <f>IFERROR(__xludf.DUMMYFUNCTION("""COMPUTED_VALUE"""),"Access")</f>
        <v>Access</v>
      </c>
      <c r="C68" s="26" t="str">
        <f>IFERROR(__xludf.DUMMYFUNCTION("""COMPUTED_VALUE"""),"APAC")</f>
        <v>APAC</v>
      </c>
      <c r="D68" s="16" t="str">
        <f>IFERROR(__xludf.DUMMYFUNCTION("""COMPUTED_VALUE"""),"Ketaki Padhye")</f>
        <v>Ketaki Padhye</v>
      </c>
      <c r="E68" s="26" t="str">
        <f>IFERROR(__xludf.DUMMYFUNCTION("""COMPUTED_VALUE"""),"Australia New Zealand")</f>
        <v>Australia New Zealand</v>
      </c>
      <c r="F68" s="26" t="str">
        <f>IFERROR(__xludf.DUMMYFUNCTION("""COMPUTED_VALUE"""),"ClaimCenter")</f>
        <v>ClaimCenter</v>
      </c>
      <c r="G68" s="20">
        <f>IFERROR(__xludf.DUMMYFUNCTION("""COMPUTED_VALUE"""),45203.0)</f>
        <v>45203</v>
      </c>
      <c r="H68" s="16"/>
      <c r="I68" s="16"/>
      <c r="J68" s="16"/>
      <c r="K68" s="16"/>
      <c r="L68" s="16" t="str">
        <f>IFERROR(__xludf.DUMMYFUNCTION("""COMPUTED_VALUE"""),"Medium")</f>
        <v>Medium</v>
      </c>
      <c r="M68" s="26" t="str">
        <f>IFERROR(__xludf.DUMMYFUNCTION("""COMPUTED_VALUE"""),"PartnerConnect  Technology")</f>
        <v>PartnerConnect  Technology</v>
      </c>
      <c r="N68" s="16" t="str">
        <f>IFERROR(__xludf.DUMMYFUNCTION("""COMPUTED_VALUE"""),"FY23 - Q1")</f>
        <v>FY23 - Q1</v>
      </c>
      <c r="O68" s="16">
        <f>IFERROR(__xludf.DUMMYFUNCTION("""COMPUTED_VALUE"""),0.0)</f>
        <v>0</v>
      </c>
      <c r="P68" s="16">
        <f>IFERROR(__xludf.DUMMYFUNCTION("""COMPUTED_VALUE"""),0.0)</f>
        <v>0</v>
      </c>
      <c r="Q68" s="16">
        <f>IFERROR(__xludf.DUMMYFUNCTION("""COMPUTED_VALUE"""),0.0)</f>
        <v>0</v>
      </c>
      <c r="R68" s="16">
        <f>IFERROR(__xludf.DUMMYFUNCTION("""COMPUTED_VALUE"""),0.0)</f>
        <v>0</v>
      </c>
      <c r="S68" s="16">
        <f>IFERROR(__xludf.DUMMYFUNCTION("""COMPUTED_VALUE"""),0.0)</f>
        <v>0</v>
      </c>
      <c r="T68" s="16">
        <f>IFERROR(__xludf.DUMMYFUNCTION("""COMPUTED_VALUE"""),0.0)</f>
        <v>0</v>
      </c>
      <c r="U68" s="16">
        <f>IFERROR(__xludf.DUMMYFUNCTION("""COMPUTED_VALUE"""),0.0)</f>
        <v>0</v>
      </c>
      <c r="V68" s="16">
        <f>IFERROR(__xludf.DUMMYFUNCTION("""COMPUTED_VALUE"""),0.0)</f>
        <v>0</v>
      </c>
      <c r="W68" s="16">
        <f>IFERROR(__xludf.DUMMYFUNCTION("""COMPUTED_VALUE"""),1.0)</f>
        <v>1</v>
      </c>
      <c r="X68" s="16" t="b">
        <f>IFERROR(__xludf.DUMMYFUNCTION("""COMPUTED_VALUE"""),FALSE)</f>
        <v>0</v>
      </c>
      <c r="Y68" s="16"/>
      <c r="Z68" s="16"/>
    </row>
    <row r="69">
      <c r="A69" s="16" t="str">
        <f>IFERROR(__xludf.DUMMYFUNCTION("""COMPUTED_VALUE"""),"CRS Temporary Housing")</f>
        <v>CRS Temporary Housing</v>
      </c>
      <c r="B69" s="16" t="str">
        <f>IFERROR(__xludf.DUMMYFUNCTION("""COMPUTED_VALUE"""),"Growth")</f>
        <v>Growth</v>
      </c>
      <c r="C69" s="26" t="str">
        <f>IFERROR(__xludf.DUMMYFUNCTION("""COMPUTED_VALUE"""),"NAM")</f>
        <v>NAM</v>
      </c>
      <c r="D69" s="16" t="str">
        <f>IFERROR(__xludf.DUMMYFUNCTION("""COMPUTED_VALUE"""),"Rod Gowin")</f>
        <v>Rod Gowin</v>
      </c>
      <c r="E69" s="26" t="str">
        <f>IFERROR(__xludf.DUMMYFUNCTION("""COMPUTED_VALUE"""),"United States")</f>
        <v>United States</v>
      </c>
      <c r="F69" s="26" t="str">
        <f>IFERROR(__xludf.DUMMYFUNCTION("""COMPUTED_VALUE"""),"ClaimCenter")</f>
        <v>ClaimCenter</v>
      </c>
      <c r="G69" s="20">
        <f>IFERROR(__xludf.DUMMYFUNCTION("""COMPUTED_VALUE"""),45281.0)</f>
        <v>45281</v>
      </c>
      <c r="H69" s="20"/>
      <c r="I69" s="13">
        <f>IFERROR(__xludf.DUMMYFUNCTION("""COMPUTED_VALUE"""),45281.0)</f>
        <v>45281</v>
      </c>
      <c r="J69" s="16"/>
      <c r="K69" s="13">
        <f>IFERROR(__xludf.DUMMYFUNCTION("""COMPUTED_VALUE"""),45919.0)</f>
        <v>45919</v>
      </c>
      <c r="L69" s="16" t="str">
        <f>IFERROR(__xludf.DUMMYFUNCTION("""COMPUTED_VALUE"""),"Medium")</f>
        <v>Medium</v>
      </c>
      <c r="M69" s="26" t="str">
        <f>IFERROR(__xludf.DUMMYFUNCTION("""COMPUTED_VALUE"""),"PartnerConnect  Technology")</f>
        <v>PartnerConnect  Technology</v>
      </c>
      <c r="N69" s="16" t="str">
        <f>IFERROR(__xludf.DUMMYFUNCTION("""COMPUTED_VALUE"""),"FY23 - Q2")</f>
        <v>FY23 - Q2</v>
      </c>
      <c r="O69" s="16">
        <f>IFERROR(__xludf.DUMMYFUNCTION("""COMPUTED_VALUE"""),1.0)</f>
        <v>1</v>
      </c>
      <c r="P69" s="16">
        <f>IFERROR(__xludf.DUMMYFUNCTION("""COMPUTED_VALUE"""),1.0)</f>
        <v>1</v>
      </c>
      <c r="Q69" s="16">
        <f>IFERROR(__xludf.DUMMYFUNCTION("""COMPUTED_VALUE"""),1.0)</f>
        <v>1</v>
      </c>
      <c r="R69" s="16">
        <f>IFERROR(__xludf.DUMMYFUNCTION("""COMPUTED_VALUE"""),1.0)</f>
        <v>1</v>
      </c>
      <c r="S69" s="16">
        <f>IFERROR(__xludf.DUMMYFUNCTION("""COMPUTED_VALUE"""),1918.0)</f>
        <v>1918</v>
      </c>
      <c r="T69" s="16">
        <f>IFERROR(__xludf.DUMMYFUNCTION("""COMPUTED_VALUE"""),1.0)</f>
        <v>1</v>
      </c>
      <c r="U69" s="16">
        <f>IFERROR(__xludf.DUMMYFUNCTION("""COMPUTED_VALUE"""),1.0)</f>
        <v>1</v>
      </c>
      <c r="V69" s="16">
        <f>IFERROR(__xludf.DUMMYFUNCTION("""COMPUTED_VALUE"""),1.0)</f>
        <v>1</v>
      </c>
      <c r="W69" s="16">
        <f>IFERROR(__xludf.DUMMYFUNCTION("""COMPUTED_VALUE"""),0.0)</f>
        <v>0</v>
      </c>
      <c r="X69" s="16" t="b">
        <f>IFERROR(__xludf.DUMMYFUNCTION("""COMPUTED_VALUE"""),TRUE)</f>
        <v>1</v>
      </c>
      <c r="Y69" s="16"/>
      <c r="Z69" s="16"/>
    </row>
    <row r="70">
      <c r="A70" s="16" t="str">
        <f>IFERROR(__xludf.DUMMYFUNCTION("""COMPUTED_VALUE"""),"CSG Systems, Inc.")</f>
        <v>CSG Systems, Inc.</v>
      </c>
      <c r="B70" s="16" t="str">
        <f>IFERROR(__xludf.DUMMYFUNCTION("""COMPUTED_VALUE"""),"Growth")</f>
        <v>Growth</v>
      </c>
      <c r="C70" s="26" t="str">
        <f>IFERROR(__xludf.DUMMYFUNCTION("""COMPUTED_VALUE"""),"NAM")</f>
        <v>NAM</v>
      </c>
      <c r="D70" s="16" t="str">
        <f>IFERROR(__xludf.DUMMYFUNCTION("""COMPUTED_VALUE"""),"Eric Apse")</f>
        <v>Eric Apse</v>
      </c>
      <c r="E70" s="26" t="str">
        <f>IFERROR(__xludf.DUMMYFUNCTION("""COMPUTED_VALUE"""),"United States")</f>
        <v>United States</v>
      </c>
      <c r="F70" s="26" t="str">
        <f>IFERROR(__xludf.DUMMYFUNCTION("""COMPUTED_VALUE"""),"InsuranceNow")</f>
        <v>InsuranceNow</v>
      </c>
      <c r="G70" s="20">
        <f>IFERROR(__xludf.DUMMYFUNCTION("""COMPUTED_VALUE"""),45058.0)</f>
        <v>45058</v>
      </c>
      <c r="H70" s="16"/>
      <c r="I70" s="20"/>
      <c r="J70" s="16"/>
      <c r="K70" s="13">
        <f>IFERROR(__xludf.DUMMYFUNCTION("""COMPUTED_VALUE"""),45743.0)</f>
        <v>45743</v>
      </c>
      <c r="L70" s="16" t="str">
        <f>IFERROR(__xludf.DUMMYFUNCTION("""COMPUTED_VALUE"""),"Medium")</f>
        <v>Medium</v>
      </c>
      <c r="M70" s="26" t="str">
        <f>IFERROR(__xludf.DUMMYFUNCTION("""COMPUTED_VALUE"""),"PartnerConnect  Technology")</f>
        <v>PartnerConnect  Technology</v>
      </c>
      <c r="N70" s="16" t="str">
        <f>IFERROR(__xludf.DUMMYFUNCTION("""COMPUTED_VALUE"""),"FY23 - Q3")</f>
        <v>FY23 - Q3</v>
      </c>
      <c r="O70" s="16">
        <f>IFERROR(__xludf.DUMMYFUNCTION("""COMPUTED_VALUE"""),1.0)</f>
        <v>1</v>
      </c>
      <c r="P70" s="16">
        <f>IFERROR(__xludf.DUMMYFUNCTION("""COMPUTED_VALUE"""),1.0)</f>
        <v>1</v>
      </c>
      <c r="Q70" s="16">
        <f>IFERROR(__xludf.DUMMYFUNCTION("""COMPUTED_VALUE"""),0.0)</f>
        <v>0</v>
      </c>
      <c r="R70" s="16">
        <f>IFERROR(__xludf.DUMMYFUNCTION("""COMPUTED_VALUE"""),0.0)</f>
        <v>0</v>
      </c>
      <c r="S70" s="16">
        <f>IFERROR(__xludf.DUMMYFUNCTION("""COMPUTED_VALUE"""),0.0)</f>
        <v>0</v>
      </c>
      <c r="T70" s="16">
        <f>IFERROR(__xludf.DUMMYFUNCTION("""COMPUTED_VALUE"""),0.0)</f>
        <v>0</v>
      </c>
      <c r="U70" s="16">
        <f>IFERROR(__xludf.DUMMYFUNCTION("""COMPUTED_VALUE"""),0.0)</f>
        <v>0</v>
      </c>
      <c r="V70" s="16">
        <f>IFERROR(__xludf.DUMMYFUNCTION("""COMPUTED_VALUE"""),0.0)</f>
        <v>0</v>
      </c>
      <c r="W70" s="16">
        <f>IFERROR(__xludf.DUMMYFUNCTION("""COMPUTED_VALUE"""),0.0)</f>
        <v>0</v>
      </c>
      <c r="X70" s="16" t="b">
        <f>IFERROR(__xludf.DUMMYFUNCTION("""COMPUTED_VALUE"""),FALSE)</f>
        <v>0</v>
      </c>
      <c r="Y70" s="16"/>
      <c r="Z70" s="16"/>
    </row>
    <row r="71">
      <c r="A71" s="16" t="str">
        <f>IFERROR(__xludf.DUMMYFUNCTION("""COMPUTED_VALUE"""),"DARVA")</f>
        <v>DARVA</v>
      </c>
      <c r="B71" s="16" t="str">
        <f>IFERROR(__xludf.DUMMYFUNCTION("""COMPUTED_VALUE"""),"Access")</f>
        <v>Access</v>
      </c>
      <c r="C71" s="26" t="str">
        <f>IFERROR(__xludf.DUMMYFUNCTION("""COMPUTED_VALUE"""),"EMEA")</f>
        <v>EMEA</v>
      </c>
      <c r="D71" s="16" t="str">
        <f>IFERROR(__xludf.DUMMYFUNCTION("""COMPUTED_VALUE"""),"Fatima Aoulagha-Bannou")</f>
        <v>Fatima Aoulagha-Bannou</v>
      </c>
      <c r="E71" s="16" t="str">
        <f>IFERROR(__xludf.DUMMYFUNCTION("""COMPUTED_VALUE"""),"France")</f>
        <v>France</v>
      </c>
      <c r="F71" s="16" t="str">
        <f>IFERROR(__xludf.DUMMYFUNCTION("""COMPUTED_VALUE"""),"ClaimCenter")</f>
        <v>ClaimCenter</v>
      </c>
      <c r="G71" s="20">
        <f>IFERROR(__xludf.DUMMYFUNCTION("""COMPUTED_VALUE"""),45231.0)</f>
        <v>45231</v>
      </c>
      <c r="H71" s="16"/>
      <c r="I71" s="13">
        <f>IFERROR(__xludf.DUMMYFUNCTION("""COMPUTED_VALUE"""),45241.0)</f>
        <v>45241</v>
      </c>
      <c r="J71" s="16"/>
      <c r="K71" s="16"/>
      <c r="L71" s="16" t="str">
        <f>IFERROR(__xludf.DUMMYFUNCTION("""COMPUTED_VALUE"""),"Medium")</f>
        <v>Medium</v>
      </c>
      <c r="M71" s="26" t="str">
        <f>IFERROR(__xludf.DUMMYFUNCTION("""COMPUTED_VALUE"""),"PartnerConnect  Technology")</f>
        <v>PartnerConnect  Technology</v>
      </c>
      <c r="N71" s="16" t="str">
        <f>IFERROR(__xludf.DUMMYFUNCTION("""COMPUTED_VALUE"""),"FY23 - Q2")</f>
        <v>FY23 - Q2</v>
      </c>
      <c r="O71" s="16">
        <f>IFERROR(__xludf.DUMMYFUNCTION("""COMPUTED_VALUE"""),1.0)</f>
        <v>1</v>
      </c>
      <c r="P71" s="16">
        <f>IFERROR(__xludf.DUMMYFUNCTION("""COMPUTED_VALUE"""),1.0)</f>
        <v>1</v>
      </c>
      <c r="Q71" s="16">
        <f>IFERROR(__xludf.DUMMYFUNCTION("""COMPUTED_VALUE"""),0.0)</f>
        <v>0</v>
      </c>
      <c r="R71" s="16">
        <f>IFERROR(__xludf.DUMMYFUNCTION("""COMPUTED_VALUE"""),0.0)</f>
        <v>0</v>
      </c>
      <c r="S71" s="16">
        <f>IFERROR(__xludf.DUMMYFUNCTION("""COMPUTED_VALUE"""),0.0)</f>
        <v>0</v>
      </c>
      <c r="T71" s="16">
        <f>IFERROR(__xludf.DUMMYFUNCTION("""COMPUTED_VALUE"""),0.0)</f>
        <v>0</v>
      </c>
      <c r="U71" s="16">
        <f>IFERROR(__xludf.DUMMYFUNCTION("""COMPUTED_VALUE"""),0.0)</f>
        <v>0</v>
      </c>
      <c r="V71" s="16">
        <f>IFERROR(__xludf.DUMMYFUNCTION("""COMPUTED_VALUE"""),0.0)</f>
        <v>0</v>
      </c>
      <c r="W71" s="16">
        <f>IFERROR(__xludf.DUMMYFUNCTION("""COMPUTED_VALUE"""),0.0)</f>
        <v>0</v>
      </c>
      <c r="X71" s="16" t="b">
        <f>IFERROR(__xludf.DUMMYFUNCTION("""COMPUTED_VALUE"""),TRUE)</f>
        <v>1</v>
      </c>
      <c r="Y71" s="16"/>
      <c r="Z71" s="16"/>
    </row>
    <row r="72">
      <c r="A72" s="16" t="str">
        <f>IFERROR(__xludf.DUMMYFUNCTION("""COMPUTED_VALUE"""),"Databricks")</f>
        <v>Databricks</v>
      </c>
      <c r="B72" s="16" t="str">
        <f>IFERROR(__xludf.DUMMYFUNCTION("""COMPUTED_VALUE"""),"Access")</f>
        <v>Access</v>
      </c>
      <c r="C72" s="26" t="str">
        <f>IFERROR(__xludf.DUMMYFUNCTION("""COMPUTED_VALUE"""),"APAC, EMEA, NAM, LatAm")</f>
        <v>APAC, EMEA, NAM, LatAm</v>
      </c>
      <c r="D72" s="16" t="str">
        <f>IFERROR(__xludf.DUMMYFUNCTION("""COMPUTED_VALUE"""),"Paul Harper")</f>
        <v>Paul Harper</v>
      </c>
      <c r="E72" s="26" t="str">
        <f>IFERROR(__xludf.DUMMYFUNCTION("""COMPUTED_VALUE"""),"United States")</f>
        <v>United States</v>
      </c>
      <c r="F72" s="26" t="str">
        <f>IFERROR(__xludf.DUMMYFUNCTION("""COMPUTED_VALUE"""),"Cloud Data Access (CDA)")</f>
        <v>Cloud Data Access (CDA)</v>
      </c>
      <c r="G72" s="20">
        <f>IFERROR(__xludf.DUMMYFUNCTION("""COMPUTED_VALUE"""),45156.0)</f>
        <v>45156</v>
      </c>
      <c r="H72" s="20">
        <f>IFERROR(__xludf.DUMMYFUNCTION("""COMPUTED_VALUE"""),45886.0)</f>
        <v>45886</v>
      </c>
      <c r="I72" s="20">
        <f>IFERROR(__xludf.DUMMYFUNCTION("""COMPUTED_VALUE"""),46049.0)</f>
        <v>46049</v>
      </c>
      <c r="J72" s="16"/>
      <c r="K72" s="16"/>
      <c r="L72" s="16" t="str">
        <f>IFERROR(__xludf.DUMMYFUNCTION("""COMPUTED_VALUE"""),"High")</f>
        <v>High</v>
      </c>
      <c r="M72" s="26" t="str">
        <f>IFERROR(__xludf.DUMMYFUNCTION("""COMPUTED_VALUE"""),"PartnerConnect  Technology")</f>
        <v>PartnerConnect  Technology</v>
      </c>
      <c r="N72" s="16" t="str">
        <f>IFERROR(__xludf.DUMMYFUNCTION("""COMPUTED_VALUE"""),"FY23 - Q1")</f>
        <v>FY23 - Q1</v>
      </c>
      <c r="O72" s="16">
        <f>IFERROR(__xludf.DUMMYFUNCTION("""COMPUTED_VALUE"""),0.0)</f>
        <v>0</v>
      </c>
      <c r="P72" s="16">
        <f>IFERROR(__xludf.DUMMYFUNCTION("""COMPUTED_VALUE"""),0.0)</f>
        <v>0</v>
      </c>
      <c r="Q72" s="16">
        <f>IFERROR(__xludf.DUMMYFUNCTION("""COMPUTED_VALUE"""),0.0)</f>
        <v>0</v>
      </c>
      <c r="R72" s="16">
        <f>IFERROR(__xludf.DUMMYFUNCTION("""COMPUTED_VALUE"""),0.0)</f>
        <v>0</v>
      </c>
      <c r="S72" s="16">
        <f>IFERROR(__xludf.DUMMYFUNCTION("""COMPUTED_VALUE"""),0.0)</f>
        <v>0</v>
      </c>
      <c r="T72" s="16">
        <f>IFERROR(__xludf.DUMMYFUNCTION("""COMPUTED_VALUE"""),0.0)</f>
        <v>0</v>
      </c>
      <c r="U72" s="16">
        <f>IFERROR(__xludf.DUMMYFUNCTION("""COMPUTED_VALUE"""),0.0)</f>
        <v>0</v>
      </c>
      <c r="V72" s="16">
        <f>IFERROR(__xludf.DUMMYFUNCTION("""COMPUTED_VALUE"""),0.0)</f>
        <v>0</v>
      </c>
      <c r="W72" s="16">
        <f>IFERROR(__xludf.DUMMYFUNCTION("""COMPUTED_VALUE"""),0.0)</f>
        <v>0</v>
      </c>
      <c r="X72" s="16" t="b">
        <f>IFERROR(__xludf.DUMMYFUNCTION("""COMPUTED_VALUE"""),FALSE)</f>
        <v>0</v>
      </c>
      <c r="Y72" s="16"/>
      <c r="Z72" s="16"/>
    </row>
    <row r="73">
      <c r="A73" s="16" t="str">
        <f>IFERROR(__xludf.DUMMYFUNCTION("""COMPUTED_VALUE"""),"Datavail Corporation")</f>
        <v>Datavail Corporation</v>
      </c>
      <c r="B73" s="16" t="str">
        <f>IFERROR(__xludf.DUMMYFUNCTION("""COMPUTED_VALUE"""),"Growth")</f>
        <v>Growth</v>
      </c>
      <c r="C73" s="26" t="str">
        <f>IFERROR(__xludf.DUMMYFUNCTION("""COMPUTED_VALUE"""),"APAC, EMEA, NAM, LatAm")</f>
        <v>APAC, EMEA, NAM, LatAm</v>
      </c>
      <c r="D73" s="16" t="str">
        <f>IFERROR(__xludf.DUMMYFUNCTION("""COMPUTED_VALUE"""),"Aaron Shaw")</f>
        <v>Aaron Shaw</v>
      </c>
      <c r="E73" s="26" t="str">
        <f>IFERROR(__xludf.DUMMYFUNCTION("""COMPUTED_VALUE"""),"Australia New Zealand, Canada, UK, United States")</f>
        <v>Australia New Zealand, Canada, UK, United States</v>
      </c>
      <c r="F73" s="26" t="str">
        <f>IFERROR(__xludf.DUMMYFUNCTION("""COMPUTED_VALUE"""),"Cloud Data Access (CDA)")</f>
        <v>Cloud Data Access (CDA)</v>
      </c>
      <c r="G73" s="20">
        <f>IFERROR(__xludf.DUMMYFUNCTION("""COMPUTED_VALUE"""),45329.0)</f>
        <v>45329</v>
      </c>
      <c r="H73" s="20"/>
      <c r="I73" s="20">
        <f>IFERROR(__xludf.DUMMYFUNCTION("""COMPUTED_VALUE"""),45460.0)</f>
        <v>45460</v>
      </c>
      <c r="J73" s="16"/>
      <c r="K73" s="13">
        <f>IFERROR(__xludf.DUMMYFUNCTION("""COMPUTED_VALUE"""),45590.0)</f>
        <v>45590</v>
      </c>
      <c r="L73" s="16" t="str">
        <f>IFERROR(__xludf.DUMMYFUNCTION("""COMPUTED_VALUE"""),"Medium")</f>
        <v>Medium</v>
      </c>
      <c r="M73" s="26" t="str">
        <f>IFERROR(__xludf.DUMMYFUNCTION("""COMPUTED_VALUE"""),"PartnerConnect  Technology")</f>
        <v>PartnerConnect  Technology</v>
      </c>
      <c r="N73" s="16" t="str">
        <f>IFERROR(__xludf.DUMMYFUNCTION("""COMPUTED_VALUE"""),"FY24 - Q2")</f>
        <v>FY24 - Q2</v>
      </c>
      <c r="O73" s="16">
        <f>IFERROR(__xludf.DUMMYFUNCTION("""COMPUTED_VALUE"""),1.0)</f>
        <v>1</v>
      </c>
      <c r="P73" s="16">
        <f>IFERROR(__xludf.DUMMYFUNCTION("""COMPUTED_VALUE"""),1.0)</f>
        <v>1</v>
      </c>
      <c r="Q73" s="16">
        <f>IFERROR(__xludf.DUMMYFUNCTION("""COMPUTED_VALUE"""),0.0)</f>
        <v>0</v>
      </c>
      <c r="R73" s="16">
        <f>IFERROR(__xludf.DUMMYFUNCTION("""COMPUTED_VALUE"""),0.0)</f>
        <v>0</v>
      </c>
      <c r="S73" s="16">
        <f>IFERROR(__xludf.DUMMYFUNCTION("""COMPUTED_VALUE"""),27629.0)</f>
        <v>27629</v>
      </c>
      <c r="T73" s="16">
        <f>IFERROR(__xludf.DUMMYFUNCTION("""COMPUTED_VALUE"""),0.0)</f>
        <v>0</v>
      </c>
      <c r="U73" s="16">
        <f>IFERROR(__xludf.DUMMYFUNCTION("""COMPUTED_VALUE"""),0.0)</f>
        <v>0</v>
      </c>
      <c r="V73" s="16">
        <f>IFERROR(__xludf.DUMMYFUNCTION("""COMPUTED_VALUE"""),0.0)</f>
        <v>0</v>
      </c>
      <c r="W73" s="16">
        <f>IFERROR(__xludf.DUMMYFUNCTION("""COMPUTED_VALUE"""),0.0)</f>
        <v>0</v>
      </c>
      <c r="X73" s="16" t="b">
        <f>IFERROR(__xludf.DUMMYFUNCTION("""COMPUTED_VALUE"""),TRUE)</f>
        <v>1</v>
      </c>
      <c r="Y73" s="16"/>
      <c r="Z73" s="16"/>
    </row>
    <row r="74">
      <c r="A74" s="16" t="str">
        <f>IFERROR(__xludf.DUMMYFUNCTION("""COMPUTED_VALUE"""),"Deloitte Consulting LLP")</f>
        <v>Deloitte Consulting LLP</v>
      </c>
      <c r="B74" s="16" t="str">
        <f>IFERROR(__xludf.DUMMYFUNCTION("""COMPUTED_VALUE"""),"Global Premier")</f>
        <v>Global Premier</v>
      </c>
      <c r="C74" s="26" t="str">
        <f>IFERROR(__xludf.DUMMYFUNCTION("""COMPUTED_VALUE"""),"APAC, EMEA, NAM")</f>
        <v>APAC, EMEA, NAM</v>
      </c>
      <c r="D74" s="16" t="str">
        <f>IFERROR(__xludf.DUMMYFUNCTION("""COMPUTED_VALUE"""),"J Giles")</f>
        <v>J Giles</v>
      </c>
      <c r="E74" s="26"/>
      <c r="F74" s="16"/>
      <c r="G74" s="20">
        <f>IFERROR(__xludf.DUMMYFUNCTION("""COMPUTED_VALUE"""),42073.0)</f>
        <v>42073</v>
      </c>
      <c r="H74" s="16"/>
      <c r="I74" s="16"/>
      <c r="J74" s="16"/>
      <c r="K74" s="16"/>
      <c r="L74" s="16"/>
      <c r="M74" s="26" t="str">
        <f>IFERROR(__xludf.DUMMYFUNCTION("""COMPUTED_VALUE"""),"PartnerConnect  Consulting")</f>
        <v>PartnerConnect  Consulting</v>
      </c>
      <c r="N74" s="16" t="str">
        <f>IFERROR(__xludf.DUMMYFUNCTION("""COMPUTED_VALUE"""),"FY15 - Q2")</f>
        <v>FY15 - Q2</v>
      </c>
      <c r="O74" s="16">
        <f>IFERROR(__xludf.DUMMYFUNCTION("""COMPUTED_VALUE"""),7.0)</f>
        <v>7</v>
      </c>
      <c r="P74" s="16">
        <f>IFERROR(__xludf.DUMMYFUNCTION("""COMPUTED_VALUE"""),7.0)</f>
        <v>7</v>
      </c>
      <c r="Q74" s="16">
        <f>IFERROR(__xludf.DUMMYFUNCTION("""COMPUTED_VALUE"""),0.0)</f>
        <v>0</v>
      </c>
      <c r="R74" s="16">
        <f>IFERROR(__xludf.DUMMYFUNCTION("""COMPUTED_VALUE"""),0.0)</f>
        <v>0</v>
      </c>
      <c r="S74" s="16">
        <f>IFERROR(__xludf.DUMMYFUNCTION("""COMPUTED_VALUE"""),21523.0)</f>
        <v>21523</v>
      </c>
      <c r="T74" s="16">
        <f>IFERROR(__xludf.DUMMYFUNCTION("""COMPUTED_VALUE"""),0.0)</f>
        <v>0</v>
      </c>
      <c r="U74" s="16">
        <f>IFERROR(__xludf.DUMMYFUNCTION("""COMPUTED_VALUE"""),0.0)</f>
        <v>0</v>
      </c>
      <c r="V74" s="16">
        <f>IFERROR(__xludf.DUMMYFUNCTION("""COMPUTED_VALUE"""),0.0)</f>
        <v>0</v>
      </c>
      <c r="W74" s="16">
        <f>IFERROR(__xludf.DUMMYFUNCTION("""COMPUTED_VALUE"""),0.0)</f>
        <v>0</v>
      </c>
      <c r="X74" s="16" t="b">
        <f>IFERROR(__xludf.DUMMYFUNCTION("""COMPUTED_VALUE"""),FALSE)</f>
        <v>0</v>
      </c>
      <c r="Y74" s="16"/>
      <c r="Z74" s="16"/>
    </row>
    <row r="75">
      <c r="A75" s="16" t="str">
        <f>IFERROR(__xludf.DUMMYFUNCTION("""COMPUTED_VALUE"""),"DETECTsystem")</f>
        <v>DETECTsystem</v>
      </c>
      <c r="B75" s="16" t="str">
        <f>IFERROR(__xludf.DUMMYFUNCTION("""COMPUTED_VALUE"""),"Growth")</f>
        <v>Growth</v>
      </c>
      <c r="C75" s="26" t="str">
        <f>IFERROR(__xludf.DUMMYFUNCTION("""COMPUTED_VALUE"""),"APAC, EMEA, NAM, LatAm")</f>
        <v>APAC, EMEA, NAM, LatAm</v>
      </c>
      <c r="D75" s="16" t="str">
        <f>IFERROR(__xludf.DUMMYFUNCTION("""COMPUTED_VALUE"""),"Vivienne Hoary")</f>
        <v>Vivienne Hoary</v>
      </c>
      <c r="E75" s="26" t="str">
        <f>IFERROR(__xludf.DUMMYFUNCTION("""COMPUTED_VALUE"""),"Australia New Zealand, Austria, Benelux, Canada, Croatia, Czech Republic, Denmark, Finland, France, Germany, Hungary, India, Ireland, Israel, Italy, Norway, Poland, Slovakia, South America, Spain, Sweden, Switzerland, UK, United States")</f>
        <v>Australia New Zealand, Austria, Benelux, Canada, Croatia, Czech Republic, Denmark, Finland, France, Germany, Hungary, India, Ireland, Israel, Italy, Norway, Poland, Slovakia, South America, Spain, Sweden, Switzerland, UK, United States</v>
      </c>
      <c r="F75" s="26" t="str">
        <f>IFERROR(__xludf.DUMMYFUNCTION("""COMPUTED_VALUE"""),"ClaimCenter")</f>
        <v>ClaimCenter</v>
      </c>
      <c r="G75" s="20">
        <f>IFERROR(__xludf.DUMMYFUNCTION("""COMPUTED_VALUE"""),45399.0)</f>
        <v>45399</v>
      </c>
      <c r="H75" s="13">
        <f>IFERROR(__xludf.DUMMYFUNCTION("""COMPUTED_VALUE"""),46129.0)</f>
        <v>46129</v>
      </c>
      <c r="I75" s="20">
        <f>IFERROR(__xludf.DUMMYFUNCTION("""COMPUTED_VALUE"""),45401.0)</f>
        <v>45401</v>
      </c>
      <c r="J75" s="16"/>
      <c r="K75" s="20"/>
      <c r="L75" s="16" t="str">
        <f>IFERROR(__xludf.DUMMYFUNCTION("""COMPUTED_VALUE"""),"Medium")</f>
        <v>Medium</v>
      </c>
      <c r="M75" s="26" t="str">
        <f>IFERROR(__xludf.DUMMYFUNCTION("""COMPUTED_VALUE"""),"PartnerConnect  Technology")</f>
        <v>PartnerConnect  Technology</v>
      </c>
      <c r="N75" s="16" t="str">
        <f>IFERROR(__xludf.DUMMYFUNCTION("""COMPUTED_VALUE"""),"FY24 - Q3")</f>
        <v>FY24 - Q3</v>
      </c>
      <c r="O75" s="16">
        <f>IFERROR(__xludf.DUMMYFUNCTION("""COMPUTED_VALUE"""),0.0)</f>
        <v>0</v>
      </c>
      <c r="P75" s="16">
        <f>IFERROR(__xludf.DUMMYFUNCTION("""COMPUTED_VALUE"""),0.0)</f>
        <v>0</v>
      </c>
      <c r="Q75" s="16">
        <f>IFERROR(__xludf.DUMMYFUNCTION("""COMPUTED_VALUE"""),0.0)</f>
        <v>0</v>
      </c>
      <c r="R75" s="16">
        <f>IFERROR(__xludf.DUMMYFUNCTION("""COMPUTED_VALUE"""),0.0)</f>
        <v>0</v>
      </c>
      <c r="S75" s="16">
        <f>IFERROR(__xludf.DUMMYFUNCTION("""COMPUTED_VALUE"""),0.0)</f>
        <v>0</v>
      </c>
      <c r="T75" s="16">
        <f>IFERROR(__xludf.DUMMYFUNCTION("""COMPUTED_VALUE"""),0.0)</f>
        <v>0</v>
      </c>
      <c r="U75" s="16">
        <f>IFERROR(__xludf.DUMMYFUNCTION("""COMPUTED_VALUE"""),0.0)</f>
        <v>0</v>
      </c>
      <c r="V75" s="16">
        <f>IFERROR(__xludf.DUMMYFUNCTION("""COMPUTED_VALUE"""),0.0)</f>
        <v>0</v>
      </c>
      <c r="W75" s="16">
        <f>IFERROR(__xludf.DUMMYFUNCTION("""COMPUTED_VALUE"""),0.0)</f>
        <v>0</v>
      </c>
      <c r="X75" s="16" t="b">
        <f>IFERROR(__xludf.DUMMYFUNCTION("""COMPUTED_VALUE"""),FALSE)</f>
        <v>0</v>
      </c>
      <c r="Y75" s="16"/>
      <c r="Z75" s="16"/>
    </row>
    <row r="76">
      <c r="A76" s="16" t="str">
        <f>IFERROR(__xludf.DUMMYFUNCTION("""COMPUTED_VALUE"""),"Digital Agriculture Services (DAS)")</f>
        <v>Digital Agriculture Services (DAS)</v>
      </c>
      <c r="B76" s="16" t="str">
        <f>IFERROR(__xludf.DUMMYFUNCTION("""COMPUTED_VALUE"""),"Growth")</f>
        <v>Growth</v>
      </c>
      <c r="C76" s="26" t="str">
        <f>IFERROR(__xludf.DUMMYFUNCTION("""COMPUTED_VALUE"""),"APAC")</f>
        <v>APAC</v>
      </c>
      <c r="D76" s="16" t="str">
        <f>IFERROR(__xludf.DUMMYFUNCTION("""COMPUTED_VALUE"""),"Ketaki Padhye")</f>
        <v>Ketaki Padhye</v>
      </c>
      <c r="E76" s="26" t="str">
        <f>IFERROR(__xludf.DUMMYFUNCTION("""COMPUTED_VALUE"""),"Australia New Zealand")</f>
        <v>Australia New Zealand</v>
      </c>
      <c r="F76" s="26" t="str">
        <f>IFERROR(__xludf.DUMMYFUNCTION("""COMPUTED_VALUE"""),"PolicyCenter")</f>
        <v>PolicyCenter</v>
      </c>
      <c r="G76" s="20">
        <f>IFERROR(__xludf.DUMMYFUNCTION("""COMPUTED_VALUE"""),45320.0)</f>
        <v>45320</v>
      </c>
      <c r="H76" s="20">
        <f>IFERROR(__xludf.DUMMYFUNCTION("""COMPUTED_VALUE"""),46050.0)</f>
        <v>46050</v>
      </c>
      <c r="I76" s="20">
        <f>IFERROR(__xludf.DUMMYFUNCTION("""COMPUTED_VALUE"""),45693.0)</f>
        <v>45693</v>
      </c>
      <c r="J76" s="16"/>
      <c r="K76" s="13">
        <f>IFERROR(__xludf.DUMMYFUNCTION("""COMPUTED_VALUE"""),45967.0)</f>
        <v>45967</v>
      </c>
      <c r="L76" s="16" t="str">
        <f>IFERROR(__xludf.DUMMYFUNCTION("""COMPUTED_VALUE"""),"Medium")</f>
        <v>Medium</v>
      </c>
      <c r="M76" s="26" t="str">
        <f>IFERROR(__xludf.DUMMYFUNCTION("""COMPUTED_VALUE"""),"PartnerConnect  Technology")</f>
        <v>PartnerConnect  Technology</v>
      </c>
      <c r="N76" s="16" t="str">
        <f>IFERROR(__xludf.DUMMYFUNCTION("""COMPUTED_VALUE"""),"FY24 - Q2")</f>
        <v>FY24 - Q2</v>
      </c>
      <c r="O76" s="16">
        <f>IFERROR(__xludf.DUMMYFUNCTION("""COMPUTED_VALUE"""),1.0)</f>
        <v>1</v>
      </c>
      <c r="P76" s="16">
        <f>IFERROR(__xludf.DUMMYFUNCTION("""COMPUTED_VALUE"""),1.0)</f>
        <v>1</v>
      </c>
      <c r="Q76" s="16">
        <f>IFERROR(__xludf.DUMMYFUNCTION("""COMPUTED_VALUE"""),0.0)</f>
        <v>0</v>
      </c>
      <c r="R76" s="16">
        <f>IFERROR(__xludf.DUMMYFUNCTION("""COMPUTED_VALUE"""),0.0)</f>
        <v>0</v>
      </c>
      <c r="S76" s="16">
        <f>IFERROR(__xludf.DUMMYFUNCTION("""COMPUTED_VALUE"""),1794.0)</f>
        <v>1794</v>
      </c>
      <c r="T76" s="16">
        <f>IFERROR(__xludf.DUMMYFUNCTION("""COMPUTED_VALUE"""),0.0)</f>
        <v>0</v>
      </c>
      <c r="U76" s="16">
        <f>IFERROR(__xludf.DUMMYFUNCTION("""COMPUTED_VALUE"""),0.0)</f>
        <v>0</v>
      </c>
      <c r="V76" s="16">
        <f>IFERROR(__xludf.DUMMYFUNCTION("""COMPUTED_VALUE"""),0.0)</f>
        <v>0</v>
      </c>
      <c r="W76" s="16">
        <f>IFERROR(__xludf.DUMMYFUNCTION("""COMPUTED_VALUE"""),0.0)</f>
        <v>0</v>
      </c>
      <c r="X76" s="16" t="b">
        <f>IFERROR(__xludf.DUMMYFUNCTION("""COMPUTED_VALUE"""),FALSE)</f>
        <v>0</v>
      </c>
      <c r="Y76" s="16"/>
      <c r="Z76" s="16"/>
    </row>
    <row r="77">
      <c r="A77" s="16" t="str">
        <f>IFERROR(__xludf.DUMMYFUNCTION("""COMPUTED_VALUE"""),"DingGo AU Pty Ltd")</f>
        <v>DingGo AU Pty Ltd</v>
      </c>
      <c r="B77" s="16" t="str">
        <f>IFERROR(__xludf.DUMMYFUNCTION("""COMPUTED_VALUE"""),"Growth")</f>
        <v>Growth</v>
      </c>
      <c r="C77" s="26" t="str">
        <f>IFERROR(__xludf.DUMMYFUNCTION("""COMPUTED_VALUE"""),"APAC")</f>
        <v>APAC</v>
      </c>
      <c r="D77" s="16" t="str">
        <f>IFERROR(__xludf.DUMMYFUNCTION("""COMPUTED_VALUE"""),"Ketaki Padhye")</f>
        <v>Ketaki Padhye</v>
      </c>
      <c r="E77" s="26" t="str">
        <f>IFERROR(__xludf.DUMMYFUNCTION("""COMPUTED_VALUE"""),"Australia New Zealand")</f>
        <v>Australia New Zealand</v>
      </c>
      <c r="F77" s="16" t="str">
        <f>IFERROR(__xludf.DUMMYFUNCTION("""COMPUTED_VALUE"""),"ClaimCenter")</f>
        <v>ClaimCenter</v>
      </c>
      <c r="G77" s="20">
        <f>IFERROR(__xludf.DUMMYFUNCTION("""COMPUTED_VALUE"""),45807.0)</f>
        <v>45807</v>
      </c>
      <c r="H77" s="16"/>
      <c r="I77" s="20">
        <f>IFERROR(__xludf.DUMMYFUNCTION("""COMPUTED_VALUE"""),45873.0)</f>
        <v>45873</v>
      </c>
      <c r="J77" s="16"/>
      <c r="K77" s="16"/>
      <c r="L77" s="16" t="str">
        <f>IFERROR(__xludf.DUMMYFUNCTION("""COMPUTED_VALUE"""),"Medium")</f>
        <v>Medium</v>
      </c>
      <c r="M77" s="26" t="str">
        <f>IFERROR(__xludf.DUMMYFUNCTION("""COMPUTED_VALUE"""),"PartnerConnect  Technology")</f>
        <v>PartnerConnect  Technology</v>
      </c>
      <c r="N77" s="16" t="str">
        <f>IFERROR(__xludf.DUMMYFUNCTION("""COMPUTED_VALUE"""),"FY25 - Q3")</f>
        <v>FY25 - Q3</v>
      </c>
      <c r="O77" s="16">
        <f>IFERROR(__xludf.DUMMYFUNCTION("""COMPUTED_VALUE"""),0.0)</f>
        <v>0</v>
      </c>
      <c r="P77" s="16">
        <f>IFERROR(__xludf.DUMMYFUNCTION("""COMPUTED_VALUE"""),0.0)</f>
        <v>0</v>
      </c>
      <c r="Q77" s="16">
        <f>IFERROR(__xludf.DUMMYFUNCTION("""COMPUTED_VALUE"""),0.0)</f>
        <v>0</v>
      </c>
      <c r="R77" s="16">
        <f>IFERROR(__xludf.DUMMYFUNCTION("""COMPUTED_VALUE"""),0.0)</f>
        <v>0</v>
      </c>
      <c r="S77" s="16">
        <f>IFERROR(__xludf.DUMMYFUNCTION("""COMPUTED_VALUE"""),0.0)</f>
        <v>0</v>
      </c>
      <c r="T77" s="16">
        <f>IFERROR(__xludf.DUMMYFUNCTION("""COMPUTED_VALUE"""),0.0)</f>
        <v>0</v>
      </c>
      <c r="U77" s="16">
        <f>IFERROR(__xludf.DUMMYFUNCTION("""COMPUTED_VALUE"""),0.0)</f>
        <v>0</v>
      </c>
      <c r="V77" s="16">
        <f>IFERROR(__xludf.DUMMYFUNCTION("""COMPUTED_VALUE"""),0.0)</f>
        <v>0</v>
      </c>
      <c r="W77" s="16">
        <f>IFERROR(__xludf.DUMMYFUNCTION("""COMPUTED_VALUE"""),65.0)</f>
        <v>65</v>
      </c>
      <c r="X77" s="16" t="b">
        <f>IFERROR(__xludf.DUMMYFUNCTION("""COMPUTED_VALUE"""),FALSE)</f>
        <v>0</v>
      </c>
      <c r="Y77" s="16"/>
      <c r="Z77" s="16"/>
    </row>
    <row r="78">
      <c r="A78" s="16" t="str">
        <f>IFERROR(__xludf.DUMMYFUNCTION("""COMPUTED_VALUE"""),"Docusign Inc")</f>
        <v>Docusign Inc</v>
      </c>
      <c r="B78" s="16" t="str">
        <f>IFERROR(__xludf.DUMMYFUNCTION("""COMPUTED_VALUE"""),"Advantage")</f>
        <v>Advantage</v>
      </c>
      <c r="C78" s="26" t="str">
        <f>IFERROR(__xludf.DUMMYFUNCTION("""COMPUTED_VALUE"""),"APAC, EMEA, NAM")</f>
        <v>APAC, EMEA, NAM</v>
      </c>
      <c r="D78" s="16" t="str">
        <f>IFERROR(__xludf.DUMMYFUNCTION("""COMPUTED_VALUE"""),"Kelly Clayton")</f>
        <v>Kelly Clayton</v>
      </c>
      <c r="E78" s="26" t="str">
        <f>IFERROR(__xludf.DUMMYFUNCTION("""COMPUTED_VALUE"""),"Australia New Zealand, Canada, UK, United States, Japan")</f>
        <v>Australia New Zealand, Canada, UK, United States, Japan</v>
      </c>
      <c r="F78" s="26" t="str">
        <f>IFERROR(__xludf.DUMMYFUNCTION("""COMPUTED_VALUE"""),"ClaimCenter, PolicyCenter")</f>
        <v>ClaimCenter, PolicyCenter</v>
      </c>
      <c r="G78" s="20">
        <f>IFERROR(__xludf.DUMMYFUNCTION("""COMPUTED_VALUE"""),42170.0)</f>
        <v>42170</v>
      </c>
      <c r="H78" s="16"/>
      <c r="I78" s="13">
        <f>IFERROR(__xludf.DUMMYFUNCTION("""COMPUTED_VALUE"""),42178.0)</f>
        <v>42178</v>
      </c>
      <c r="J78" s="16"/>
      <c r="K78" s="13">
        <f>IFERROR(__xludf.DUMMYFUNCTION("""COMPUTED_VALUE"""),42384.0)</f>
        <v>42384</v>
      </c>
      <c r="L78" s="16" t="str">
        <f>IFERROR(__xludf.DUMMYFUNCTION("""COMPUTED_VALUE"""),"Strategic")</f>
        <v>Strategic</v>
      </c>
      <c r="M78" s="26" t="str">
        <f>IFERROR(__xludf.DUMMYFUNCTION("""COMPUTED_VALUE"""),"PartnerConnect  Technology")</f>
        <v>PartnerConnect  Technology</v>
      </c>
      <c r="N78" s="16" t="str">
        <f>IFERROR(__xludf.DUMMYFUNCTION("""COMPUTED_VALUE"""),"FY15 - Q3")</f>
        <v>FY15 - Q3</v>
      </c>
      <c r="O78" s="16">
        <f>IFERROR(__xludf.DUMMYFUNCTION("""COMPUTED_VALUE"""),4.0)</f>
        <v>4</v>
      </c>
      <c r="P78" s="16">
        <f>IFERROR(__xludf.DUMMYFUNCTION("""COMPUTED_VALUE"""),4.0)</f>
        <v>4</v>
      </c>
      <c r="Q78" s="16">
        <f>IFERROR(__xludf.DUMMYFUNCTION("""COMPUTED_VALUE"""),306.0)</f>
        <v>306</v>
      </c>
      <c r="R78" s="16">
        <f>IFERROR(__xludf.DUMMYFUNCTION("""COMPUTED_VALUE"""),129.0)</f>
        <v>129</v>
      </c>
      <c r="S78" s="16">
        <f>IFERROR(__xludf.DUMMYFUNCTION("""COMPUTED_VALUE"""),63800.0)</f>
        <v>63800</v>
      </c>
      <c r="T78" s="16">
        <f>IFERROR(__xludf.DUMMYFUNCTION("""COMPUTED_VALUE"""),96.0)</f>
        <v>96</v>
      </c>
      <c r="U78" s="16">
        <f>IFERROR(__xludf.DUMMYFUNCTION("""COMPUTED_VALUE"""),83.0)</f>
        <v>83</v>
      </c>
      <c r="V78" s="16">
        <f>IFERROR(__xludf.DUMMYFUNCTION("""COMPUTED_VALUE"""),83.0)</f>
        <v>83</v>
      </c>
      <c r="W78" s="16">
        <f>IFERROR(__xludf.DUMMYFUNCTION("""COMPUTED_VALUE"""),0.0)</f>
        <v>0</v>
      </c>
      <c r="X78" s="16" t="b">
        <f>IFERROR(__xludf.DUMMYFUNCTION("""COMPUTED_VALUE"""),TRUE)</f>
        <v>1</v>
      </c>
      <c r="Y78" s="16"/>
      <c r="Z78" s="16"/>
    </row>
    <row r="79">
      <c r="A79" s="16" t="str">
        <f>IFERROR(__xludf.DUMMYFUNCTION("""COMPUTED_VALUE"""),"Dream Payments")</f>
        <v>Dream Payments</v>
      </c>
      <c r="B79" s="16" t="str">
        <f>IFERROR(__xludf.DUMMYFUNCTION("""COMPUTED_VALUE"""),"Growth")</f>
        <v>Growth</v>
      </c>
      <c r="C79" s="26" t="str">
        <f>IFERROR(__xludf.DUMMYFUNCTION("""COMPUTED_VALUE"""),"NAM")</f>
        <v>NAM</v>
      </c>
      <c r="D79" s="16" t="str">
        <f>IFERROR(__xludf.DUMMYFUNCTION("""COMPUTED_VALUE"""),"Aaron Shaw")</f>
        <v>Aaron Shaw</v>
      </c>
      <c r="E79" s="26" t="str">
        <f>IFERROR(__xludf.DUMMYFUNCTION("""COMPUTED_VALUE"""),"Canada, United States")</f>
        <v>Canada, United States</v>
      </c>
      <c r="F79" s="26" t="str">
        <f>IFERROR(__xludf.DUMMYFUNCTION("""COMPUTED_VALUE"""),"ClaimCenter")</f>
        <v>ClaimCenter</v>
      </c>
      <c r="G79" s="20">
        <f>IFERROR(__xludf.DUMMYFUNCTION("""COMPUTED_VALUE"""),44279.0)</f>
        <v>44279</v>
      </c>
      <c r="H79" s="13">
        <f>IFERROR(__xludf.DUMMYFUNCTION("""COMPUTED_VALUE"""),45008.0)</f>
        <v>45008</v>
      </c>
      <c r="I79" s="20">
        <f>IFERROR(__xludf.DUMMYFUNCTION("""COMPUTED_VALUE"""),44279.0)</f>
        <v>44279</v>
      </c>
      <c r="J79" s="16"/>
      <c r="K79" s="16"/>
      <c r="L79" s="16" t="str">
        <f>IFERROR(__xludf.DUMMYFUNCTION("""COMPUTED_VALUE"""),"Low")</f>
        <v>Low</v>
      </c>
      <c r="M79" s="26" t="str">
        <f>IFERROR(__xludf.DUMMYFUNCTION("""COMPUTED_VALUE"""),"PartnerConnect  Technology")</f>
        <v>PartnerConnect  Technology</v>
      </c>
      <c r="N79" s="16" t="str">
        <f>IFERROR(__xludf.DUMMYFUNCTION("""COMPUTED_VALUE"""),"FY21 - Q2")</f>
        <v>FY21 - Q2</v>
      </c>
      <c r="O79" s="16">
        <f>IFERROR(__xludf.DUMMYFUNCTION("""COMPUTED_VALUE"""),0.0)</f>
        <v>0</v>
      </c>
      <c r="P79" s="16">
        <f>IFERROR(__xludf.DUMMYFUNCTION("""COMPUTED_VALUE"""),0.0)</f>
        <v>0</v>
      </c>
      <c r="Q79" s="16">
        <f>IFERROR(__xludf.DUMMYFUNCTION("""COMPUTED_VALUE"""),0.0)</f>
        <v>0</v>
      </c>
      <c r="R79" s="16">
        <f>IFERROR(__xludf.DUMMYFUNCTION("""COMPUTED_VALUE"""),0.0)</f>
        <v>0</v>
      </c>
      <c r="S79" s="16">
        <f>IFERROR(__xludf.DUMMYFUNCTION("""COMPUTED_VALUE"""),0.0)</f>
        <v>0</v>
      </c>
      <c r="T79" s="16">
        <f>IFERROR(__xludf.DUMMYFUNCTION("""COMPUTED_VALUE"""),0.0)</f>
        <v>0</v>
      </c>
      <c r="U79" s="16">
        <f>IFERROR(__xludf.DUMMYFUNCTION("""COMPUTED_VALUE"""),0.0)</f>
        <v>0</v>
      </c>
      <c r="V79" s="16">
        <f>IFERROR(__xludf.DUMMYFUNCTION("""COMPUTED_VALUE"""),0.0)</f>
        <v>0</v>
      </c>
      <c r="W79" s="16">
        <f>IFERROR(__xludf.DUMMYFUNCTION("""COMPUTED_VALUE"""),0.0)</f>
        <v>0</v>
      </c>
      <c r="X79" s="16" t="b">
        <f>IFERROR(__xludf.DUMMYFUNCTION("""COMPUTED_VALUE"""),FALSE)</f>
        <v>0</v>
      </c>
      <c r="Y79" s="16"/>
      <c r="Z79" s="16"/>
    </row>
    <row r="80">
      <c r="A80" s="16" t="str">
        <f>IFERROR(__xludf.DUMMYFUNCTION("""COMPUTED_VALUE"""),"Dynatrace LLC")</f>
        <v>Dynatrace LLC</v>
      </c>
      <c r="B80" s="16" t="str">
        <f>IFERROR(__xludf.DUMMYFUNCTION("""COMPUTED_VALUE"""),"Growth")</f>
        <v>Growth</v>
      </c>
      <c r="C80" s="26" t="str">
        <f>IFERROR(__xludf.DUMMYFUNCTION("""COMPUTED_VALUE"""),"APAC, EMEA, NAM, LatAm")</f>
        <v>APAC, EMEA, NAM, LatAm</v>
      </c>
      <c r="D80" s="16" t="str">
        <f>IFERROR(__xludf.DUMMYFUNCTION("""COMPUTED_VALUE"""),"Tim Kennedy")</f>
        <v>Tim Kennedy</v>
      </c>
      <c r="E80" s="26" t="str">
        <f>IFERROR(__xludf.DUMMYFUNCTION("""COMPUTED_VALUE"""),"Austria")</f>
        <v>Austria</v>
      </c>
      <c r="F80" s="16"/>
      <c r="G80" s="20">
        <f>IFERROR(__xludf.DUMMYFUNCTION("""COMPUTED_VALUE"""),45723.0)</f>
        <v>45723</v>
      </c>
      <c r="H80" s="16"/>
      <c r="I80" s="13">
        <f>IFERROR(__xludf.DUMMYFUNCTION("""COMPUTED_VALUE"""),45723.0)</f>
        <v>45723</v>
      </c>
      <c r="J80" s="16"/>
      <c r="K80" s="16"/>
      <c r="L80" s="16" t="str">
        <f>IFERROR(__xludf.DUMMYFUNCTION("""COMPUTED_VALUE"""),"Medium")</f>
        <v>Medium</v>
      </c>
      <c r="M80" s="26" t="str">
        <f>IFERROR(__xludf.DUMMYFUNCTION("""COMPUTED_VALUE"""),"PartnerConnect  Technology")</f>
        <v>PartnerConnect  Technology</v>
      </c>
      <c r="N80" s="16" t="str">
        <f>IFERROR(__xludf.DUMMYFUNCTION("""COMPUTED_VALUE"""),"FY25 - Q2")</f>
        <v>FY25 - Q2</v>
      </c>
      <c r="O80" s="16">
        <f>IFERROR(__xludf.DUMMYFUNCTION("""COMPUTED_VALUE"""),0.0)</f>
        <v>0</v>
      </c>
      <c r="P80" s="16">
        <f>IFERROR(__xludf.DUMMYFUNCTION("""COMPUTED_VALUE"""),0.0)</f>
        <v>0</v>
      </c>
      <c r="Q80" s="16">
        <f>IFERROR(__xludf.DUMMYFUNCTION("""COMPUTED_VALUE"""),0.0)</f>
        <v>0</v>
      </c>
      <c r="R80" s="16">
        <f>IFERROR(__xludf.DUMMYFUNCTION("""COMPUTED_VALUE"""),0.0)</f>
        <v>0</v>
      </c>
      <c r="S80" s="16">
        <f>IFERROR(__xludf.DUMMYFUNCTION("""COMPUTED_VALUE"""),0.0)</f>
        <v>0</v>
      </c>
      <c r="T80" s="16">
        <f>IFERROR(__xludf.DUMMYFUNCTION("""COMPUTED_VALUE"""),0.0)</f>
        <v>0</v>
      </c>
      <c r="U80" s="16">
        <f>IFERROR(__xludf.DUMMYFUNCTION("""COMPUTED_VALUE"""),0.0)</f>
        <v>0</v>
      </c>
      <c r="V80" s="16">
        <f>IFERROR(__xludf.DUMMYFUNCTION("""COMPUTED_VALUE"""),0.0)</f>
        <v>0</v>
      </c>
      <c r="W80" s="16">
        <f>IFERROR(__xludf.DUMMYFUNCTION("""COMPUTED_VALUE"""),0.0)</f>
        <v>0</v>
      </c>
      <c r="X80" s="16" t="b">
        <f>IFERROR(__xludf.DUMMYFUNCTION("""COMPUTED_VALUE"""),FALSE)</f>
        <v>0</v>
      </c>
      <c r="Y80" s="16"/>
      <c r="Z80" s="16"/>
    </row>
    <row r="81">
      <c r="A81" s="16" t="str">
        <f>IFERROR(__xludf.DUMMYFUNCTION("""COMPUTED_VALUE"""),"EagleView Technologies, Inc")</f>
        <v>EagleView Technologies, Inc</v>
      </c>
      <c r="B81" s="16" t="str">
        <f>IFERROR(__xludf.DUMMYFUNCTION("""COMPUTED_VALUE"""),"Growth")</f>
        <v>Growth</v>
      </c>
      <c r="C81" s="26" t="str">
        <f>IFERROR(__xludf.DUMMYFUNCTION("""COMPUTED_VALUE"""),"NAM")</f>
        <v>NAM</v>
      </c>
      <c r="D81" s="16" t="str">
        <f>IFERROR(__xludf.DUMMYFUNCTION("""COMPUTED_VALUE"""),"Aaron Shaw")</f>
        <v>Aaron Shaw</v>
      </c>
      <c r="E81" s="26" t="str">
        <f>IFERROR(__xludf.DUMMYFUNCTION("""COMPUTED_VALUE"""),"United States")</f>
        <v>United States</v>
      </c>
      <c r="F81" s="26" t="str">
        <f>IFERROR(__xludf.DUMMYFUNCTION("""COMPUTED_VALUE"""),"ClaimCenter")</f>
        <v>ClaimCenter</v>
      </c>
      <c r="G81" s="20">
        <f>IFERROR(__xludf.DUMMYFUNCTION("""COMPUTED_VALUE"""),45950.0)</f>
        <v>45950</v>
      </c>
      <c r="H81" s="20"/>
      <c r="I81" s="20"/>
      <c r="J81" s="16"/>
      <c r="K81" s="20"/>
      <c r="L81" s="16" t="str">
        <f>IFERROR(__xludf.DUMMYFUNCTION("""COMPUTED_VALUE"""),"Medium")</f>
        <v>Medium</v>
      </c>
      <c r="M81" s="26" t="str">
        <f>IFERROR(__xludf.DUMMYFUNCTION("""COMPUTED_VALUE"""),"PartnerConnect  Technology")</f>
        <v>PartnerConnect  Technology</v>
      </c>
      <c r="N81" s="16" t="str">
        <f>IFERROR(__xludf.DUMMYFUNCTION("""COMPUTED_VALUE"""),"FY25 - Q1")</f>
        <v>FY25 - Q1</v>
      </c>
      <c r="O81" s="16">
        <f>IFERROR(__xludf.DUMMYFUNCTION("""COMPUTED_VALUE"""),0.0)</f>
        <v>0</v>
      </c>
      <c r="P81" s="16">
        <f>IFERROR(__xludf.DUMMYFUNCTION("""COMPUTED_VALUE"""),0.0)</f>
        <v>0</v>
      </c>
      <c r="Q81" s="16">
        <f>IFERROR(__xludf.DUMMYFUNCTION("""COMPUTED_VALUE"""),0.0)</f>
        <v>0</v>
      </c>
      <c r="R81" s="16">
        <f>IFERROR(__xludf.DUMMYFUNCTION("""COMPUTED_VALUE"""),0.0)</f>
        <v>0</v>
      </c>
      <c r="S81" s="16">
        <f>IFERROR(__xludf.DUMMYFUNCTION("""COMPUTED_VALUE"""),0.0)</f>
        <v>0</v>
      </c>
      <c r="T81" s="16">
        <f>IFERROR(__xludf.DUMMYFUNCTION("""COMPUTED_VALUE"""),0.0)</f>
        <v>0</v>
      </c>
      <c r="U81" s="16">
        <f>IFERROR(__xludf.DUMMYFUNCTION("""COMPUTED_VALUE"""),0.0)</f>
        <v>0</v>
      </c>
      <c r="V81" s="16">
        <f>IFERROR(__xludf.DUMMYFUNCTION("""COMPUTED_VALUE"""),0.0)</f>
        <v>0</v>
      </c>
      <c r="W81" s="16">
        <f>IFERROR(__xludf.DUMMYFUNCTION("""COMPUTED_VALUE"""),0.0)</f>
        <v>0</v>
      </c>
      <c r="X81" s="16" t="b">
        <f>IFERROR(__xludf.DUMMYFUNCTION("""COMPUTED_VALUE"""),FALSE)</f>
        <v>0</v>
      </c>
      <c r="Y81" s="16"/>
      <c r="Z81" s="16"/>
    </row>
    <row r="82">
      <c r="A82" s="16" t="str">
        <f>IFERROR(__xludf.DUMMYFUNCTION("""COMPUTED_VALUE"""),"Early Warning Network (EWN)")</f>
        <v>Early Warning Network (EWN)</v>
      </c>
      <c r="B82" s="16" t="str">
        <f>IFERROR(__xludf.DUMMYFUNCTION("""COMPUTED_VALUE"""),"Growth")</f>
        <v>Growth</v>
      </c>
      <c r="C82" s="26" t="str">
        <f>IFERROR(__xludf.DUMMYFUNCTION("""COMPUTED_VALUE"""),"APAC")</f>
        <v>APAC</v>
      </c>
      <c r="D82" s="16" t="str">
        <f>IFERROR(__xludf.DUMMYFUNCTION("""COMPUTED_VALUE"""),"Ketaki Padhye")</f>
        <v>Ketaki Padhye</v>
      </c>
      <c r="E82" s="26" t="str">
        <f>IFERROR(__xludf.DUMMYFUNCTION("""COMPUTED_VALUE"""),"Australia New Zealand")</f>
        <v>Australia New Zealand</v>
      </c>
      <c r="F82" s="26" t="str">
        <f>IFERROR(__xludf.DUMMYFUNCTION("""COMPUTED_VALUE"""),"ClaimCenter, PolicyCenter")</f>
        <v>ClaimCenter, PolicyCenter</v>
      </c>
      <c r="G82" s="20">
        <f>IFERROR(__xludf.DUMMYFUNCTION("""COMPUTED_VALUE"""),45308.0)</f>
        <v>45308</v>
      </c>
      <c r="H82" s="16"/>
      <c r="I82" s="20"/>
      <c r="J82" s="16"/>
      <c r="K82" s="20"/>
      <c r="L82" s="16" t="str">
        <f>IFERROR(__xludf.DUMMYFUNCTION("""COMPUTED_VALUE"""),"Medium")</f>
        <v>Medium</v>
      </c>
      <c r="M82" s="26" t="str">
        <f>IFERROR(__xludf.DUMMYFUNCTION("""COMPUTED_VALUE"""),"PartnerConnect  Technology")</f>
        <v>PartnerConnect  Technology</v>
      </c>
      <c r="N82" s="16" t="str">
        <f>IFERROR(__xludf.DUMMYFUNCTION("""COMPUTED_VALUE"""),"FY24 - Q2")</f>
        <v>FY24 - Q2</v>
      </c>
      <c r="O82" s="16">
        <f>IFERROR(__xludf.DUMMYFUNCTION("""COMPUTED_VALUE"""),0.0)</f>
        <v>0</v>
      </c>
      <c r="P82" s="16">
        <f>IFERROR(__xludf.DUMMYFUNCTION("""COMPUTED_VALUE"""),0.0)</f>
        <v>0</v>
      </c>
      <c r="Q82" s="16">
        <f>IFERROR(__xludf.DUMMYFUNCTION("""COMPUTED_VALUE"""),0.0)</f>
        <v>0</v>
      </c>
      <c r="R82" s="16">
        <f>IFERROR(__xludf.DUMMYFUNCTION("""COMPUTED_VALUE"""),0.0)</f>
        <v>0</v>
      </c>
      <c r="S82" s="16">
        <f>IFERROR(__xludf.DUMMYFUNCTION("""COMPUTED_VALUE"""),0.0)</f>
        <v>0</v>
      </c>
      <c r="T82" s="16">
        <f>IFERROR(__xludf.DUMMYFUNCTION("""COMPUTED_VALUE"""),0.0)</f>
        <v>0</v>
      </c>
      <c r="U82" s="16">
        <f>IFERROR(__xludf.DUMMYFUNCTION("""COMPUTED_VALUE"""),0.0)</f>
        <v>0</v>
      </c>
      <c r="V82" s="16">
        <f>IFERROR(__xludf.DUMMYFUNCTION("""COMPUTED_VALUE"""),0.0)</f>
        <v>0</v>
      </c>
      <c r="W82" s="16">
        <f>IFERROR(__xludf.DUMMYFUNCTION("""COMPUTED_VALUE"""),74.0)</f>
        <v>74</v>
      </c>
      <c r="X82" s="16" t="b">
        <f>IFERROR(__xludf.DUMMYFUNCTION("""COMPUTED_VALUE"""),FALSE)</f>
        <v>0</v>
      </c>
      <c r="Y82" s="16"/>
      <c r="Z82" s="16"/>
    </row>
    <row r="83">
      <c r="A83" s="16" t="str">
        <f>IFERROR(__xludf.DUMMYFUNCTION("""COMPUTED_VALUE"""),"Earnix")</f>
        <v>Earnix</v>
      </c>
      <c r="B83" s="16" t="str">
        <f>IFERROR(__xludf.DUMMYFUNCTION("""COMPUTED_VALUE"""),"Premier")</f>
        <v>Premier</v>
      </c>
      <c r="C83" s="26" t="str">
        <f>IFERROR(__xludf.DUMMYFUNCTION("""COMPUTED_VALUE"""),"APAC, EMEA, NAM, LatAm")</f>
        <v>APAC, EMEA, NAM, LatAm</v>
      </c>
      <c r="D83" s="16" t="str">
        <f>IFERROR(__xludf.DUMMYFUNCTION("""COMPUTED_VALUE"""),"Tim Kennedy")</f>
        <v>Tim Kennedy</v>
      </c>
      <c r="E83" s="26" t="str">
        <f>IFERROR(__xludf.DUMMYFUNCTION("""COMPUTED_VALUE"""),"Australia New Zealand, Austria, Benelux, Canada, Croatia, Czech Republic, Denmark, Finland, France, Germany, Hungary, India, Ireland, Israel, Italy, Norway, Poland, Russia, Slovakia, South America, Spain, Sweden, Switzerland, Turkey, UK, United States")</f>
        <v>Australia New Zealand, Austria, Benelux, Canada, Croatia, Czech Republic, Denmark, Finland, France, Germany, Hungary, India, Ireland, Israel, Italy, Norway, Poland, Russia, Slovakia, South America, Spain, Sweden, Switzerland, Turkey, UK, United States</v>
      </c>
      <c r="F83" s="26" t="str">
        <f>IFERROR(__xludf.DUMMYFUNCTION("""COMPUTED_VALUE"""),"PolicyCenter")</f>
        <v>PolicyCenter</v>
      </c>
      <c r="G83" s="20">
        <f>IFERROR(__xludf.DUMMYFUNCTION("""COMPUTED_VALUE"""),44811.0)</f>
        <v>44811</v>
      </c>
      <c r="H83" s="16"/>
      <c r="I83" s="20">
        <f>IFERROR(__xludf.DUMMYFUNCTION("""COMPUTED_VALUE"""),44811.0)</f>
        <v>44811</v>
      </c>
      <c r="J83" s="16"/>
      <c r="K83" s="13">
        <f>IFERROR(__xludf.DUMMYFUNCTION("""COMPUTED_VALUE"""),45118.0)</f>
        <v>45118</v>
      </c>
      <c r="L83" s="16" t="str">
        <f>IFERROR(__xludf.DUMMYFUNCTION("""COMPUTED_VALUE"""),"High")</f>
        <v>High</v>
      </c>
      <c r="M83" s="26" t="str">
        <f>IFERROR(__xludf.DUMMYFUNCTION("""COMPUTED_VALUE"""),"PartnerConnect  Technology")</f>
        <v>PartnerConnect  Technology</v>
      </c>
      <c r="N83" s="16" t="str">
        <f>IFERROR(__xludf.DUMMYFUNCTION("""COMPUTED_VALUE"""),"FY22 - Q1")</f>
        <v>FY22 - Q1</v>
      </c>
      <c r="O83" s="16">
        <f>IFERROR(__xludf.DUMMYFUNCTION("""COMPUTED_VALUE"""),2.0)</f>
        <v>2</v>
      </c>
      <c r="P83" s="16">
        <f>IFERROR(__xludf.DUMMYFUNCTION("""COMPUTED_VALUE"""),2.0)</f>
        <v>2</v>
      </c>
      <c r="Q83" s="16">
        <f>IFERROR(__xludf.DUMMYFUNCTION("""COMPUTED_VALUE"""),138.0)</f>
        <v>138</v>
      </c>
      <c r="R83" s="16">
        <f>IFERROR(__xludf.DUMMYFUNCTION("""COMPUTED_VALUE"""),94.0)</f>
        <v>94</v>
      </c>
      <c r="S83" s="16">
        <f>IFERROR(__xludf.DUMMYFUNCTION("""COMPUTED_VALUE"""),76868.0)</f>
        <v>76868</v>
      </c>
      <c r="T83" s="16">
        <f>IFERROR(__xludf.DUMMYFUNCTION("""COMPUTED_VALUE"""),44.0)</f>
        <v>44</v>
      </c>
      <c r="U83" s="16">
        <f>IFERROR(__xludf.DUMMYFUNCTION("""COMPUTED_VALUE"""),82.0)</f>
        <v>82</v>
      </c>
      <c r="V83" s="16">
        <f>IFERROR(__xludf.DUMMYFUNCTION("""COMPUTED_VALUE"""),82.0)</f>
        <v>82</v>
      </c>
      <c r="W83" s="16">
        <f>IFERROR(__xludf.DUMMYFUNCTION("""COMPUTED_VALUE"""),0.0)</f>
        <v>0</v>
      </c>
      <c r="X83" s="16" t="b">
        <f>IFERROR(__xludf.DUMMYFUNCTION("""COMPUTED_VALUE"""),FALSE)</f>
        <v>0</v>
      </c>
      <c r="Y83" s="16"/>
      <c r="Z83" s="16"/>
    </row>
    <row r="84">
      <c r="A84" s="16" t="str">
        <f>IFERROR(__xludf.DUMMYFUNCTION("""COMPUTED_VALUE"""),"EarthDaily Analytics Corp.")</f>
        <v>EarthDaily Analytics Corp.</v>
      </c>
      <c r="B84" s="16" t="str">
        <f>IFERROR(__xludf.DUMMYFUNCTION("""COMPUTED_VALUE"""),"Growth")</f>
        <v>Growth</v>
      </c>
      <c r="C84" s="26" t="str">
        <f>IFERROR(__xludf.DUMMYFUNCTION("""COMPUTED_VALUE"""),"APAC, NAM")</f>
        <v>APAC, NAM</v>
      </c>
      <c r="D84" s="16" t="str">
        <f>IFERROR(__xludf.DUMMYFUNCTION("""COMPUTED_VALUE"""),"Ketaki Padhye")</f>
        <v>Ketaki Padhye</v>
      </c>
      <c r="E84" s="26" t="str">
        <f>IFERROR(__xludf.DUMMYFUNCTION("""COMPUTED_VALUE"""),"Australia New Zealand, United States")</f>
        <v>Australia New Zealand, United States</v>
      </c>
      <c r="F84" s="26"/>
      <c r="G84" s="20">
        <f>IFERROR(__xludf.DUMMYFUNCTION("""COMPUTED_VALUE"""),45307.0)</f>
        <v>45307</v>
      </c>
      <c r="H84" s="16"/>
      <c r="I84" s="20"/>
      <c r="J84" s="16"/>
      <c r="K84" s="20"/>
      <c r="L84" s="16" t="str">
        <f>IFERROR(__xludf.DUMMYFUNCTION("""COMPUTED_VALUE"""),"Medium")</f>
        <v>Medium</v>
      </c>
      <c r="M84" s="26" t="str">
        <f>IFERROR(__xludf.DUMMYFUNCTION("""COMPUTED_VALUE"""),"PartnerConnect  Technology")</f>
        <v>PartnerConnect  Technology</v>
      </c>
      <c r="N84" s="16" t="str">
        <f>IFERROR(__xludf.DUMMYFUNCTION("""COMPUTED_VALUE"""),"FY24 - Q2")</f>
        <v>FY24 - Q2</v>
      </c>
      <c r="O84" s="16">
        <f>IFERROR(__xludf.DUMMYFUNCTION("""COMPUTED_VALUE"""),0.0)</f>
        <v>0</v>
      </c>
      <c r="P84" s="16">
        <f>IFERROR(__xludf.DUMMYFUNCTION("""COMPUTED_VALUE"""),0.0)</f>
        <v>0</v>
      </c>
      <c r="Q84" s="16">
        <f>IFERROR(__xludf.DUMMYFUNCTION("""COMPUTED_VALUE"""),0.0)</f>
        <v>0</v>
      </c>
      <c r="R84" s="16">
        <f>IFERROR(__xludf.DUMMYFUNCTION("""COMPUTED_VALUE"""),0.0)</f>
        <v>0</v>
      </c>
      <c r="S84" s="16">
        <f>IFERROR(__xludf.DUMMYFUNCTION("""COMPUTED_VALUE"""),0.0)</f>
        <v>0</v>
      </c>
      <c r="T84" s="16">
        <f>IFERROR(__xludf.DUMMYFUNCTION("""COMPUTED_VALUE"""),0.0)</f>
        <v>0</v>
      </c>
      <c r="U84" s="16">
        <f>IFERROR(__xludf.DUMMYFUNCTION("""COMPUTED_VALUE"""),0.0)</f>
        <v>0</v>
      </c>
      <c r="V84" s="16">
        <f>IFERROR(__xludf.DUMMYFUNCTION("""COMPUTED_VALUE"""),0.0)</f>
        <v>0</v>
      </c>
      <c r="W84" s="16">
        <f>IFERROR(__xludf.DUMMYFUNCTION("""COMPUTED_VALUE"""),1.0)</f>
        <v>1</v>
      </c>
      <c r="X84" s="16" t="b">
        <f>IFERROR(__xludf.DUMMYFUNCTION("""COMPUTED_VALUE"""),FALSE)</f>
        <v>0</v>
      </c>
      <c r="Y84" s="16"/>
      <c r="Z84" s="16"/>
    </row>
    <row r="85">
      <c r="A85" s="16" t="str">
        <f>IFERROR(__xludf.DUMMYFUNCTION("""COMPUTED_VALUE"""),"ECHO")</f>
        <v>ECHO</v>
      </c>
      <c r="B85" s="16" t="str">
        <f>IFERROR(__xludf.DUMMYFUNCTION("""COMPUTED_VALUE"""),"Advantage")</f>
        <v>Advantage</v>
      </c>
      <c r="C85" s="26" t="str">
        <f>IFERROR(__xludf.DUMMYFUNCTION("""COMPUTED_VALUE"""),"NAM")</f>
        <v>NAM</v>
      </c>
      <c r="D85" s="16" t="str">
        <f>IFERROR(__xludf.DUMMYFUNCTION("""COMPUTED_VALUE"""),"Rod Gowin")</f>
        <v>Rod Gowin</v>
      </c>
      <c r="E85" s="26" t="str">
        <f>IFERROR(__xludf.DUMMYFUNCTION("""COMPUTED_VALUE"""),"United States")</f>
        <v>United States</v>
      </c>
      <c r="F85" s="26" t="str">
        <f>IFERROR(__xludf.DUMMYFUNCTION("""COMPUTED_VALUE"""),"ClaimCenter")</f>
        <v>ClaimCenter</v>
      </c>
      <c r="G85" s="20">
        <f>IFERROR(__xludf.DUMMYFUNCTION("""COMPUTED_VALUE"""),42241.0)</f>
        <v>42241</v>
      </c>
      <c r="H85" s="16"/>
      <c r="I85" s="20">
        <f>IFERROR(__xludf.DUMMYFUNCTION("""COMPUTED_VALUE"""),42300.0)</f>
        <v>42300</v>
      </c>
      <c r="J85" s="16"/>
      <c r="K85" s="20">
        <f>IFERROR(__xludf.DUMMYFUNCTION("""COMPUTED_VALUE"""),43157.0)</f>
        <v>43157</v>
      </c>
      <c r="L85" s="16" t="str">
        <f>IFERROR(__xludf.DUMMYFUNCTION("""COMPUTED_VALUE"""),"Medium")</f>
        <v>Medium</v>
      </c>
      <c r="M85" s="26" t="str">
        <f>IFERROR(__xludf.DUMMYFUNCTION("""COMPUTED_VALUE"""),"PartnerConnect  Technology")</f>
        <v>PartnerConnect  Technology</v>
      </c>
      <c r="N85" s="16" t="str">
        <f>IFERROR(__xludf.DUMMYFUNCTION("""COMPUTED_VALUE"""),"FY15 - Q1")</f>
        <v>FY15 - Q1</v>
      </c>
      <c r="O85" s="16">
        <f>IFERROR(__xludf.DUMMYFUNCTION("""COMPUTED_VALUE"""),2.0)</f>
        <v>2</v>
      </c>
      <c r="P85" s="16">
        <f>IFERROR(__xludf.DUMMYFUNCTION("""COMPUTED_VALUE"""),2.0)</f>
        <v>2</v>
      </c>
      <c r="Q85" s="16">
        <f>IFERROR(__xludf.DUMMYFUNCTION("""COMPUTED_VALUE"""),35.0)</f>
        <v>35</v>
      </c>
      <c r="R85" s="16">
        <f>IFERROR(__xludf.DUMMYFUNCTION("""COMPUTED_VALUE"""),4.0)</f>
        <v>4</v>
      </c>
      <c r="S85" s="16">
        <f>IFERROR(__xludf.DUMMYFUNCTION("""COMPUTED_VALUE"""),31710.0)</f>
        <v>31710</v>
      </c>
      <c r="T85" s="16">
        <f>IFERROR(__xludf.DUMMYFUNCTION("""COMPUTED_VALUE"""),20.0)</f>
        <v>20</v>
      </c>
      <c r="U85" s="16">
        <f>IFERROR(__xludf.DUMMYFUNCTION("""COMPUTED_VALUE"""),1.0)</f>
        <v>1</v>
      </c>
      <c r="V85" s="16">
        <f>IFERROR(__xludf.DUMMYFUNCTION("""COMPUTED_VALUE"""),1.0)</f>
        <v>1</v>
      </c>
      <c r="W85" s="16">
        <f>IFERROR(__xludf.DUMMYFUNCTION("""COMPUTED_VALUE"""),0.0)</f>
        <v>0</v>
      </c>
      <c r="X85" s="16" t="b">
        <f>IFERROR(__xludf.DUMMYFUNCTION("""COMPUTED_VALUE"""),TRUE)</f>
        <v>1</v>
      </c>
      <c r="Y85" s="16"/>
      <c r="Z85" s="16"/>
    </row>
    <row r="86">
      <c r="A86" s="16" t="str">
        <f>IFERROR(__xludf.DUMMYFUNCTION("""COMPUTED_VALUE"""),"edjuster, by Crawford &amp; Company")</f>
        <v>edjuster, by Crawford &amp; Company</v>
      </c>
      <c r="B86" s="16" t="str">
        <f>IFERROR(__xludf.DUMMYFUNCTION("""COMPUTED_VALUE"""),"Growth")</f>
        <v>Growth</v>
      </c>
      <c r="C86" s="26" t="str">
        <f>IFERROR(__xludf.DUMMYFUNCTION("""COMPUTED_VALUE"""),"NAM")</f>
        <v>NAM</v>
      </c>
      <c r="D86" s="16" t="str">
        <f>IFERROR(__xludf.DUMMYFUNCTION("""COMPUTED_VALUE"""),"Rod Gowin")</f>
        <v>Rod Gowin</v>
      </c>
      <c r="E86" s="26" t="str">
        <f>IFERROR(__xludf.DUMMYFUNCTION("""COMPUTED_VALUE"""),"United States")</f>
        <v>United States</v>
      </c>
      <c r="F86" s="16" t="str">
        <f>IFERROR(__xludf.DUMMYFUNCTION("""COMPUTED_VALUE"""),"ClaimCenter")</f>
        <v>ClaimCenter</v>
      </c>
      <c r="G86" s="20">
        <f>IFERROR(__xludf.DUMMYFUNCTION("""COMPUTED_VALUE"""),45209.0)</f>
        <v>45209</v>
      </c>
      <c r="H86" s="16"/>
      <c r="I86" s="20">
        <f>IFERROR(__xludf.DUMMYFUNCTION("""COMPUTED_VALUE"""),45383.0)</f>
        <v>45383</v>
      </c>
      <c r="J86" s="16"/>
      <c r="K86" s="16"/>
      <c r="L86" s="16" t="str">
        <f>IFERROR(__xludf.DUMMYFUNCTION("""COMPUTED_VALUE"""),"Medium")</f>
        <v>Medium</v>
      </c>
      <c r="M86" s="26" t="str">
        <f>IFERROR(__xludf.DUMMYFUNCTION("""COMPUTED_VALUE"""),"PartnerConnect  Technology")</f>
        <v>PartnerConnect  Technology</v>
      </c>
      <c r="N86" s="16" t="str">
        <f>IFERROR(__xludf.DUMMYFUNCTION("""COMPUTED_VALUE"""),"FY23 - Q1")</f>
        <v>FY23 - Q1</v>
      </c>
      <c r="O86" s="16">
        <f>IFERROR(__xludf.DUMMYFUNCTION("""COMPUTED_VALUE"""),0.0)</f>
        <v>0</v>
      </c>
      <c r="P86" s="16">
        <f>IFERROR(__xludf.DUMMYFUNCTION("""COMPUTED_VALUE"""),0.0)</f>
        <v>0</v>
      </c>
      <c r="Q86" s="16">
        <f>IFERROR(__xludf.DUMMYFUNCTION("""COMPUTED_VALUE"""),0.0)</f>
        <v>0</v>
      </c>
      <c r="R86" s="16">
        <f>IFERROR(__xludf.DUMMYFUNCTION("""COMPUTED_VALUE"""),0.0)</f>
        <v>0</v>
      </c>
      <c r="S86" s="16">
        <f>IFERROR(__xludf.DUMMYFUNCTION("""COMPUTED_VALUE"""),0.0)</f>
        <v>0</v>
      </c>
      <c r="T86" s="16">
        <f>IFERROR(__xludf.DUMMYFUNCTION("""COMPUTED_VALUE"""),0.0)</f>
        <v>0</v>
      </c>
      <c r="U86" s="16">
        <f>IFERROR(__xludf.DUMMYFUNCTION("""COMPUTED_VALUE"""),0.0)</f>
        <v>0</v>
      </c>
      <c r="V86" s="16">
        <f>IFERROR(__xludf.DUMMYFUNCTION("""COMPUTED_VALUE"""),0.0)</f>
        <v>0</v>
      </c>
      <c r="W86" s="16">
        <f>IFERROR(__xludf.DUMMYFUNCTION("""COMPUTED_VALUE"""),0.0)</f>
        <v>0</v>
      </c>
      <c r="X86" s="16" t="b">
        <f>IFERROR(__xludf.DUMMYFUNCTION("""COMPUTED_VALUE"""),FALSE)</f>
        <v>0</v>
      </c>
      <c r="Y86" s="16"/>
      <c r="Z86" s="16"/>
    </row>
    <row r="87">
      <c r="A87" s="16" t="str">
        <f>IFERROR(__xludf.DUMMYFUNCTION("""COMPUTED_VALUE"""),"Enservio")</f>
        <v>Enservio</v>
      </c>
      <c r="B87" s="16" t="str">
        <f>IFERROR(__xludf.DUMMYFUNCTION("""COMPUTED_VALUE"""),"Growth")</f>
        <v>Growth</v>
      </c>
      <c r="C87" s="26" t="str">
        <f>IFERROR(__xludf.DUMMYFUNCTION("""COMPUTED_VALUE"""),"NAM")</f>
        <v>NAM</v>
      </c>
      <c r="D87" s="16" t="str">
        <f>IFERROR(__xludf.DUMMYFUNCTION("""COMPUTED_VALUE"""),"Eric Apse")</f>
        <v>Eric Apse</v>
      </c>
      <c r="E87" s="16" t="str">
        <f>IFERROR(__xludf.DUMMYFUNCTION("""COMPUTED_VALUE"""),"United States")</f>
        <v>United States</v>
      </c>
      <c r="F87" s="16" t="str">
        <f>IFERROR(__xludf.DUMMYFUNCTION("""COMPUTED_VALUE"""),"ClaimCenter")</f>
        <v>ClaimCenter</v>
      </c>
      <c r="G87" s="20">
        <f>IFERROR(__xludf.DUMMYFUNCTION("""COMPUTED_VALUE"""),43678.0)</f>
        <v>43678</v>
      </c>
      <c r="H87" s="20"/>
      <c r="I87" s="13">
        <f>IFERROR(__xludf.DUMMYFUNCTION("""COMPUTED_VALUE"""),43678.0)</f>
        <v>43678</v>
      </c>
      <c r="J87" s="16"/>
      <c r="K87" s="13">
        <f>IFERROR(__xludf.DUMMYFUNCTION("""COMPUTED_VALUE"""),44454.0)</f>
        <v>44454</v>
      </c>
      <c r="L87" s="16" t="str">
        <f>IFERROR(__xludf.DUMMYFUNCTION("""COMPUTED_VALUE"""),"Low")</f>
        <v>Low</v>
      </c>
      <c r="M87" s="26" t="str">
        <f>IFERROR(__xludf.DUMMYFUNCTION("""COMPUTED_VALUE"""),"PartnerConnect  Technology")</f>
        <v>PartnerConnect  Technology</v>
      </c>
      <c r="N87" s="16" t="str">
        <f>IFERROR(__xludf.DUMMYFUNCTION("""COMPUTED_VALUE"""),"FY19 - Q1")</f>
        <v>FY19 - Q1</v>
      </c>
      <c r="O87" s="16">
        <f>IFERROR(__xludf.DUMMYFUNCTION("""COMPUTED_VALUE"""),0.0)</f>
        <v>0</v>
      </c>
      <c r="P87" s="16">
        <f>IFERROR(__xludf.DUMMYFUNCTION("""COMPUTED_VALUE"""),0.0)</f>
        <v>0</v>
      </c>
      <c r="Q87" s="16">
        <f>IFERROR(__xludf.DUMMYFUNCTION("""COMPUTED_VALUE"""),0.0)</f>
        <v>0</v>
      </c>
      <c r="R87" s="16">
        <f>IFERROR(__xludf.DUMMYFUNCTION("""COMPUTED_VALUE"""),0.0)</f>
        <v>0</v>
      </c>
      <c r="S87" s="16">
        <f>IFERROR(__xludf.DUMMYFUNCTION("""COMPUTED_VALUE"""),0.0)</f>
        <v>0</v>
      </c>
      <c r="T87" s="16">
        <f>IFERROR(__xludf.DUMMYFUNCTION("""COMPUTED_VALUE"""),0.0)</f>
        <v>0</v>
      </c>
      <c r="U87" s="16">
        <f>IFERROR(__xludf.DUMMYFUNCTION("""COMPUTED_VALUE"""),0.0)</f>
        <v>0</v>
      </c>
      <c r="V87" s="16">
        <f>IFERROR(__xludf.DUMMYFUNCTION("""COMPUTED_VALUE"""),0.0)</f>
        <v>0</v>
      </c>
      <c r="W87" s="16">
        <f>IFERROR(__xludf.DUMMYFUNCTION("""COMPUTED_VALUE"""),0.0)</f>
        <v>0</v>
      </c>
      <c r="X87" s="16" t="b">
        <f>IFERROR(__xludf.DUMMYFUNCTION("""COMPUTED_VALUE"""),FALSE)</f>
        <v>0</v>
      </c>
      <c r="Y87" s="16"/>
      <c r="Z87" s="16"/>
    </row>
    <row r="88">
      <c r="A88" s="16" t="str">
        <f>IFERROR(__xludf.DUMMYFUNCTION("""COMPUTED_VALUE"""),"Enterprise Rent A Car")</f>
        <v>Enterprise Rent A Car</v>
      </c>
      <c r="B88" s="16" t="str">
        <f>IFERROR(__xludf.DUMMYFUNCTION("""COMPUTED_VALUE"""),"Premier")</f>
        <v>Premier</v>
      </c>
      <c r="C88" s="26" t="str">
        <f>IFERROR(__xludf.DUMMYFUNCTION("""COMPUTED_VALUE"""),"EMEA, NAM")</f>
        <v>EMEA, NAM</v>
      </c>
      <c r="D88" s="16" t="str">
        <f>IFERROR(__xludf.DUMMYFUNCTION("""COMPUTED_VALUE"""),"Lisa Vingerhoet")</f>
        <v>Lisa Vingerhoet</v>
      </c>
      <c r="E88" s="26" t="str">
        <f>IFERROR(__xludf.DUMMYFUNCTION("""COMPUTED_VALUE"""),"Canada, UK, United States")</f>
        <v>Canada, UK, United States</v>
      </c>
      <c r="F88" s="26" t="str">
        <f>IFERROR(__xludf.DUMMYFUNCTION("""COMPUTED_VALUE"""),"ClaimCenter")</f>
        <v>ClaimCenter</v>
      </c>
      <c r="G88" s="20">
        <f>IFERROR(__xludf.DUMMYFUNCTION("""COMPUTED_VALUE"""),42479.0)</f>
        <v>42479</v>
      </c>
      <c r="H88" s="20"/>
      <c r="I88" s="20">
        <f>IFERROR(__xludf.DUMMYFUNCTION("""COMPUTED_VALUE"""),42479.0)</f>
        <v>42479</v>
      </c>
      <c r="J88" s="16"/>
      <c r="K88" s="20">
        <f>IFERROR(__xludf.DUMMYFUNCTION("""COMPUTED_VALUE"""),42965.0)</f>
        <v>42965</v>
      </c>
      <c r="L88" s="16" t="str">
        <f>IFERROR(__xludf.DUMMYFUNCTION("""COMPUTED_VALUE"""),"Medium")</f>
        <v>Medium</v>
      </c>
      <c r="M88" s="26" t="str">
        <f>IFERROR(__xludf.DUMMYFUNCTION("""COMPUTED_VALUE"""),"PartnerConnect  Technology")</f>
        <v>PartnerConnect  Technology</v>
      </c>
      <c r="N88" s="16" t="str">
        <f>IFERROR(__xludf.DUMMYFUNCTION("""COMPUTED_VALUE"""),"FY16 - Q3")</f>
        <v>FY16 - Q3</v>
      </c>
      <c r="O88" s="16">
        <f>IFERROR(__xludf.DUMMYFUNCTION("""COMPUTED_VALUE"""),0.0)</f>
        <v>0</v>
      </c>
      <c r="P88" s="16">
        <f>IFERROR(__xludf.DUMMYFUNCTION("""COMPUTED_VALUE"""),0.0)</f>
        <v>0</v>
      </c>
      <c r="Q88" s="16">
        <f>IFERROR(__xludf.DUMMYFUNCTION("""COMPUTED_VALUE"""),0.0)</f>
        <v>0</v>
      </c>
      <c r="R88" s="16">
        <f>IFERROR(__xludf.DUMMYFUNCTION("""COMPUTED_VALUE"""),0.0)</f>
        <v>0</v>
      </c>
      <c r="S88" s="16">
        <f>IFERROR(__xludf.DUMMYFUNCTION("""COMPUTED_VALUE"""),0.0)</f>
        <v>0</v>
      </c>
      <c r="T88" s="16">
        <f>IFERROR(__xludf.DUMMYFUNCTION("""COMPUTED_VALUE"""),0.0)</f>
        <v>0</v>
      </c>
      <c r="U88" s="16">
        <f>IFERROR(__xludf.DUMMYFUNCTION("""COMPUTED_VALUE"""),0.0)</f>
        <v>0</v>
      </c>
      <c r="V88" s="16">
        <f>IFERROR(__xludf.DUMMYFUNCTION("""COMPUTED_VALUE"""),0.0)</f>
        <v>0</v>
      </c>
      <c r="W88" s="16">
        <f>IFERROR(__xludf.DUMMYFUNCTION("""COMPUTED_VALUE"""),0.0)</f>
        <v>0</v>
      </c>
      <c r="X88" s="16" t="b">
        <f>IFERROR(__xludf.DUMMYFUNCTION("""COMPUTED_VALUE"""),FALSE)</f>
        <v>0</v>
      </c>
      <c r="Y88" s="16"/>
      <c r="Z88" s="16"/>
    </row>
    <row r="89">
      <c r="A89" s="16" t="str">
        <f>IFERROR(__xludf.DUMMYFUNCTION("""COMPUTED_VALUE"""),"EPAM Systems Inc.")</f>
        <v>EPAM Systems Inc.</v>
      </c>
      <c r="B89" s="16" t="str">
        <f>IFERROR(__xludf.DUMMYFUNCTION("""COMPUTED_VALUE"""),"Growth")</f>
        <v>Growth</v>
      </c>
      <c r="C89" s="26" t="str">
        <f>IFERROR(__xludf.DUMMYFUNCTION("""COMPUTED_VALUE"""),"NAM")</f>
        <v>NAM</v>
      </c>
      <c r="D89" s="16" t="str">
        <f>IFERROR(__xludf.DUMMYFUNCTION("""COMPUTED_VALUE"""),"Rod Gowin")</f>
        <v>Rod Gowin</v>
      </c>
      <c r="E89" s="26" t="str">
        <f>IFERROR(__xludf.DUMMYFUNCTION("""COMPUTED_VALUE"""),"Australia New Zealand, Austria, Canada, Croatia, Czech Republic, France, Germany, Hungary, India, Ireland, Israel, Italy, Poland, Spain, Sweden, UK, United States")</f>
        <v>Australia New Zealand, Austria, Canada, Croatia, Czech Republic, France, Germany, Hungary, India, Ireland, Israel, Italy, Poland, Spain, Sweden, UK, United States</v>
      </c>
      <c r="F89" s="26" t="str">
        <f>IFERROR(__xludf.DUMMYFUNCTION("""COMPUTED_VALUE"""),"PolicyCenter")</f>
        <v>PolicyCenter</v>
      </c>
      <c r="G89" s="20">
        <f>IFERROR(__xludf.DUMMYFUNCTION("""COMPUTED_VALUE"""),45861.0)</f>
        <v>45861</v>
      </c>
      <c r="H89" s="20"/>
      <c r="I89" s="20">
        <f>IFERROR(__xludf.DUMMYFUNCTION("""COMPUTED_VALUE"""),45861.0)</f>
        <v>45861</v>
      </c>
      <c r="J89" s="16"/>
      <c r="K89" s="16"/>
      <c r="L89" s="16" t="str">
        <f>IFERROR(__xludf.DUMMYFUNCTION("""COMPUTED_VALUE"""),"Medium")</f>
        <v>Medium</v>
      </c>
      <c r="M89" s="26" t="str">
        <f>IFERROR(__xludf.DUMMYFUNCTION("""COMPUTED_VALUE"""),"PartnerConnect  Technology")</f>
        <v>PartnerConnect  Technology</v>
      </c>
      <c r="N89" s="16" t="str">
        <f>IFERROR(__xludf.DUMMYFUNCTION("""COMPUTED_VALUE"""),"FY25 - Q4")</f>
        <v>FY25 - Q4</v>
      </c>
      <c r="O89" s="16">
        <f>IFERROR(__xludf.DUMMYFUNCTION("""COMPUTED_VALUE"""),1.0)</f>
        <v>1</v>
      </c>
      <c r="P89" s="16">
        <f>IFERROR(__xludf.DUMMYFUNCTION("""COMPUTED_VALUE"""),1.0)</f>
        <v>1</v>
      </c>
      <c r="Q89" s="16">
        <f>IFERROR(__xludf.DUMMYFUNCTION("""COMPUTED_VALUE"""),0.0)</f>
        <v>0</v>
      </c>
      <c r="R89" s="16">
        <f>IFERROR(__xludf.DUMMYFUNCTION("""COMPUTED_VALUE"""),0.0)</f>
        <v>0</v>
      </c>
      <c r="S89" s="16">
        <f>IFERROR(__xludf.DUMMYFUNCTION("""COMPUTED_VALUE"""),0.0)</f>
        <v>0</v>
      </c>
      <c r="T89" s="16">
        <f>IFERROR(__xludf.DUMMYFUNCTION("""COMPUTED_VALUE"""),0.0)</f>
        <v>0</v>
      </c>
      <c r="U89" s="16">
        <f>IFERROR(__xludf.DUMMYFUNCTION("""COMPUTED_VALUE"""),0.0)</f>
        <v>0</v>
      </c>
      <c r="V89" s="16">
        <f>IFERROR(__xludf.DUMMYFUNCTION("""COMPUTED_VALUE"""),0.0)</f>
        <v>0</v>
      </c>
      <c r="W89" s="16">
        <f>IFERROR(__xludf.DUMMYFUNCTION("""COMPUTED_VALUE"""),62.0)</f>
        <v>62</v>
      </c>
      <c r="X89" s="16" t="b">
        <f>IFERROR(__xludf.DUMMYFUNCTION("""COMPUTED_VALUE"""),FALSE)</f>
        <v>0</v>
      </c>
      <c r="Y89" s="16"/>
      <c r="Z89" s="16"/>
    </row>
    <row r="90">
      <c r="A90" s="16" t="str">
        <f>IFERROR(__xludf.DUMMYFUNCTION("""COMPUTED_VALUE"""),"Ernst &amp; Young LLP")</f>
        <v>Ernst &amp; Young LLP</v>
      </c>
      <c r="B90" s="16" t="str">
        <f>IFERROR(__xludf.DUMMYFUNCTION("""COMPUTED_VALUE"""),"Global Strategic")</f>
        <v>Global Strategic</v>
      </c>
      <c r="C90" s="26" t="str">
        <f>IFERROR(__xludf.DUMMYFUNCTION("""COMPUTED_VALUE"""),"APAC, EMEA, NAM, LatAm")</f>
        <v>APAC, EMEA, NAM, LatAm</v>
      </c>
      <c r="D90" s="16" t="str">
        <f>IFERROR(__xludf.DUMMYFUNCTION("""COMPUTED_VALUE"""),"Karolina Kuczko")</f>
        <v>Karolina Kuczko</v>
      </c>
      <c r="E90" s="26"/>
      <c r="F90" s="26"/>
      <c r="G90" s="20">
        <f>IFERROR(__xludf.DUMMYFUNCTION("""COMPUTED_VALUE"""),42100.0)</f>
        <v>42100</v>
      </c>
      <c r="H90" s="20">
        <f>IFERROR(__xludf.DUMMYFUNCTION("""COMPUTED_VALUE"""),42831.0)</f>
        <v>42831</v>
      </c>
      <c r="I90" s="20"/>
      <c r="J90" s="16"/>
      <c r="K90" s="20"/>
      <c r="L90" s="16"/>
      <c r="M90" s="26" t="str">
        <f>IFERROR(__xludf.DUMMYFUNCTION("""COMPUTED_VALUE"""),"PartnerConnect  Consulting")</f>
        <v>PartnerConnect  Consulting</v>
      </c>
      <c r="N90" s="16" t="str">
        <f>IFERROR(__xludf.DUMMYFUNCTION("""COMPUTED_VALUE"""),"FY15 - Q3")</f>
        <v>FY15 - Q3</v>
      </c>
      <c r="O90" s="16">
        <f>IFERROR(__xludf.DUMMYFUNCTION("""COMPUTED_VALUE"""),16.0)</f>
        <v>16</v>
      </c>
      <c r="P90" s="16">
        <f>IFERROR(__xludf.DUMMYFUNCTION("""COMPUTED_VALUE"""),16.0)</f>
        <v>16</v>
      </c>
      <c r="Q90" s="16">
        <f>IFERROR(__xludf.DUMMYFUNCTION("""COMPUTED_VALUE"""),102.0)</f>
        <v>102</v>
      </c>
      <c r="R90" s="16">
        <f>IFERROR(__xludf.DUMMYFUNCTION("""COMPUTED_VALUE"""),62.0)</f>
        <v>62</v>
      </c>
      <c r="S90" s="16">
        <f>IFERROR(__xludf.DUMMYFUNCTION("""COMPUTED_VALUE"""),114685.0)</f>
        <v>114685</v>
      </c>
      <c r="T90" s="16">
        <f>IFERROR(__xludf.DUMMYFUNCTION("""COMPUTED_VALUE"""),17.0)</f>
        <v>17</v>
      </c>
      <c r="U90" s="16">
        <f>IFERROR(__xludf.DUMMYFUNCTION("""COMPUTED_VALUE"""),62.0)</f>
        <v>62</v>
      </c>
      <c r="V90" s="16">
        <f>IFERROR(__xludf.DUMMYFUNCTION("""COMPUTED_VALUE"""),62.0)</f>
        <v>62</v>
      </c>
      <c r="W90" s="16">
        <f>IFERROR(__xludf.DUMMYFUNCTION("""COMPUTED_VALUE"""),0.0)</f>
        <v>0</v>
      </c>
      <c r="X90" s="16" t="b">
        <f>IFERROR(__xludf.DUMMYFUNCTION("""COMPUTED_VALUE"""),TRUE)</f>
        <v>1</v>
      </c>
      <c r="Y90" s="16"/>
      <c r="Z90" s="16"/>
    </row>
    <row r="91">
      <c r="A91" s="16" t="str">
        <f>IFERROR(__xludf.DUMMYFUNCTION("""COMPUTED_VALUE"""),"Ethos Risk Services, LLC")</f>
        <v>Ethos Risk Services, LLC</v>
      </c>
      <c r="B91" s="16" t="str">
        <f>IFERROR(__xludf.DUMMYFUNCTION("""COMPUTED_VALUE"""),"Growth")</f>
        <v>Growth</v>
      </c>
      <c r="C91" s="26" t="str">
        <f>IFERROR(__xludf.DUMMYFUNCTION("""COMPUTED_VALUE"""),"NAM")</f>
        <v>NAM</v>
      </c>
      <c r="D91" s="16" t="str">
        <f>IFERROR(__xludf.DUMMYFUNCTION("""COMPUTED_VALUE"""),"Rod Gowin")</f>
        <v>Rod Gowin</v>
      </c>
      <c r="E91" s="26" t="str">
        <f>IFERROR(__xludf.DUMMYFUNCTION("""COMPUTED_VALUE"""),"United States")</f>
        <v>United States</v>
      </c>
      <c r="F91" s="26" t="str">
        <f>IFERROR(__xludf.DUMMYFUNCTION("""COMPUTED_VALUE"""),"ClaimCenter")</f>
        <v>ClaimCenter</v>
      </c>
      <c r="G91" s="20">
        <f>IFERROR(__xludf.DUMMYFUNCTION("""COMPUTED_VALUE"""),43678.0)</f>
        <v>43678</v>
      </c>
      <c r="H91" s="20">
        <f>IFERROR(__xludf.DUMMYFUNCTION("""COMPUTED_VALUE"""),44409.0)</f>
        <v>44409</v>
      </c>
      <c r="I91" s="20">
        <f>IFERROR(__xludf.DUMMYFUNCTION("""COMPUTED_VALUE"""),43678.0)</f>
        <v>43678</v>
      </c>
      <c r="J91" s="16"/>
      <c r="K91" s="13">
        <f>IFERROR(__xludf.DUMMYFUNCTION("""COMPUTED_VALUE"""),43949.0)</f>
        <v>43949</v>
      </c>
      <c r="L91" s="16" t="str">
        <f>IFERROR(__xludf.DUMMYFUNCTION("""COMPUTED_VALUE"""),"Low")</f>
        <v>Low</v>
      </c>
      <c r="M91" s="26" t="str">
        <f>IFERROR(__xludf.DUMMYFUNCTION("""COMPUTED_VALUE"""),"PartnerConnect  Technology")</f>
        <v>PartnerConnect  Technology</v>
      </c>
      <c r="N91" s="16" t="str">
        <f>IFERROR(__xludf.DUMMYFUNCTION("""COMPUTED_VALUE"""),"FY19 - Q1")</f>
        <v>FY19 - Q1</v>
      </c>
      <c r="O91" s="16">
        <f>IFERROR(__xludf.DUMMYFUNCTION("""COMPUTED_VALUE"""),0.0)</f>
        <v>0</v>
      </c>
      <c r="P91" s="16">
        <f>IFERROR(__xludf.DUMMYFUNCTION("""COMPUTED_VALUE"""),0.0)</f>
        <v>0</v>
      </c>
      <c r="Q91" s="16">
        <f>IFERROR(__xludf.DUMMYFUNCTION("""COMPUTED_VALUE"""),0.0)</f>
        <v>0</v>
      </c>
      <c r="R91" s="16">
        <f>IFERROR(__xludf.DUMMYFUNCTION("""COMPUTED_VALUE"""),0.0)</f>
        <v>0</v>
      </c>
      <c r="S91" s="16">
        <f>IFERROR(__xludf.DUMMYFUNCTION("""COMPUTED_VALUE"""),0.0)</f>
        <v>0</v>
      </c>
      <c r="T91" s="16">
        <f>IFERROR(__xludf.DUMMYFUNCTION("""COMPUTED_VALUE"""),0.0)</f>
        <v>0</v>
      </c>
      <c r="U91" s="16">
        <f>IFERROR(__xludf.DUMMYFUNCTION("""COMPUTED_VALUE"""),0.0)</f>
        <v>0</v>
      </c>
      <c r="V91" s="16">
        <f>IFERROR(__xludf.DUMMYFUNCTION("""COMPUTED_VALUE"""),0.0)</f>
        <v>0</v>
      </c>
      <c r="W91" s="16">
        <f>IFERROR(__xludf.DUMMYFUNCTION("""COMPUTED_VALUE"""),0.0)</f>
        <v>0</v>
      </c>
      <c r="X91" s="16" t="b">
        <f>IFERROR(__xludf.DUMMYFUNCTION("""COMPUTED_VALUE"""),FALSE)</f>
        <v>0</v>
      </c>
      <c r="Y91" s="16"/>
      <c r="Z91" s="16"/>
    </row>
    <row r="92">
      <c r="A92" s="16" t="str">
        <f>IFERROR(__xludf.DUMMYFUNCTION("""COMPUTED_VALUE"""),"EvolutionIQ")</f>
        <v>EvolutionIQ</v>
      </c>
      <c r="B92" s="16" t="str">
        <f>IFERROR(__xludf.DUMMYFUNCTION("""COMPUTED_VALUE"""),"Premier")</f>
        <v>Premier</v>
      </c>
      <c r="C92" s="26" t="str">
        <f>IFERROR(__xludf.DUMMYFUNCTION("""COMPUTED_VALUE"""),"APAC, EMEA, NAM")</f>
        <v>APAC, EMEA, NAM</v>
      </c>
      <c r="D92" s="16" t="str">
        <f>IFERROR(__xludf.DUMMYFUNCTION("""COMPUTED_VALUE"""),"Kelly Clayton")</f>
        <v>Kelly Clayton</v>
      </c>
      <c r="E92" s="26" t="str">
        <f>IFERROR(__xludf.DUMMYFUNCTION("""COMPUTED_VALUE"""),"United States")</f>
        <v>United States</v>
      </c>
      <c r="F92" s="26" t="str">
        <f>IFERROR(__xludf.DUMMYFUNCTION("""COMPUTED_VALUE"""),"ClaimCenter")</f>
        <v>ClaimCenter</v>
      </c>
      <c r="G92" s="20">
        <f>IFERROR(__xludf.DUMMYFUNCTION("""COMPUTED_VALUE"""),45104.0)</f>
        <v>45104</v>
      </c>
      <c r="H92" s="20">
        <f>IFERROR(__xludf.DUMMYFUNCTION("""COMPUTED_VALUE"""),45834.0)</f>
        <v>45834</v>
      </c>
      <c r="I92" s="20">
        <f>IFERROR(__xludf.DUMMYFUNCTION("""COMPUTED_VALUE"""),45230.0)</f>
        <v>45230</v>
      </c>
      <c r="J92" s="16"/>
      <c r="K92" s="20">
        <f>IFERROR(__xludf.DUMMYFUNCTION("""COMPUTED_VALUE"""),45450.0)</f>
        <v>45450</v>
      </c>
      <c r="L92" s="16" t="str">
        <f>IFERROR(__xludf.DUMMYFUNCTION("""COMPUTED_VALUE"""),"High")</f>
        <v>High</v>
      </c>
      <c r="M92" s="26" t="str">
        <f>IFERROR(__xludf.DUMMYFUNCTION("""COMPUTED_VALUE"""),"PartnerConnect  Technology")</f>
        <v>PartnerConnect  Technology</v>
      </c>
      <c r="N92" s="16" t="str">
        <f>IFERROR(__xludf.DUMMYFUNCTION("""COMPUTED_VALUE"""),"FY23 - Q3")</f>
        <v>FY23 - Q3</v>
      </c>
      <c r="O92" s="16">
        <f>IFERROR(__xludf.DUMMYFUNCTION("""COMPUTED_VALUE"""),1.0)</f>
        <v>1</v>
      </c>
      <c r="P92" s="16">
        <f>IFERROR(__xludf.DUMMYFUNCTION("""COMPUTED_VALUE"""),1.0)</f>
        <v>1</v>
      </c>
      <c r="Q92" s="16">
        <f>IFERROR(__xludf.DUMMYFUNCTION("""COMPUTED_VALUE"""),22.0)</f>
        <v>22</v>
      </c>
      <c r="R92" s="16">
        <f>IFERROR(__xludf.DUMMYFUNCTION("""COMPUTED_VALUE"""),15.0)</f>
        <v>15</v>
      </c>
      <c r="S92" s="16">
        <f>IFERROR(__xludf.DUMMYFUNCTION("""COMPUTED_VALUE"""),29570.0)</f>
        <v>29570</v>
      </c>
      <c r="T92" s="16">
        <f>IFERROR(__xludf.DUMMYFUNCTION("""COMPUTED_VALUE"""),8.0)</f>
        <v>8</v>
      </c>
      <c r="U92" s="16">
        <f>IFERROR(__xludf.DUMMYFUNCTION("""COMPUTED_VALUE"""),15.0)</f>
        <v>15</v>
      </c>
      <c r="V92" s="16">
        <f>IFERROR(__xludf.DUMMYFUNCTION("""COMPUTED_VALUE"""),15.0)</f>
        <v>15</v>
      </c>
      <c r="W92" s="16">
        <f>IFERROR(__xludf.DUMMYFUNCTION("""COMPUTED_VALUE"""),0.0)</f>
        <v>0</v>
      </c>
      <c r="X92" s="16" t="b">
        <f>IFERROR(__xludf.DUMMYFUNCTION("""COMPUTED_VALUE"""),TRUE)</f>
        <v>1</v>
      </c>
      <c r="Y92" s="16"/>
      <c r="Z92" s="16"/>
    </row>
    <row r="93">
      <c r="A93" s="16" t="str">
        <f>IFERROR(__xludf.DUMMYFUNCTION("""COMPUTED_VALUE"""),"ExamWorks Compliance Solutions")</f>
        <v>ExamWorks Compliance Solutions</v>
      </c>
      <c r="B93" s="16" t="str">
        <f>IFERROR(__xludf.DUMMYFUNCTION("""COMPUTED_VALUE"""),"Growth")</f>
        <v>Growth</v>
      </c>
      <c r="C93" s="26" t="str">
        <f>IFERROR(__xludf.DUMMYFUNCTION("""COMPUTED_VALUE"""),"NAM")</f>
        <v>NAM</v>
      </c>
      <c r="D93" s="16" t="str">
        <f>IFERROR(__xludf.DUMMYFUNCTION("""COMPUTED_VALUE"""),"Aaron Shaw")</f>
        <v>Aaron Shaw</v>
      </c>
      <c r="E93" s="26" t="str">
        <f>IFERROR(__xludf.DUMMYFUNCTION("""COMPUTED_VALUE"""),"United States")</f>
        <v>United States</v>
      </c>
      <c r="F93" s="26" t="str">
        <f>IFERROR(__xludf.DUMMYFUNCTION("""COMPUTED_VALUE"""),"ClaimCenter")</f>
        <v>ClaimCenter</v>
      </c>
      <c r="G93" s="20">
        <f>IFERROR(__xludf.DUMMYFUNCTION("""COMPUTED_VALUE"""),44337.0)</f>
        <v>44337</v>
      </c>
      <c r="H93" s="20">
        <f>IFERROR(__xludf.DUMMYFUNCTION("""COMPUTED_VALUE"""),45066.0)</f>
        <v>45066</v>
      </c>
      <c r="I93" s="20">
        <f>IFERROR(__xludf.DUMMYFUNCTION("""COMPUTED_VALUE"""),44376.0)</f>
        <v>44376</v>
      </c>
      <c r="J93" s="16"/>
      <c r="K93" s="20">
        <f>IFERROR(__xludf.DUMMYFUNCTION("""COMPUTED_VALUE"""),45113.0)</f>
        <v>45113</v>
      </c>
      <c r="L93" s="16" t="str">
        <f>IFERROR(__xludf.DUMMYFUNCTION("""COMPUTED_VALUE"""),"Medium")</f>
        <v>Medium</v>
      </c>
      <c r="M93" s="26" t="str">
        <f>IFERROR(__xludf.DUMMYFUNCTION("""COMPUTED_VALUE"""),"PartnerConnect  Technology")</f>
        <v>PartnerConnect  Technology</v>
      </c>
      <c r="N93" s="16" t="str">
        <f>IFERROR(__xludf.DUMMYFUNCTION("""COMPUTED_VALUE"""),"FY21 - Q3")</f>
        <v>FY21 - Q3</v>
      </c>
      <c r="O93" s="16">
        <f>IFERROR(__xludf.DUMMYFUNCTION("""COMPUTED_VALUE"""),2.0)</f>
        <v>2</v>
      </c>
      <c r="P93" s="16">
        <f>IFERROR(__xludf.DUMMYFUNCTION("""COMPUTED_VALUE"""),2.0)</f>
        <v>2</v>
      </c>
      <c r="Q93" s="16">
        <f>IFERROR(__xludf.DUMMYFUNCTION("""COMPUTED_VALUE"""),44.0)</f>
        <v>44</v>
      </c>
      <c r="R93" s="16">
        <f>IFERROR(__xludf.DUMMYFUNCTION("""COMPUTED_VALUE"""),19.0)</f>
        <v>19</v>
      </c>
      <c r="S93" s="16">
        <f>IFERROR(__xludf.DUMMYFUNCTION("""COMPUTED_VALUE"""),42997.0)</f>
        <v>42997</v>
      </c>
      <c r="T93" s="16">
        <f>IFERROR(__xludf.DUMMYFUNCTION("""COMPUTED_VALUE"""),9.0)</f>
        <v>9</v>
      </c>
      <c r="U93" s="16">
        <f>IFERROR(__xludf.DUMMYFUNCTION("""COMPUTED_VALUE"""),16.0)</f>
        <v>16</v>
      </c>
      <c r="V93" s="16">
        <f>IFERROR(__xludf.DUMMYFUNCTION("""COMPUTED_VALUE"""),16.0)</f>
        <v>16</v>
      </c>
      <c r="W93" s="16">
        <f>IFERROR(__xludf.DUMMYFUNCTION("""COMPUTED_VALUE"""),0.0)</f>
        <v>0</v>
      </c>
      <c r="X93" s="16" t="b">
        <f>IFERROR(__xludf.DUMMYFUNCTION("""COMPUTED_VALUE"""),TRUE)</f>
        <v>1</v>
      </c>
      <c r="Y93" s="16"/>
      <c r="Z93" s="16"/>
    </row>
    <row r="94">
      <c r="A94" s="27" t="str">
        <f>IFERROR(__xludf.DUMMYFUNCTION("""COMPUTED_VALUE"""),"Experience.com")</f>
        <v>Experience.com</v>
      </c>
      <c r="B94" s="16" t="str">
        <f>IFERROR(__xludf.DUMMYFUNCTION("""COMPUTED_VALUE"""),"Growth")</f>
        <v>Growth</v>
      </c>
      <c r="C94" s="26" t="str">
        <f>IFERROR(__xludf.DUMMYFUNCTION("""COMPUTED_VALUE"""),"NAM")</f>
        <v>NAM</v>
      </c>
      <c r="D94" s="16" t="str">
        <f>IFERROR(__xludf.DUMMYFUNCTION("""COMPUTED_VALUE"""),"Rod Gowin")</f>
        <v>Rod Gowin</v>
      </c>
      <c r="E94" s="26" t="str">
        <f>IFERROR(__xludf.DUMMYFUNCTION("""COMPUTED_VALUE"""),"United States")</f>
        <v>United States</v>
      </c>
      <c r="F94" s="26" t="str">
        <f>IFERROR(__xludf.DUMMYFUNCTION("""COMPUTED_VALUE"""),"ClaimCenter, PolicyCenter")</f>
        <v>ClaimCenter, PolicyCenter</v>
      </c>
      <c r="G94" s="20">
        <f>IFERROR(__xludf.DUMMYFUNCTION("""COMPUTED_VALUE"""),44706.0)</f>
        <v>44706</v>
      </c>
      <c r="H94" s="13">
        <f>IFERROR(__xludf.DUMMYFUNCTION("""COMPUTED_VALUE"""),45436.0)</f>
        <v>45436</v>
      </c>
      <c r="I94" s="20">
        <f>IFERROR(__xludf.DUMMYFUNCTION("""COMPUTED_VALUE"""),44706.0)</f>
        <v>44706</v>
      </c>
      <c r="J94" s="16"/>
      <c r="K94" s="16"/>
      <c r="L94" s="16" t="str">
        <f>IFERROR(__xludf.DUMMYFUNCTION("""COMPUTED_VALUE"""),"Low")</f>
        <v>Low</v>
      </c>
      <c r="M94" s="26" t="str">
        <f>IFERROR(__xludf.DUMMYFUNCTION("""COMPUTED_VALUE"""),"PartnerConnect  Technology")</f>
        <v>PartnerConnect  Technology</v>
      </c>
      <c r="N94" s="16" t="str">
        <f>IFERROR(__xludf.DUMMYFUNCTION("""COMPUTED_VALUE"""),"FY22 - Q3")</f>
        <v>FY22 - Q3</v>
      </c>
      <c r="O94" s="16">
        <f>IFERROR(__xludf.DUMMYFUNCTION("""COMPUTED_VALUE"""),0.0)</f>
        <v>0</v>
      </c>
      <c r="P94" s="16">
        <f>IFERROR(__xludf.DUMMYFUNCTION("""COMPUTED_VALUE"""),0.0)</f>
        <v>0</v>
      </c>
      <c r="Q94" s="16">
        <f>IFERROR(__xludf.DUMMYFUNCTION("""COMPUTED_VALUE"""),0.0)</f>
        <v>0</v>
      </c>
      <c r="R94" s="16">
        <f>IFERROR(__xludf.DUMMYFUNCTION("""COMPUTED_VALUE"""),0.0)</f>
        <v>0</v>
      </c>
      <c r="S94" s="16">
        <f>IFERROR(__xludf.DUMMYFUNCTION("""COMPUTED_VALUE"""),0.0)</f>
        <v>0</v>
      </c>
      <c r="T94" s="16">
        <f>IFERROR(__xludf.DUMMYFUNCTION("""COMPUTED_VALUE"""),0.0)</f>
        <v>0</v>
      </c>
      <c r="U94" s="16">
        <f>IFERROR(__xludf.DUMMYFUNCTION("""COMPUTED_VALUE"""),0.0)</f>
        <v>0</v>
      </c>
      <c r="V94" s="16">
        <f>IFERROR(__xludf.DUMMYFUNCTION("""COMPUTED_VALUE"""),0.0)</f>
        <v>0</v>
      </c>
      <c r="W94" s="16">
        <f>IFERROR(__xludf.DUMMYFUNCTION("""COMPUTED_VALUE"""),6.0)</f>
        <v>6</v>
      </c>
      <c r="X94" s="16" t="b">
        <f>IFERROR(__xludf.DUMMYFUNCTION("""COMPUTED_VALUE"""),FALSE)</f>
        <v>0</v>
      </c>
      <c r="Y94" s="16"/>
      <c r="Z94" s="16"/>
    </row>
    <row r="95">
      <c r="A95" s="27" t="str">
        <f>IFERROR(__xludf.DUMMYFUNCTION("""COMPUTED_VALUE"""),"Expert.ai")</f>
        <v>Expert.ai</v>
      </c>
      <c r="B95" s="16" t="str">
        <f>IFERROR(__xludf.DUMMYFUNCTION("""COMPUTED_VALUE"""),"Growth")</f>
        <v>Growth</v>
      </c>
      <c r="C95" s="26" t="str">
        <f>IFERROR(__xludf.DUMMYFUNCTION("""COMPUTED_VALUE"""),"APAC, EMEA, NAM, LatAm")</f>
        <v>APAC, EMEA, NAM, LatAm</v>
      </c>
      <c r="D95" s="16" t="str">
        <f>IFERROR(__xludf.DUMMYFUNCTION("""COMPUTED_VALUE"""),"Vivienne Hoary")</f>
        <v>Vivienne Hoary</v>
      </c>
      <c r="E95" s="26" t="str">
        <f>IFERROR(__xludf.DUMMYFUNCTION("""COMPUTED_VALUE"""),"United States")</f>
        <v>United States</v>
      </c>
      <c r="F95" s="26" t="str">
        <f>IFERROR(__xludf.DUMMYFUNCTION("""COMPUTED_VALUE"""),"ClaimCenter")</f>
        <v>ClaimCenter</v>
      </c>
      <c r="G95" s="20">
        <f>IFERROR(__xludf.DUMMYFUNCTION("""COMPUTED_VALUE"""),44613.0)</f>
        <v>44613</v>
      </c>
      <c r="H95" s="20">
        <f>IFERROR(__xludf.DUMMYFUNCTION("""COMPUTED_VALUE"""),45342.0)</f>
        <v>45342</v>
      </c>
      <c r="I95" s="20">
        <f>IFERROR(__xludf.DUMMYFUNCTION("""COMPUTED_VALUE"""),44613.0)</f>
        <v>44613</v>
      </c>
      <c r="J95" s="16"/>
      <c r="K95" s="20">
        <f>IFERROR(__xludf.DUMMYFUNCTION("""COMPUTED_VALUE"""),44830.0)</f>
        <v>44830</v>
      </c>
      <c r="L95" s="16" t="str">
        <f>IFERROR(__xludf.DUMMYFUNCTION("""COMPUTED_VALUE"""),"Medium")</f>
        <v>Medium</v>
      </c>
      <c r="M95" s="26" t="str">
        <f>IFERROR(__xludf.DUMMYFUNCTION("""COMPUTED_VALUE"""),"PartnerConnect  Technology")</f>
        <v>PartnerConnect  Technology</v>
      </c>
      <c r="N95" s="16" t="str">
        <f>IFERROR(__xludf.DUMMYFUNCTION("""COMPUTED_VALUE"""),"FY22 - Q2")</f>
        <v>FY22 - Q2</v>
      </c>
      <c r="O95" s="16">
        <f>IFERROR(__xludf.DUMMYFUNCTION("""COMPUTED_VALUE"""),1.0)</f>
        <v>1</v>
      </c>
      <c r="P95" s="16">
        <f>IFERROR(__xludf.DUMMYFUNCTION("""COMPUTED_VALUE"""),1.0)</f>
        <v>1</v>
      </c>
      <c r="Q95" s="16">
        <f>IFERROR(__xludf.DUMMYFUNCTION("""COMPUTED_VALUE"""),23.0)</f>
        <v>23</v>
      </c>
      <c r="R95" s="16">
        <f>IFERROR(__xludf.DUMMYFUNCTION("""COMPUTED_VALUE"""),9.0)</f>
        <v>9</v>
      </c>
      <c r="S95" s="16">
        <f>IFERROR(__xludf.DUMMYFUNCTION("""COMPUTED_VALUE"""),17344.0)</f>
        <v>17344</v>
      </c>
      <c r="T95" s="16">
        <f>IFERROR(__xludf.DUMMYFUNCTION("""COMPUTED_VALUE"""),16.0)</f>
        <v>16</v>
      </c>
      <c r="U95" s="16">
        <f>IFERROR(__xludf.DUMMYFUNCTION("""COMPUTED_VALUE"""),0.0)</f>
        <v>0</v>
      </c>
      <c r="V95" s="16">
        <f>IFERROR(__xludf.DUMMYFUNCTION("""COMPUTED_VALUE"""),0.0)</f>
        <v>0</v>
      </c>
      <c r="W95" s="16">
        <f>IFERROR(__xludf.DUMMYFUNCTION("""COMPUTED_VALUE"""),28.0)</f>
        <v>28</v>
      </c>
      <c r="X95" s="16" t="b">
        <f>IFERROR(__xludf.DUMMYFUNCTION("""COMPUTED_VALUE"""),FALSE)</f>
        <v>0</v>
      </c>
      <c r="Y95" s="16"/>
      <c r="Z95" s="16"/>
    </row>
    <row r="96">
      <c r="A96" s="16" t="str">
        <f>IFERROR(__xludf.DUMMYFUNCTION("""COMPUTED_VALUE"""),"Fix Network")</f>
        <v>Fix Network</v>
      </c>
      <c r="B96" s="16" t="str">
        <f>IFERROR(__xludf.DUMMYFUNCTION("""COMPUTED_VALUE"""),"Growth")</f>
        <v>Growth</v>
      </c>
      <c r="C96" s="26" t="str">
        <f>IFERROR(__xludf.DUMMYFUNCTION("""COMPUTED_VALUE"""),"APAC, EMEA, NAM, LatAm")</f>
        <v>APAC, EMEA, NAM, LatAm</v>
      </c>
      <c r="D96" s="16" t="str">
        <f>IFERROR(__xludf.DUMMYFUNCTION("""COMPUTED_VALUE"""),"Aaron Shaw")</f>
        <v>Aaron Shaw</v>
      </c>
      <c r="E96" s="26" t="str">
        <f>IFERROR(__xludf.DUMMYFUNCTION("""COMPUTED_VALUE"""),"Australia New Zealand, Canada, Germany, Spain, United States")</f>
        <v>Australia New Zealand, Canada, Germany, Spain, United States</v>
      </c>
      <c r="F96" s="26" t="str">
        <f>IFERROR(__xludf.DUMMYFUNCTION("""COMPUTED_VALUE"""),"ClaimCenter")</f>
        <v>ClaimCenter</v>
      </c>
      <c r="G96" s="20">
        <f>IFERROR(__xludf.DUMMYFUNCTION("""COMPUTED_VALUE"""),44313.0)</f>
        <v>44313</v>
      </c>
      <c r="H96" s="20">
        <f>IFERROR(__xludf.DUMMYFUNCTION("""COMPUTED_VALUE"""),45042.0)</f>
        <v>45042</v>
      </c>
      <c r="I96" s="20">
        <f>IFERROR(__xludf.DUMMYFUNCTION("""COMPUTED_VALUE"""),44313.0)</f>
        <v>44313</v>
      </c>
      <c r="J96" s="16"/>
      <c r="K96" s="13">
        <f>IFERROR(__xludf.DUMMYFUNCTION("""COMPUTED_VALUE"""),44754.0)</f>
        <v>44754</v>
      </c>
      <c r="L96" s="16" t="str">
        <f>IFERROR(__xludf.DUMMYFUNCTION("""COMPUTED_VALUE"""),"Medium")</f>
        <v>Medium</v>
      </c>
      <c r="M96" s="26" t="str">
        <f>IFERROR(__xludf.DUMMYFUNCTION("""COMPUTED_VALUE"""),"PartnerConnect  Technology")</f>
        <v>PartnerConnect  Technology</v>
      </c>
      <c r="N96" s="16" t="str">
        <f>IFERROR(__xludf.DUMMYFUNCTION("""COMPUTED_VALUE"""),"FY21 - Q3")</f>
        <v>FY21 - Q3</v>
      </c>
      <c r="O96" s="16">
        <f>IFERROR(__xludf.DUMMYFUNCTION("""COMPUTED_VALUE"""),1.0)</f>
        <v>1</v>
      </c>
      <c r="P96" s="16">
        <f>IFERROR(__xludf.DUMMYFUNCTION("""COMPUTED_VALUE"""),1.0)</f>
        <v>1</v>
      </c>
      <c r="Q96" s="16">
        <f>IFERROR(__xludf.DUMMYFUNCTION("""COMPUTED_VALUE"""),9.0)</f>
        <v>9</v>
      </c>
      <c r="R96" s="16">
        <f>IFERROR(__xludf.DUMMYFUNCTION("""COMPUTED_VALUE"""),5.0)</f>
        <v>5</v>
      </c>
      <c r="S96" s="16">
        <f>IFERROR(__xludf.DUMMYFUNCTION("""COMPUTED_VALUE"""),14893.0)</f>
        <v>14893</v>
      </c>
      <c r="T96" s="16">
        <f>IFERROR(__xludf.DUMMYFUNCTION("""COMPUTED_VALUE"""),7.0)</f>
        <v>7</v>
      </c>
      <c r="U96" s="16">
        <f>IFERROR(__xludf.DUMMYFUNCTION("""COMPUTED_VALUE"""),0.0)</f>
        <v>0</v>
      </c>
      <c r="V96" s="16">
        <f>IFERROR(__xludf.DUMMYFUNCTION("""COMPUTED_VALUE"""),0.0)</f>
        <v>0</v>
      </c>
      <c r="W96" s="16">
        <f>IFERROR(__xludf.DUMMYFUNCTION("""COMPUTED_VALUE"""),0.0)</f>
        <v>0</v>
      </c>
      <c r="X96" s="16" t="b">
        <f>IFERROR(__xludf.DUMMYFUNCTION("""COMPUTED_VALUE"""),TRUE)</f>
        <v>1</v>
      </c>
      <c r="Y96" s="16"/>
      <c r="Z96" s="16"/>
    </row>
    <row r="97">
      <c r="A97" s="16" t="str">
        <f>IFERROR(__xludf.DUMMYFUNCTION("""COMPUTED_VALUE"""),"Floatbot, Inc.")</f>
        <v>Floatbot, Inc.</v>
      </c>
      <c r="B97" s="16" t="str">
        <f>IFERROR(__xludf.DUMMYFUNCTION("""COMPUTED_VALUE"""),"Growth")</f>
        <v>Growth</v>
      </c>
      <c r="C97" s="26" t="str">
        <f>IFERROR(__xludf.DUMMYFUNCTION("""COMPUTED_VALUE"""),"NAM")</f>
        <v>NAM</v>
      </c>
      <c r="D97" s="16" t="str">
        <f>IFERROR(__xludf.DUMMYFUNCTION("""COMPUTED_VALUE"""),"Shannon Spies")</f>
        <v>Shannon Spies</v>
      </c>
      <c r="E97" s="26" t="str">
        <f>IFERROR(__xludf.DUMMYFUNCTION("""COMPUTED_VALUE"""),"Canada, Denmark, Finland, France, Germany, Hungary, India, Ireland, Israel, Italy, Norway, South America, Sweden, Switzerland, UK, United States, South Africa")</f>
        <v>Canada, Denmark, Finland, France, Germany, Hungary, India, Ireland, Israel, Italy, Norway, South America, Sweden, Switzerland, UK, United States, South Africa</v>
      </c>
      <c r="F97" s="26" t="str">
        <f>IFERROR(__xludf.DUMMYFUNCTION("""COMPUTED_VALUE"""),"ClaimCenter")</f>
        <v>ClaimCenter</v>
      </c>
      <c r="G97" s="20">
        <f>IFERROR(__xludf.DUMMYFUNCTION("""COMPUTED_VALUE"""),45790.0)</f>
        <v>45790</v>
      </c>
      <c r="H97" s="20"/>
      <c r="I97" s="20">
        <f>IFERROR(__xludf.DUMMYFUNCTION("""COMPUTED_VALUE"""),45790.0)</f>
        <v>45790</v>
      </c>
      <c r="J97" s="20"/>
      <c r="K97" s="20"/>
      <c r="L97" s="16" t="str">
        <f>IFERROR(__xludf.DUMMYFUNCTION("""COMPUTED_VALUE"""),"Medium")</f>
        <v>Medium</v>
      </c>
      <c r="M97" s="26" t="str">
        <f>IFERROR(__xludf.DUMMYFUNCTION("""COMPUTED_VALUE"""),"PartnerConnect  Technology")</f>
        <v>PartnerConnect  Technology</v>
      </c>
      <c r="N97" s="16" t="str">
        <f>IFERROR(__xludf.DUMMYFUNCTION("""COMPUTED_VALUE"""),"FY25 - Q3")</f>
        <v>FY25 - Q3</v>
      </c>
      <c r="O97" s="16">
        <f>IFERROR(__xludf.DUMMYFUNCTION("""COMPUTED_VALUE"""),0.0)</f>
        <v>0</v>
      </c>
      <c r="P97" s="16">
        <f>IFERROR(__xludf.DUMMYFUNCTION("""COMPUTED_VALUE"""),0.0)</f>
        <v>0</v>
      </c>
      <c r="Q97" s="16">
        <f>IFERROR(__xludf.DUMMYFUNCTION("""COMPUTED_VALUE"""),0.0)</f>
        <v>0</v>
      </c>
      <c r="R97" s="16">
        <f>IFERROR(__xludf.DUMMYFUNCTION("""COMPUTED_VALUE"""),0.0)</f>
        <v>0</v>
      </c>
      <c r="S97" s="16">
        <f>IFERROR(__xludf.DUMMYFUNCTION("""COMPUTED_VALUE"""),0.0)</f>
        <v>0</v>
      </c>
      <c r="T97" s="16">
        <f>IFERROR(__xludf.DUMMYFUNCTION("""COMPUTED_VALUE"""),0.0)</f>
        <v>0</v>
      </c>
      <c r="U97" s="16">
        <f>IFERROR(__xludf.DUMMYFUNCTION("""COMPUTED_VALUE"""),0.0)</f>
        <v>0</v>
      </c>
      <c r="V97" s="16">
        <f>IFERROR(__xludf.DUMMYFUNCTION("""COMPUTED_VALUE"""),0.0)</f>
        <v>0</v>
      </c>
      <c r="W97" s="16">
        <f>IFERROR(__xludf.DUMMYFUNCTION("""COMPUTED_VALUE"""),16.0)</f>
        <v>16</v>
      </c>
      <c r="X97" s="16" t="b">
        <f>IFERROR(__xludf.DUMMYFUNCTION("""COMPUTED_VALUE"""),FALSE)</f>
        <v>0</v>
      </c>
      <c r="Y97" s="16"/>
      <c r="Z97" s="16"/>
    </row>
    <row r="98">
      <c r="A98" s="16" t="str">
        <f>IFERROR(__xludf.DUMMYFUNCTION("""COMPUTED_VALUE"""),"FRISS")</f>
        <v>FRISS</v>
      </c>
      <c r="B98" s="16" t="str">
        <f>IFERROR(__xludf.DUMMYFUNCTION("""COMPUTED_VALUE"""),"Advantage")</f>
        <v>Advantage</v>
      </c>
      <c r="C98" s="26" t="str">
        <f>IFERROR(__xludf.DUMMYFUNCTION("""COMPUTED_VALUE"""),"APAC, EMEA, NAM, LatAm")</f>
        <v>APAC, EMEA, NAM, LatAm</v>
      </c>
      <c r="D98" s="16" t="str">
        <f>IFERROR(__xludf.DUMMYFUNCTION("""COMPUTED_VALUE"""),"Eric Apse")</f>
        <v>Eric Apse</v>
      </c>
      <c r="E98" s="26" t="str">
        <f>IFERROR(__xludf.DUMMYFUNCTION("""COMPUTED_VALUE"""),"Benelux, France, Russia, UK, United States")</f>
        <v>Benelux, France, Russia, UK, United States</v>
      </c>
      <c r="F98" s="26" t="str">
        <f>IFERROR(__xludf.DUMMYFUNCTION("""COMPUTED_VALUE"""),"ClaimCenter, PolicyCenter")</f>
        <v>ClaimCenter, PolicyCenter</v>
      </c>
      <c r="G98" s="20">
        <f>IFERROR(__xludf.DUMMYFUNCTION("""COMPUTED_VALUE"""),42109.0)</f>
        <v>42109</v>
      </c>
      <c r="H98" s="20">
        <f>IFERROR(__xludf.DUMMYFUNCTION("""COMPUTED_VALUE"""),42840.0)</f>
        <v>42840</v>
      </c>
      <c r="I98" s="20">
        <f>IFERROR(__xludf.DUMMYFUNCTION("""COMPUTED_VALUE"""),44295.0)</f>
        <v>44295</v>
      </c>
      <c r="J98" s="16"/>
      <c r="K98" s="20">
        <f>IFERROR(__xludf.DUMMYFUNCTION("""COMPUTED_VALUE"""),43195.0)</f>
        <v>43195</v>
      </c>
      <c r="L98" s="16" t="str">
        <f>IFERROR(__xludf.DUMMYFUNCTION("""COMPUTED_VALUE"""),"High")</f>
        <v>High</v>
      </c>
      <c r="M98" s="26" t="str">
        <f>IFERROR(__xludf.DUMMYFUNCTION("""COMPUTED_VALUE"""),"PartnerConnect  Technology")</f>
        <v>PartnerConnect  Technology</v>
      </c>
      <c r="N98" s="16" t="str">
        <f>IFERROR(__xludf.DUMMYFUNCTION("""COMPUTED_VALUE"""),"FY15 - Q3")</f>
        <v>FY15 - Q3</v>
      </c>
      <c r="O98" s="16">
        <f>IFERROR(__xludf.DUMMYFUNCTION("""COMPUTED_VALUE"""),2.0)</f>
        <v>2</v>
      </c>
      <c r="P98" s="16">
        <f>IFERROR(__xludf.DUMMYFUNCTION("""COMPUTED_VALUE"""),2.0)</f>
        <v>2</v>
      </c>
      <c r="Q98" s="16">
        <f>IFERROR(__xludf.DUMMYFUNCTION("""COMPUTED_VALUE"""),48.0)</f>
        <v>48</v>
      </c>
      <c r="R98" s="16">
        <f>IFERROR(__xludf.DUMMYFUNCTION("""COMPUTED_VALUE"""),22.0)</f>
        <v>22</v>
      </c>
      <c r="S98" s="16">
        <f>IFERROR(__xludf.DUMMYFUNCTION("""COMPUTED_VALUE"""),36782.0)</f>
        <v>36782</v>
      </c>
      <c r="T98" s="16">
        <f>IFERROR(__xludf.DUMMYFUNCTION("""COMPUTED_VALUE"""),27.0)</f>
        <v>27</v>
      </c>
      <c r="U98" s="16">
        <f>IFERROR(__xludf.DUMMYFUNCTION("""COMPUTED_VALUE"""),16.0)</f>
        <v>16</v>
      </c>
      <c r="V98" s="16">
        <f>IFERROR(__xludf.DUMMYFUNCTION("""COMPUTED_VALUE"""),16.0)</f>
        <v>16</v>
      </c>
      <c r="W98" s="16">
        <f>IFERROR(__xludf.DUMMYFUNCTION("""COMPUTED_VALUE"""),0.0)</f>
        <v>0</v>
      </c>
      <c r="X98" s="16" t="b">
        <f>IFERROR(__xludf.DUMMYFUNCTION("""COMPUTED_VALUE"""),TRUE)</f>
        <v>1</v>
      </c>
      <c r="Y98" s="16"/>
      <c r="Z98" s="16"/>
    </row>
    <row r="99">
      <c r="A99" s="16" t="str">
        <f>IFERROR(__xludf.DUMMYFUNCTION("""COMPUTED_VALUE"""),"Genesys Cloud Services, Inc.")</f>
        <v>Genesys Cloud Services, Inc.</v>
      </c>
      <c r="B99" s="16" t="str">
        <f>IFERROR(__xludf.DUMMYFUNCTION("""COMPUTED_VALUE"""),"Growth")</f>
        <v>Growth</v>
      </c>
      <c r="C99" s="26" t="str">
        <f>IFERROR(__xludf.DUMMYFUNCTION("""COMPUTED_VALUE"""),"APAC, EMEA, NAM, LatAm")</f>
        <v>APAC, EMEA, NAM, LatAm</v>
      </c>
      <c r="D99" s="16" t="str">
        <f>IFERROR(__xludf.DUMMYFUNCTION("""COMPUTED_VALUE"""),"Eric Apse")</f>
        <v>Eric Apse</v>
      </c>
      <c r="E99" s="26" t="str">
        <f>IFERROR(__xludf.DUMMYFUNCTION("""COMPUTED_VALUE"""),"Australia New Zealand, Canada, Denmark, Finland, France, Germany, India, Italy, Spain, Sweden, Switzerland, UK, United States, Japan, South Africa")</f>
        <v>Australia New Zealand, Canada, Denmark, Finland, France, Germany, India, Italy, Spain, Sweden, Switzerland, UK, United States, Japan, South Africa</v>
      </c>
      <c r="F99" s="26" t="str">
        <f>IFERROR(__xludf.DUMMYFUNCTION("""COMPUTED_VALUE"""),"ClaimCenter, PolicyCenter")</f>
        <v>ClaimCenter, PolicyCenter</v>
      </c>
      <c r="G99" s="20">
        <f>IFERROR(__xludf.DUMMYFUNCTION("""COMPUTED_VALUE"""),44679.0)</f>
        <v>44679</v>
      </c>
      <c r="H99" s="20">
        <f>IFERROR(__xludf.DUMMYFUNCTION("""COMPUTED_VALUE"""),45774.0)</f>
        <v>45774</v>
      </c>
      <c r="I99" s="20">
        <f>IFERROR(__xludf.DUMMYFUNCTION("""COMPUTED_VALUE"""),44679.0)</f>
        <v>44679</v>
      </c>
      <c r="J99" s="16"/>
      <c r="K99" s="13">
        <f>IFERROR(__xludf.DUMMYFUNCTION("""COMPUTED_VALUE"""),45296.0)</f>
        <v>45296</v>
      </c>
      <c r="L99" s="16" t="str">
        <f>IFERROR(__xludf.DUMMYFUNCTION("""COMPUTED_VALUE"""),"Medium")</f>
        <v>Medium</v>
      </c>
      <c r="M99" s="26" t="str">
        <f>IFERROR(__xludf.DUMMYFUNCTION("""COMPUTED_VALUE"""),"PartnerConnect  Technology")</f>
        <v>PartnerConnect  Technology</v>
      </c>
      <c r="N99" s="16" t="str">
        <f>IFERROR(__xludf.DUMMYFUNCTION("""COMPUTED_VALUE"""),"FY22 - Q3")</f>
        <v>FY22 - Q3</v>
      </c>
      <c r="O99" s="16">
        <f>IFERROR(__xludf.DUMMYFUNCTION("""COMPUTED_VALUE"""),4.0)</f>
        <v>4</v>
      </c>
      <c r="P99" s="16">
        <f>IFERROR(__xludf.DUMMYFUNCTION("""COMPUTED_VALUE"""),4.0)</f>
        <v>4</v>
      </c>
      <c r="Q99" s="16">
        <f>IFERROR(__xludf.DUMMYFUNCTION("""COMPUTED_VALUE"""),70.0)</f>
        <v>70</v>
      </c>
      <c r="R99" s="16">
        <f>IFERROR(__xludf.DUMMYFUNCTION("""COMPUTED_VALUE"""),63.0)</f>
        <v>63</v>
      </c>
      <c r="S99" s="16">
        <f>IFERROR(__xludf.DUMMYFUNCTION("""COMPUTED_VALUE"""),50693.0)</f>
        <v>50693</v>
      </c>
      <c r="T99" s="16">
        <f>IFERROR(__xludf.DUMMYFUNCTION("""COMPUTED_VALUE"""),28.0)</f>
        <v>28</v>
      </c>
      <c r="U99" s="16">
        <f>IFERROR(__xludf.DUMMYFUNCTION("""COMPUTED_VALUE"""),29.0)</f>
        <v>29</v>
      </c>
      <c r="V99" s="16">
        <f>IFERROR(__xludf.DUMMYFUNCTION("""COMPUTED_VALUE"""),29.0)</f>
        <v>29</v>
      </c>
      <c r="W99" s="16">
        <f>IFERROR(__xludf.DUMMYFUNCTION("""COMPUTED_VALUE"""),480.0)</f>
        <v>480</v>
      </c>
      <c r="X99" s="16" t="b">
        <f>IFERROR(__xludf.DUMMYFUNCTION("""COMPUTED_VALUE"""),FALSE)</f>
        <v>0</v>
      </c>
      <c r="Y99" s="16"/>
      <c r="Z99" s="16"/>
    </row>
    <row r="100">
      <c r="A100" s="16" t="str">
        <f>IFERROR(__xludf.DUMMYFUNCTION("""COMPUTED_VALUE"""),"GENPACT UK LTD")</f>
        <v>GENPACT UK LTD</v>
      </c>
      <c r="B100" s="16" t="str">
        <f>IFERROR(__xludf.DUMMYFUNCTION("""COMPUTED_VALUE"""),"Growth")</f>
        <v>Growth</v>
      </c>
      <c r="C100" s="26" t="str">
        <f>IFERROR(__xludf.DUMMYFUNCTION("""COMPUTED_VALUE"""),"NAM")</f>
        <v>NAM</v>
      </c>
      <c r="D100" s="16" t="str">
        <f>IFERROR(__xludf.DUMMYFUNCTION("""COMPUTED_VALUE"""),"Aaron Shaw")</f>
        <v>Aaron Shaw</v>
      </c>
      <c r="E100" s="16" t="str">
        <f>IFERROR(__xludf.DUMMYFUNCTION("""COMPUTED_VALUE"""),"Canada, United States")</f>
        <v>Canada, United States</v>
      </c>
      <c r="F100" s="16" t="str">
        <f>IFERROR(__xludf.DUMMYFUNCTION("""COMPUTED_VALUE"""),"ClaimCenter")</f>
        <v>ClaimCenter</v>
      </c>
      <c r="G100" s="20">
        <f>IFERROR(__xludf.DUMMYFUNCTION("""COMPUTED_VALUE"""),44042.0)</f>
        <v>44042</v>
      </c>
      <c r="H100" s="20">
        <f>IFERROR(__xludf.DUMMYFUNCTION("""COMPUTED_VALUE"""),44773.0)</f>
        <v>44773</v>
      </c>
      <c r="I100" s="13">
        <f>IFERROR(__xludf.DUMMYFUNCTION("""COMPUTED_VALUE"""),44284.0)</f>
        <v>44284</v>
      </c>
      <c r="J100" s="13">
        <f>IFERROR(__xludf.DUMMYFUNCTION("""COMPUTED_VALUE"""),44648.0)</f>
        <v>44648</v>
      </c>
      <c r="K100" s="13">
        <f>IFERROR(__xludf.DUMMYFUNCTION("""COMPUTED_VALUE"""),44293.0)</f>
        <v>44293</v>
      </c>
      <c r="L100" s="16" t="str">
        <f>IFERROR(__xludf.DUMMYFUNCTION("""COMPUTED_VALUE"""),"Medium")</f>
        <v>Medium</v>
      </c>
      <c r="M100" s="26" t="str">
        <f>IFERROR(__xludf.DUMMYFUNCTION("""COMPUTED_VALUE"""),"PartnerConnect  Technology")</f>
        <v>PartnerConnect  Technology</v>
      </c>
      <c r="N100" s="16" t="str">
        <f>IFERROR(__xludf.DUMMYFUNCTION("""COMPUTED_VALUE"""),"FY20 - Q4")</f>
        <v>FY20 - Q4</v>
      </c>
      <c r="O100" s="16">
        <f>IFERROR(__xludf.DUMMYFUNCTION("""COMPUTED_VALUE"""),2.0)</f>
        <v>2</v>
      </c>
      <c r="P100" s="16">
        <f>IFERROR(__xludf.DUMMYFUNCTION("""COMPUTED_VALUE"""),2.0)</f>
        <v>2</v>
      </c>
      <c r="Q100" s="16">
        <f>IFERROR(__xludf.DUMMYFUNCTION("""COMPUTED_VALUE"""),5.0)</f>
        <v>5</v>
      </c>
      <c r="R100" s="16">
        <f>IFERROR(__xludf.DUMMYFUNCTION("""COMPUTED_VALUE"""),5.0)</f>
        <v>5</v>
      </c>
      <c r="S100" s="16">
        <f>IFERROR(__xludf.DUMMYFUNCTION("""COMPUTED_VALUE"""),19443.0)</f>
        <v>19443</v>
      </c>
      <c r="T100" s="16">
        <f>IFERROR(__xludf.DUMMYFUNCTION("""COMPUTED_VALUE"""),5.0)</f>
        <v>5</v>
      </c>
      <c r="U100" s="16">
        <f>IFERROR(__xludf.DUMMYFUNCTION("""COMPUTED_VALUE"""),5.0)</f>
        <v>5</v>
      </c>
      <c r="V100" s="16">
        <f>IFERROR(__xludf.DUMMYFUNCTION("""COMPUTED_VALUE"""),5.0)</f>
        <v>5</v>
      </c>
      <c r="W100" s="16">
        <f>IFERROR(__xludf.DUMMYFUNCTION("""COMPUTED_VALUE"""),17.0)</f>
        <v>17</v>
      </c>
      <c r="X100" s="16" t="b">
        <f>IFERROR(__xludf.DUMMYFUNCTION("""COMPUTED_VALUE"""),FALSE)</f>
        <v>0</v>
      </c>
      <c r="Y100" s="16"/>
      <c r="Z100" s="16"/>
    </row>
    <row r="101">
      <c r="A101" s="16" t="str">
        <f>IFERROR(__xludf.DUMMYFUNCTION("""COMPUTED_VALUE"""),"GhostDraft Enterprises LLC")</f>
        <v>GhostDraft Enterprises LLC</v>
      </c>
      <c r="B101" s="16" t="str">
        <f>IFERROR(__xludf.DUMMYFUNCTION("""COMPUTED_VALUE"""),"Advantage")</f>
        <v>Advantage</v>
      </c>
      <c r="C101" s="26" t="str">
        <f>IFERROR(__xludf.DUMMYFUNCTION("""COMPUTED_VALUE"""),"EMEA, NAM")</f>
        <v>EMEA, NAM</v>
      </c>
      <c r="D101" s="16" t="str">
        <f>IFERROR(__xludf.DUMMYFUNCTION("""COMPUTED_VALUE"""),"Lisa Vingerhoet")</f>
        <v>Lisa Vingerhoet</v>
      </c>
      <c r="E101" s="26" t="str">
        <f>IFERROR(__xludf.DUMMYFUNCTION("""COMPUTED_VALUE"""),"Canada, United States, South Africa")</f>
        <v>Canada, United States, South Africa</v>
      </c>
      <c r="F101" s="26" t="str">
        <f>IFERROR(__xludf.DUMMYFUNCTION("""COMPUTED_VALUE"""),"ClaimCenter, PolicyCenter, BillingCenter")</f>
        <v>ClaimCenter, PolicyCenter, BillingCenter</v>
      </c>
      <c r="G101" s="20">
        <f>IFERROR(__xludf.DUMMYFUNCTION("""COMPUTED_VALUE"""),44392.0)</f>
        <v>44392</v>
      </c>
      <c r="H101" s="20">
        <f>IFERROR(__xludf.DUMMYFUNCTION("""COMPUTED_VALUE"""),45121.0)</f>
        <v>45121</v>
      </c>
      <c r="I101" s="20">
        <f>IFERROR(__xludf.DUMMYFUNCTION("""COMPUTED_VALUE"""),44392.0)</f>
        <v>44392</v>
      </c>
      <c r="J101" s="20"/>
      <c r="K101" s="13">
        <f>IFERROR(__xludf.DUMMYFUNCTION("""COMPUTED_VALUE"""),44677.0)</f>
        <v>44677</v>
      </c>
      <c r="L101" s="16" t="str">
        <f>IFERROR(__xludf.DUMMYFUNCTION("""COMPUTED_VALUE"""),"High")</f>
        <v>High</v>
      </c>
      <c r="M101" s="26" t="str">
        <f>IFERROR(__xludf.DUMMYFUNCTION("""COMPUTED_VALUE"""),"PartnerConnect  Technology")</f>
        <v>PartnerConnect  Technology</v>
      </c>
      <c r="N101" s="16" t="str">
        <f>IFERROR(__xludf.DUMMYFUNCTION("""COMPUTED_VALUE"""),"FY21 - Q4")</f>
        <v>FY21 - Q4</v>
      </c>
      <c r="O101" s="16">
        <f>IFERROR(__xludf.DUMMYFUNCTION("""COMPUTED_VALUE"""),5.0)</f>
        <v>5</v>
      </c>
      <c r="P101" s="16">
        <f>IFERROR(__xludf.DUMMYFUNCTION("""COMPUTED_VALUE"""),5.0)</f>
        <v>5</v>
      </c>
      <c r="Q101" s="16">
        <f>IFERROR(__xludf.DUMMYFUNCTION("""COMPUTED_VALUE"""),156.0)</f>
        <v>156</v>
      </c>
      <c r="R101" s="16">
        <f>IFERROR(__xludf.DUMMYFUNCTION("""COMPUTED_VALUE"""),131.0)</f>
        <v>131</v>
      </c>
      <c r="S101" s="16">
        <f>IFERROR(__xludf.DUMMYFUNCTION("""COMPUTED_VALUE"""),119016.0)</f>
        <v>119016</v>
      </c>
      <c r="T101" s="16">
        <f>IFERROR(__xludf.DUMMYFUNCTION("""COMPUTED_VALUE"""),35.0)</f>
        <v>35</v>
      </c>
      <c r="U101" s="16">
        <f>IFERROR(__xludf.DUMMYFUNCTION("""COMPUTED_VALUE"""),107.0)</f>
        <v>107</v>
      </c>
      <c r="V101" s="16">
        <f>IFERROR(__xludf.DUMMYFUNCTION("""COMPUTED_VALUE"""),107.0)</f>
        <v>107</v>
      </c>
      <c r="W101" s="16">
        <f>IFERROR(__xludf.DUMMYFUNCTION("""COMPUTED_VALUE"""),0.0)</f>
        <v>0</v>
      </c>
      <c r="X101" s="16" t="b">
        <f>IFERROR(__xludf.DUMMYFUNCTION("""COMPUTED_VALUE"""),TRUE)</f>
        <v>1</v>
      </c>
      <c r="Y101" s="16"/>
      <c r="Z101" s="16"/>
    </row>
    <row r="102">
      <c r="A102" s="16" t="str">
        <f>IFERROR(__xludf.DUMMYFUNCTION("""COMPUTED_VALUE"""),"Gigaforce")</f>
        <v>Gigaforce</v>
      </c>
      <c r="B102" s="16" t="str">
        <f>IFERROR(__xludf.DUMMYFUNCTION("""COMPUTED_VALUE"""),"Growth")</f>
        <v>Growth</v>
      </c>
      <c r="C102" s="26" t="str">
        <f>IFERROR(__xludf.DUMMYFUNCTION("""COMPUTED_VALUE"""),"APAC, NAM")</f>
        <v>APAC, NAM</v>
      </c>
      <c r="D102" s="16" t="str">
        <f>IFERROR(__xludf.DUMMYFUNCTION("""COMPUTED_VALUE"""),"Rod Gowin")</f>
        <v>Rod Gowin</v>
      </c>
      <c r="E102" s="26" t="str">
        <f>IFERROR(__xludf.DUMMYFUNCTION("""COMPUTED_VALUE"""),"United States")</f>
        <v>United States</v>
      </c>
      <c r="F102" s="26" t="str">
        <f>IFERROR(__xludf.DUMMYFUNCTION("""COMPUTED_VALUE"""),"ClaimCenter")</f>
        <v>ClaimCenter</v>
      </c>
      <c r="G102" s="20">
        <f>IFERROR(__xludf.DUMMYFUNCTION("""COMPUTED_VALUE"""),44734.0)</f>
        <v>44734</v>
      </c>
      <c r="H102" s="13">
        <f>IFERROR(__xludf.DUMMYFUNCTION("""COMPUTED_VALUE"""),45465.0)</f>
        <v>45465</v>
      </c>
      <c r="I102" s="13">
        <f>IFERROR(__xludf.DUMMYFUNCTION("""COMPUTED_VALUE"""),44734.0)</f>
        <v>44734</v>
      </c>
      <c r="J102" s="16"/>
      <c r="K102" s="13">
        <f>IFERROR(__xludf.DUMMYFUNCTION("""COMPUTED_VALUE"""),45513.0)</f>
        <v>45513</v>
      </c>
      <c r="L102" s="16" t="str">
        <f>IFERROR(__xludf.DUMMYFUNCTION("""COMPUTED_VALUE"""),"Medium")</f>
        <v>Medium</v>
      </c>
      <c r="M102" s="26" t="str">
        <f>IFERROR(__xludf.DUMMYFUNCTION("""COMPUTED_VALUE"""),"PartnerConnect  Technology")</f>
        <v>PartnerConnect  Technology</v>
      </c>
      <c r="N102" s="16" t="str">
        <f>IFERROR(__xludf.DUMMYFUNCTION("""COMPUTED_VALUE"""),"FY22 - Q3")</f>
        <v>FY22 - Q3</v>
      </c>
      <c r="O102" s="16">
        <f>IFERROR(__xludf.DUMMYFUNCTION("""COMPUTED_VALUE"""),2.0)</f>
        <v>2</v>
      </c>
      <c r="P102" s="16">
        <f>IFERROR(__xludf.DUMMYFUNCTION("""COMPUTED_VALUE"""),2.0)</f>
        <v>2</v>
      </c>
      <c r="Q102" s="16">
        <f>IFERROR(__xludf.DUMMYFUNCTION("""COMPUTED_VALUE"""),2.0)</f>
        <v>2</v>
      </c>
      <c r="R102" s="16">
        <f>IFERROR(__xludf.DUMMYFUNCTION("""COMPUTED_VALUE"""),2.0)</f>
        <v>2</v>
      </c>
      <c r="S102" s="16">
        <f>IFERROR(__xludf.DUMMYFUNCTION("""COMPUTED_VALUE"""),21081.0)</f>
        <v>21081</v>
      </c>
      <c r="T102" s="16">
        <f>IFERROR(__xludf.DUMMYFUNCTION("""COMPUTED_VALUE"""),2.0)</f>
        <v>2</v>
      </c>
      <c r="U102" s="16">
        <f>IFERROR(__xludf.DUMMYFUNCTION("""COMPUTED_VALUE"""),0.0)</f>
        <v>0</v>
      </c>
      <c r="V102" s="16">
        <f>IFERROR(__xludf.DUMMYFUNCTION("""COMPUTED_VALUE"""),0.0)</f>
        <v>0</v>
      </c>
      <c r="W102" s="16">
        <f>IFERROR(__xludf.DUMMYFUNCTION("""COMPUTED_VALUE"""),60.0)</f>
        <v>60</v>
      </c>
      <c r="X102" s="16" t="b">
        <f>IFERROR(__xludf.DUMMYFUNCTION("""COMPUTED_VALUE"""),FALSE)</f>
        <v>0</v>
      </c>
      <c r="Y102" s="16"/>
      <c r="Z102" s="16"/>
    </row>
    <row r="103">
      <c r="A103" s="16" t="str">
        <f>IFERROR(__xludf.DUMMYFUNCTION("""COMPUTED_VALUE"""),"Google LLC")</f>
        <v>Google LLC</v>
      </c>
      <c r="B103" s="16" t="str">
        <f>IFERROR(__xludf.DUMMYFUNCTION("""COMPUTED_VALUE"""),"Growth")</f>
        <v>Growth</v>
      </c>
      <c r="C103" s="26" t="str">
        <f>IFERROR(__xludf.DUMMYFUNCTION("""COMPUTED_VALUE"""),"APAC, EMEA, NAM, LatAm")</f>
        <v>APAC, EMEA, NAM, LatAm</v>
      </c>
      <c r="D103" s="16" t="str">
        <f>IFERROR(__xludf.DUMMYFUNCTION("""COMPUTED_VALUE"""),"Paul Harper")</f>
        <v>Paul Harper</v>
      </c>
      <c r="E103" s="26"/>
      <c r="F103" s="26"/>
      <c r="G103" s="20">
        <f>IFERROR(__xludf.DUMMYFUNCTION("""COMPUTED_VALUE"""),44855.0)</f>
        <v>44855</v>
      </c>
      <c r="H103" s="20">
        <f>IFERROR(__xludf.DUMMYFUNCTION("""COMPUTED_VALUE"""),45585.0)</f>
        <v>45585</v>
      </c>
      <c r="I103" s="16"/>
      <c r="J103" s="16"/>
      <c r="K103" s="16"/>
      <c r="L103" s="16" t="str">
        <f>IFERROR(__xludf.DUMMYFUNCTION("""COMPUTED_VALUE"""),"Medium")</f>
        <v>Medium</v>
      </c>
      <c r="M103" s="26" t="str">
        <f>IFERROR(__xludf.DUMMYFUNCTION("""COMPUTED_VALUE"""),"PartnerConnect  Technology")</f>
        <v>PartnerConnect  Technology</v>
      </c>
      <c r="N103" s="16" t="str">
        <f>IFERROR(__xludf.DUMMYFUNCTION("""COMPUTED_VALUE"""),"FY22 - Q1")</f>
        <v>FY22 - Q1</v>
      </c>
      <c r="O103" s="16">
        <f>IFERROR(__xludf.DUMMYFUNCTION("""COMPUTED_VALUE"""),0.0)</f>
        <v>0</v>
      </c>
      <c r="P103" s="16">
        <f>IFERROR(__xludf.DUMMYFUNCTION("""COMPUTED_VALUE"""),0.0)</f>
        <v>0</v>
      </c>
      <c r="Q103" s="16">
        <f>IFERROR(__xludf.DUMMYFUNCTION("""COMPUTED_VALUE"""),0.0)</f>
        <v>0</v>
      </c>
      <c r="R103" s="16">
        <f>IFERROR(__xludf.DUMMYFUNCTION("""COMPUTED_VALUE"""),0.0)</f>
        <v>0</v>
      </c>
      <c r="S103" s="16">
        <f>IFERROR(__xludf.DUMMYFUNCTION("""COMPUTED_VALUE"""),0.0)</f>
        <v>0</v>
      </c>
      <c r="T103" s="16">
        <f>IFERROR(__xludf.DUMMYFUNCTION("""COMPUTED_VALUE"""),0.0)</f>
        <v>0</v>
      </c>
      <c r="U103" s="16">
        <f>IFERROR(__xludf.DUMMYFUNCTION("""COMPUTED_VALUE"""),0.0)</f>
        <v>0</v>
      </c>
      <c r="V103" s="16">
        <f>IFERROR(__xludf.DUMMYFUNCTION("""COMPUTED_VALUE"""),0.0)</f>
        <v>0</v>
      </c>
      <c r="W103" s="16">
        <f>IFERROR(__xludf.DUMMYFUNCTION("""COMPUTED_VALUE"""),0.0)</f>
        <v>0</v>
      </c>
      <c r="X103" s="16" t="b">
        <f>IFERROR(__xludf.DUMMYFUNCTION("""COMPUTED_VALUE"""),FALSE)</f>
        <v>0</v>
      </c>
      <c r="Y103" s="16"/>
      <c r="Z103" s="16"/>
    </row>
    <row r="104">
      <c r="A104" s="16" t="str">
        <f>IFERROR(__xludf.DUMMYFUNCTION("""COMPUTED_VALUE"""),"Gradient A.I. Corp.")</f>
        <v>Gradient A.I. Corp.</v>
      </c>
      <c r="B104" s="16" t="str">
        <f>IFERROR(__xludf.DUMMYFUNCTION("""COMPUTED_VALUE"""),"Growth")</f>
        <v>Growth</v>
      </c>
      <c r="C104" s="26" t="str">
        <f>IFERROR(__xludf.DUMMYFUNCTION("""COMPUTED_VALUE"""),"NAM")</f>
        <v>NAM</v>
      </c>
      <c r="D104" s="16" t="str">
        <f>IFERROR(__xludf.DUMMYFUNCTION("""COMPUTED_VALUE"""),"Shannon Spies")</f>
        <v>Shannon Spies</v>
      </c>
      <c r="E104" s="26" t="str">
        <f>IFERROR(__xludf.DUMMYFUNCTION("""COMPUTED_VALUE"""),"Canada, United States")</f>
        <v>Canada, United States</v>
      </c>
      <c r="F104" s="26" t="str">
        <f>IFERROR(__xludf.DUMMYFUNCTION("""COMPUTED_VALUE"""),"ClaimCenter")</f>
        <v>ClaimCenter</v>
      </c>
      <c r="G104" s="20">
        <f>IFERROR(__xludf.DUMMYFUNCTION("""COMPUTED_VALUE"""),45761.0)</f>
        <v>45761</v>
      </c>
      <c r="H104" s="13">
        <f>IFERROR(__xludf.DUMMYFUNCTION("""COMPUTED_VALUE"""),46432.0)</f>
        <v>46432</v>
      </c>
      <c r="I104" s="20">
        <f>IFERROR(__xludf.DUMMYFUNCTION("""COMPUTED_VALUE"""),45761.0)</f>
        <v>45761</v>
      </c>
      <c r="J104" s="13">
        <f>IFERROR(__xludf.DUMMYFUNCTION("""COMPUTED_VALUE"""),45548.0)</f>
        <v>45548</v>
      </c>
      <c r="K104" s="16"/>
      <c r="L104" s="16" t="str">
        <f>IFERROR(__xludf.DUMMYFUNCTION("""COMPUTED_VALUE"""),"Medium")</f>
        <v>Medium</v>
      </c>
      <c r="M104" s="26" t="str">
        <f>IFERROR(__xludf.DUMMYFUNCTION("""COMPUTED_VALUE"""),"PartnerConnect  Technology")</f>
        <v>PartnerConnect  Technology</v>
      </c>
      <c r="N104" s="16" t="str">
        <f>IFERROR(__xludf.DUMMYFUNCTION("""COMPUTED_VALUE"""),"FY25 - Q3")</f>
        <v>FY25 - Q3</v>
      </c>
      <c r="O104" s="16">
        <f>IFERROR(__xludf.DUMMYFUNCTION("""COMPUTED_VALUE"""),1.0)</f>
        <v>1</v>
      </c>
      <c r="P104" s="16">
        <f>IFERROR(__xludf.DUMMYFUNCTION("""COMPUTED_VALUE"""),1.0)</f>
        <v>1</v>
      </c>
      <c r="Q104" s="16">
        <f>IFERROR(__xludf.DUMMYFUNCTION("""COMPUTED_VALUE"""),0.0)</f>
        <v>0</v>
      </c>
      <c r="R104" s="16">
        <f>IFERROR(__xludf.DUMMYFUNCTION("""COMPUTED_VALUE"""),0.0)</f>
        <v>0</v>
      </c>
      <c r="S104" s="16">
        <f>IFERROR(__xludf.DUMMYFUNCTION("""COMPUTED_VALUE"""),0.0)</f>
        <v>0</v>
      </c>
      <c r="T104" s="16">
        <f>IFERROR(__xludf.DUMMYFUNCTION("""COMPUTED_VALUE"""),0.0)</f>
        <v>0</v>
      </c>
      <c r="U104" s="16">
        <f>IFERROR(__xludf.DUMMYFUNCTION("""COMPUTED_VALUE"""),0.0)</f>
        <v>0</v>
      </c>
      <c r="V104" s="16">
        <f>IFERROR(__xludf.DUMMYFUNCTION("""COMPUTED_VALUE"""),0.0)</f>
        <v>0</v>
      </c>
      <c r="W104" s="16">
        <f>IFERROR(__xludf.DUMMYFUNCTION("""COMPUTED_VALUE"""),0.0)</f>
        <v>0</v>
      </c>
      <c r="X104" s="16" t="b">
        <f>IFERROR(__xludf.DUMMYFUNCTION("""COMPUTED_VALUE"""),TRUE)</f>
        <v>1</v>
      </c>
      <c r="Y104" s="16"/>
      <c r="Z104" s="16"/>
    </row>
    <row r="105">
      <c r="A105" s="16" t="str">
        <f>IFERROR(__xludf.DUMMYFUNCTION("""COMPUTED_VALUE"""),"Gryphon Networks Corp")</f>
        <v>Gryphon Networks Corp</v>
      </c>
      <c r="B105" s="16" t="str">
        <f>IFERROR(__xludf.DUMMYFUNCTION("""COMPUTED_VALUE"""),"Growth")</f>
        <v>Growth</v>
      </c>
      <c r="C105" s="26" t="str">
        <f>IFERROR(__xludf.DUMMYFUNCTION("""COMPUTED_VALUE"""),"NAM")</f>
        <v>NAM</v>
      </c>
      <c r="D105" s="16" t="str">
        <f>IFERROR(__xludf.DUMMYFUNCTION("""COMPUTED_VALUE"""),"Eric Apse")</f>
        <v>Eric Apse</v>
      </c>
      <c r="E105" s="16" t="str">
        <f>IFERROR(__xludf.DUMMYFUNCTION("""COMPUTED_VALUE"""),"Canada, United States")</f>
        <v>Canada, United States</v>
      </c>
      <c r="F105" s="16" t="str">
        <f>IFERROR(__xludf.DUMMYFUNCTION("""COMPUTED_VALUE"""),"ClaimCenter")</f>
        <v>ClaimCenter</v>
      </c>
      <c r="G105" s="20">
        <f>IFERROR(__xludf.DUMMYFUNCTION("""COMPUTED_VALUE"""),45672.0)</f>
        <v>45672</v>
      </c>
      <c r="H105" s="16"/>
      <c r="I105" s="16"/>
      <c r="J105" s="16"/>
      <c r="K105" s="16"/>
      <c r="L105" s="16" t="str">
        <f>IFERROR(__xludf.DUMMYFUNCTION("""COMPUTED_VALUE"""),"Medium")</f>
        <v>Medium</v>
      </c>
      <c r="M105" s="26" t="str">
        <f>IFERROR(__xludf.DUMMYFUNCTION("""COMPUTED_VALUE"""),"PartnerConnect  Technology")</f>
        <v>PartnerConnect  Technology</v>
      </c>
      <c r="N105" s="16" t="str">
        <f>IFERROR(__xludf.DUMMYFUNCTION("""COMPUTED_VALUE"""),"FY25 - Q2")</f>
        <v>FY25 - Q2</v>
      </c>
      <c r="O105" s="16">
        <f>IFERROR(__xludf.DUMMYFUNCTION("""COMPUTED_VALUE"""),0.0)</f>
        <v>0</v>
      </c>
      <c r="P105" s="16">
        <f>IFERROR(__xludf.DUMMYFUNCTION("""COMPUTED_VALUE"""),0.0)</f>
        <v>0</v>
      </c>
      <c r="Q105" s="16">
        <f>IFERROR(__xludf.DUMMYFUNCTION("""COMPUTED_VALUE"""),0.0)</f>
        <v>0</v>
      </c>
      <c r="R105" s="16">
        <f>IFERROR(__xludf.DUMMYFUNCTION("""COMPUTED_VALUE"""),0.0)</f>
        <v>0</v>
      </c>
      <c r="S105" s="16">
        <f>IFERROR(__xludf.DUMMYFUNCTION("""COMPUTED_VALUE"""),0.0)</f>
        <v>0</v>
      </c>
      <c r="T105" s="16">
        <f>IFERROR(__xludf.DUMMYFUNCTION("""COMPUTED_VALUE"""),0.0)</f>
        <v>0</v>
      </c>
      <c r="U105" s="16">
        <f>IFERROR(__xludf.DUMMYFUNCTION("""COMPUTED_VALUE"""),0.0)</f>
        <v>0</v>
      </c>
      <c r="V105" s="16">
        <f>IFERROR(__xludf.DUMMYFUNCTION("""COMPUTED_VALUE"""),0.0)</f>
        <v>0</v>
      </c>
      <c r="W105" s="16">
        <f>IFERROR(__xludf.DUMMYFUNCTION("""COMPUTED_VALUE"""),36.0)</f>
        <v>36</v>
      </c>
      <c r="X105" s="16" t="b">
        <f>IFERROR(__xludf.DUMMYFUNCTION("""COMPUTED_VALUE"""),FALSE)</f>
        <v>0</v>
      </c>
      <c r="Y105" s="16"/>
      <c r="Z105" s="16"/>
    </row>
    <row r="106">
      <c r="A106" s="16" t="str">
        <f>IFERROR(__xludf.DUMMYFUNCTION("""COMPUTED_VALUE"""),"Handdii LLC")</f>
        <v>Handdii LLC</v>
      </c>
      <c r="B106" s="16" t="str">
        <f>IFERROR(__xludf.DUMMYFUNCTION("""COMPUTED_VALUE"""),"Growth")</f>
        <v>Growth</v>
      </c>
      <c r="C106" s="26" t="str">
        <f>IFERROR(__xludf.DUMMYFUNCTION("""COMPUTED_VALUE"""),"APAC, NAM")</f>
        <v>APAC, NAM</v>
      </c>
      <c r="D106" s="16" t="str">
        <f>IFERROR(__xludf.DUMMYFUNCTION("""COMPUTED_VALUE"""),"Tim Kennedy")</f>
        <v>Tim Kennedy</v>
      </c>
      <c r="E106" s="26" t="str">
        <f>IFERROR(__xludf.DUMMYFUNCTION("""COMPUTED_VALUE"""),"Australia New Zealand, United States")</f>
        <v>Australia New Zealand, United States</v>
      </c>
      <c r="F106" s="26" t="str">
        <f>IFERROR(__xludf.DUMMYFUNCTION("""COMPUTED_VALUE"""),"ClaimCenter")</f>
        <v>ClaimCenter</v>
      </c>
      <c r="G106" s="20">
        <f>IFERROR(__xludf.DUMMYFUNCTION("""COMPUTED_VALUE"""),45932.0)</f>
        <v>45932</v>
      </c>
      <c r="H106" s="20">
        <f>IFERROR(__xludf.DUMMYFUNCTION("""COMPUTED_VALUE"""),46662.0)</f>
        <v>46662</v>
      </c>
      <c r="I106" s="20"/>
      <c r="J106" s="16"/>
      <c r="K106" s="20"/>
      <c r="L106" s="16" t="str">
        <f>IFERROR(__xludf.DUMMYFUNCTION("""COMPUTED_VALUE"""),"Medium")</f>
        <v>Medium</v>
      </c>
      <c r="M106" s="26" t="str">
        <f>IFERROR(__xludf.DUMMYFUNCTION("""COMPUTED_VALUE"""),"PartnerConnect  Technology")</f>
        <v>PartnerConnect  Technology</v>
      </c>
      <c r="N106" s="16" t="str">
        <f>IFERROR(__xludf.DUMMYFUNCTION("""COMPUTED_VALUE"""),"FY25 - Q1")</f>
        <v>FY25 - Q1</v>
      </c>
      <c r="O106" s="16">
        <f>IFERROR(__xludf.DUMMYFUNCTION("""COMPUTED_VALUE"""),0.0)</f>
        <v>0</v>
      </c>
      <c r="P106" s="16">
        <f>IFERROR(__xludf.DUMMYFUNCTION("""COMPUTED_VALUE"""),0.0)</f>
        <v>0</v>
      </c>
      <c r="Q106" s="16">
        <f>IFERROR(__xludf.DUMMYFUNCTION("""COMPUTED_VALUE"""),0.0)</f>
        <v>0</v>
      </c>
      <c r="R106" s="16">
        <f>IFERROR(__xludf.DUMMYFUNCTION("""COMPUTED_VALUE"""),0.0)</f>
        <v>0</v>
      </c>
      <c r="S106" s="16">
        <f>IFERROR(__xludf.DUMMYFUNCTION("""COMPUTED_VALUE"""),0.0)</f>
        <v>0</v>
      </c>
      <c r="T106" s="16">
        <f>IFERROR(__xludf.DUMMYFUNCTION("""COMPUTED_VALUE"""),0.0)</f>
        <v>0</v>
      </c>
      <c r="U106" s="16">
        <f>IFERROR(__xludf.DUMMYFUNCTION("""COMPUTED_VALUE"""),0.0)</f>
        <v>0</v>
      </c>
      <c r="V106" s="16">
        <f>IFERROR(__xludf.DUMMYFUNCTION("""COMPUTED_VALUE"""),0.0)</f>
        <v>0</v>
      </c>
      <c r="W106" s="16">
        <f>IFERROR(__xludf.DUMMYFUNCTION("""COMPUTED_VALUE"""),0.0)</f>
        <v>0</v>
      </c>
      <c r="X106" s="16" t="b">
        <f>IFERROR(__xludf.DUMMYFUNCTION("""COMPUTED_VALUE"""),FALSE)</f>
        <v>0</v>
      </c>
      <c r="Y106" s="16"/>
      <c r="Z106" s="16"/>
    </row>
    <row r="107">
      <c r="A107" s="16" t="str">
        <f>IFERROR(__xludf.DUMMYFUNCTION("""COMPUTED_VALUE"""),"Haskoning UK Ltd.")</f>
        <v>Haskoning UK Ltd.</v>
      </c>
      <c r="B107" s="16" t="str">
        <f>IFERROR(__xludf.DUMMYFUNCTION("""COMPUTED_VALUE"""),"Select")</f>
        <v>Select</v>
      </c>
      <c r="C107" s="26" t="str">
        <f>IFERROR(__xludf.DUMMYFUNCTION("""COMPUTED_VALUE"""),"APAC, EMEA, LatAm")</f>
        <v>APAC, EMEA, LatAm</v>
      </c>
      <c r="D107" s="16" t="str">
        <f>IFERROR(__xludf.DUMMYFUNCTION("""COMPUTED_VALUE"""),"Fatima Aoulagha-Bannou")</f>
        <v>Fatima Aoulagha-Bannou</v>
      </c>
      <c r="E107" s="26" t="str">
        <f>IFERROR(__xludf.DUMMYFUNCTION("""COMPUTED_VALUE"""),"Australia New Zealand, Austria, Benelux, Denmark, Finland, France, Germany, Italy, South America, Spain, Sweden, Switzerland, UK")</f>
        <v>Australia New Zealand, Austria, Benelux, Denmark, Finland, France, Germany, Italy, South America, Spain, Sweden, Switzerland, UK</v>
      </c>
      <c r="F107" s="26" t="str">
        <f>IFERROR(__xludf.DUMMYFUNCTION("""COMPUTED_VALUE"""),"HazardHub")</f>
        <v>HazardHub</v>
      </c>
      <c r="G107" s="20">
        <f>IFERROR(__xludf.DUMMYFUNCTION("""COMPUTED_VALUE"""),45371.0)</f>
        <v>45371</v>
      </c>
      <c r="H107" s="13">
        <f>IFERROR(__xludf.DUMMYFUNCTION("""COMPUTED_VALUE"""),46100.0)</f>
        <v>46100</v>
      </c>
      <c r="I107" s="20"/>
      <c r="J107" s="16"/>
      <c r="K107" s="16"/>
      <c r="L107" s="16" t="str">
        <f>IFERROR(__xludf.DUMMYFUNCTION("""COMPUTED_VALUE"""),"Medium")</f>
        <v>Medium</v>
      </c>
      <c r="M107" s="26" t="str">
        <f>IFERROR(__xludf.DUMMYFUNCTION("""COMPUTED_VALUE"""),"PartnerConnect  Technology")</f>
        <v>PartnerConnect  Technology</v>
      </c>
      <c r="N107" s="16" t="str">
        <f>IFERROR(__xludf.DUMMYFUNCTION("""COMPUTED_VALUE"""),"FY24 - Q2")</f>
        <v>FY24 - Q2</v>
      </c>
      <c r="O107" s="16">
        <f>IFERROR(__xludf.DUMMYFUNCTION("""COMPUTED_VALUE"""),0.0)</f>
        <v>0</v>
      </c>
      <c r="P107" s="16">
        <f>IFERROR(__xludf.DUMMYFUNCTION("""COMPUTED_VALUE"""),0.0)</f>
        <v>0</v>
      </c>
      <c r="Q107" s="16">
        <f>IFERROR(__xludf.DUMMYFUNCTION("""COMPUTED_VALUE"""),0.0)</f>
        <v>0</v>
      </c>
      <c r="R107" s="16">
        <f>IFERROR(__xludf.DUMMYFUNCTION("""COMPUTED_VALUE"""),0.0)</f>
        <v>0</v>
      </c>
      <c r="S107" s="16">
        <f>IFERROR(__xludf.DUMMYFUNCTION("""COMPUTED_VALUE"""),0.0)</f>
        <v>0</v>
      </c>
      <c r="T107" s="16">
        <f>IFERROR(__xludf.DUMMYFUNCTION("""COMPUTED_VALUE"""),0.0)</f>
        <v>0</v>
      </c>
      <c r="U107" s="16">
        <f>IFERROR(__xludf.DUMMYFUNCTION("""COMPUTED_VALUE"""),0.0)</f>
        <v>0</v>
      </c>
      <c r="V107" s="16">
        <f>IFERROR(__xludf.DUMMYFUNCTION("""COMPUTED_VALUE"""),0.0)</f>
        <v>0</v>
      </c>
      <c r="W107" s="16">
        <f>IFERROR(__xludf.DUMMYFUNCTION("""COMPUTED_VALUE"""),0.0)</f>
        <v>0</v>
      </c>
      <c r="X107" s="16" t="b">
        <f>IFERROR(__xludf.DUMMYFUNCTION("""COMPUTED_VALUE"""),FALSE)</f>
        <v>0</v>
      </c>
      <c r="Y107" s="16"/>
      <c r="Z107" s="16"/>
    </row>
    <row r="108">
      <c r="A108" s="16" t="str">
        <f>IFERROR(__xludf.DUMMYFUNCTION("""COMPUTED_VALUE"""),"Hertz")</f>
        <v>Hertz</v>
      </c>
      <c r="B108" s="16" t="str">
        <f>IFERROR(__xludf.DUMMYFUNCTION("""COMPUTED_VALUE"""),"Growth")</f>
        <v>Growth</v>
      </c>
      <c r="C108" s="26" t="str">
        <f>IFERROR(__xludf.DUMMYFUNCTION("""COMPUTED_VALUE"""),"APAC, EMEA, NAM, LatAm")</f>
        <v>APAC, EMEA, NAM, LatAm</v>
      </c>
      <c r="D108" s="16" t="str">
        <f>IFERROR(__xludf.DUMMYFUNCTION("""COMPUTED_VALUE"""),"Eric Apse")</f>
        <v>Eric Apse</v>
      </c>
      <c r="E108" s="26" t="str">
        <f>IFERROR(__xludf.DUMMYFUNCTION("""COMPUTED_VALUE"""),"Canada, UK, United States")</f>
        <v>Canada, UK, United States</v>
      </c>
      <c r="F108" s="26" t="str">
        <f>IFERROR(__xludf.DUMMYFUNCTION("""COMPUTED_VALUE"""),"ClaimCenter")</f>
        <v>ClaimCenter</v>
      </c>
      <c r="G108" s="20">
        <f>IFERROR(__xludf.DUMMYFUNCTION("""COMPUTED_VALUE"""),44755.0)</f>
        <v>44755</v>
      </c>
      <c r="H108" s="20"/>
      <c r="I108" s="20">
        <f>IFERROR(__xludf.DUMMYFUNCTION("""COMPUTED_VALUE"""),44755.0)</f>
        <v>44755</v>
      </c>
      <c r="J108" s="20"/>
      <c r="K108" s="13">
        <f>IFERROR(__xludf.DUMMYFUNCTION("""COMPUTED_VALUE"""),45121.0)</f>
        <v>45121</v>
      </c>
      <c r="L108" s="16" t="str">
        <f>IFERROR(__xludf.DUMMYFUNCTION("""COMPUTED_VALUE"""),"High")</f>
        <v>High</v>
      </c>
      <c r="M108" s="26" t="str">
        <f>IFERROR(__xludf.DUMMYFUNCTION("""COMPUTED_VALUE"""),"PartnerConnect  Technology")</f>
        <v>PartnerConnect  Technology</v>
      </c>
      <c r="N108" s="16" t="str">
        <f>IFERROR(__xludf.DUMMYFUNCTION("""COMPUTED_VALUE"""),"FY22 - Q4")</f>
        <v>FY22 - Q4</v>
      </c>
      <c r="O108" s="16">
        <f>IFERROR(__xludf.DUMMYFUNCTION("""COMPUTED_VALUE"""),3.0)</f>
        <v>3</v>
      </c>
      <c r="P108" s="16">
        <f>IFERROR(__xludf.DUMMYFUNCTION("""COMPUTED_VALUE"""),3.0)</f>
        <v>3</v>
      </c>
      <c r="Q108" s="16">
        <f>IFERROR(__xludf.DUMMYFUNCTION("""COMPUTED_VALUE"""),36.0)</f>
        <v>36</v>
      </c>
      <c r="R108" s="16">
        <f>IFERROR(__xludf.DUMMYFUNCTION("""COMPUTED_VALUE"""),44.0)</f>
        <v>44</v>
      </c>
      <c r="S108" s="16">
        <f>IFERROR(__xludf.DUMMYFUNCTION("""COMPUTED_VALUE"""),43933.0)</f>
        <v>43933</v>
      </c>
      <c r="T108" s="16">
        <f>IFERROR(__xludf.DUMMYFUNCTION("""COMPUTED_VALUE"""),20.0)</f>
        <v>20</v>
      </c>
      <c r="U108" s="16">
        <f>IFERROR(__xludf.DUMMYFUNCTION("""COMPUTED_VALUE"""),14.0)</f>
        <v>14</v>
      </c>
      <c r="V108" s="16">
        <f>IFERROR(__xludf.DUMMYFUNCTION("""COMPUTED_VALUE"""),14.0)</f>
        <v>14</v>
      </c>
      <c r="W108" s="16">
        <f>IFERROR(__xludf.DUMMYFUNCTION("""COMPUTED_VALUE"""),11.0)</f>
        <v>11</v>
      </c>
      <c r="X108" s="16" t="b">
        <f>IFERROR(__xludf.DUMMYFUNCTION("""COMPUTED_VALUE"""),TRUE)</f>
        <v>1</v>
      </c>
      <c r="Y108" s="16"/>
      <c r="Z108" s="16"/>
    </row>
    <row r="109">
      <c r="A109" s="16" t="str">
        <f>IFERROR(__xludf.DUMMYFUNCTION("""COMPUTED_VALUE"""),"Hexaware Technologies Inc")</f>
        <v>Hexaware Technologies Inc</v>
      </c>
      <c r="B109" s="16" t="str">
        <f>IFERROR(__xludf.DUMMYFUNCTION("""COMPUTED_VALUE"""),"Advantage")</f>
        <v>Advantage</v>
      </c>
      <c r="C109" s="26" t="str">
        <f>IFERROR(__xludf.DUMMYFUNCTION("""COMPUTED_VALUE"""),"APAC, EMEA, NAM")</f>
        <v>APAC, EMEA, NAM</v>
      </c>
      <c r="D109" s="16" t="str">
        <f>IFERROR(__xludf.DUMMYFUNCTION("""COMPUTED_VALUE"""),"Regina Kean")</f>
        <v>Regina Kean</v>
      </c>
      <c r="E109" s="26"/>
      <c r="F109" s="26"/>
      <c r="G109" s="20">
        <f>IFERROR(__xludf.DUMMYFUNCTION("""COMPUTED_VALUE"""),43466.0)</f>
        <v>43466</v>
      </c>
      <c r="H109" s="16"/>
      <c r="I109" s="20"/>
      <c r="J109" s="16"/>
      <c r="K109" s="20"/>
      <c r="L109" s="16"/>
      <c r="M109" s="26" t="str">
        <f>IFERROR(__xludf.DUMMYFUNCTION("""COMPUTED_VALUE"""),"PartnerConnect  Consulting")</f>
        <v>PartnerConnect  Consulting</v>
      </c>
      <c r="N109" s="16" t="str">
        <f>IFERROR(__xludf.DUMMYFUNCTION("""COMPUTED_VALUE"""),"FY19 - Q2")</f>
        <v>FY19 - Q2</v>
      </c>
      <c r="O109" s="16">
        <f>IFERROR(__xludf.DUMMYFUNCTION("""COMPUTED_VALUE"""),12.0)</f>
        <v>12</v>
      </c>
      <c r="P109" s="16">
        <f>IFERROR(__xludf.DUMMYFUNCTION("""COMPUTED_VALUE"""),12.0)</f>
        <v>12</v>
      </c>
      <c r="Q109" s="16">
        <f>IFERROR(__xludf.DUMMYFUNCTION("""COMPUTED_VALUE"""),0.0)</f>
        <v>0</v>
      </c>
      <c r="R109" s="16">
        <f>IFERROR(__xludf.DUMMYFUNCTION("""COMPUTED_VALUE"""),0.0)</f>
        <v>0</v>
      </c>
      <c r="S109" s="16">
        <f>IFERROR(__xludf.DUMMYFUNCTION("""COMPUTED_VALUE"""),95033.0)</f>
        <v>95033</v>
      </c>
      <c r="T109" s="16">
        <f>IFERROR(__xludf.DUMMYFUNCTION("""COMPUTED_VALUE"""),0.0)</f>
        <v>0</v>
      </c>
      <c r="U109" s="16">
        <f>IFERROR(__xludf.DUMMYFUNCTION("""COMPUTED_VALUE"""),0.0)</f>
        <v>0</v>
      </c>
      <c r="V109" s="16">
        <f>IFERROR(__xludf.DUMMYFUNCTION("""COMPUTED_VALUE"""),0.0)</f>
        <v>0</v>
      </c>
      <c r="W109" s="16">
        <f>IFERROR(__xludf.DUMMYFUNCTION("""COMPUTED_VALUE"""),0.0)</f>
        <v>0</v>
      </c>
      <c r="X109" s="16" t="b">
        <f>IFERROR(__xludf.DUMMYFUNCTION("""COMPUTED_VALUE"""),FALSE)</f>
        <v>0</v>
      </c>
      <c r="Y109" s="16"/>
      <c r="Z109" s="16"/>
    </row>
    <row r="110">
      <c r="A110" s="16" t="str">
        <f>IFERROR(__xludf.DUMMYFUNCTION("""COMPUTED_VALUE"""),"Hi Marley")</f>
        <v>Hi Marley</v>
      </c>
      <c r="B110" s="16" t="str">
        <f>IFERROR(__xludf.DUMMYFUNCTION("""COMPUTED_VALUE"""),"Premier")</f>
        <v>Premier</v>
      </c>
      <c r="C110" s="26" t="str">
        <f>IFERROR(__xludf.DUMMYFUNCTION("""COMPUTED_VALUE"""),"NAM")</f>
        <v>NAM</v>
      </c>
      <c r="D110" s="16" t="str">
        <f>IFERROR(__xludf.DUMMYFUNCTION("""COMPUTED_VALUE"""),"Eric Apse")</f>
        <v>Eric Apse</v>
      </c>
      <c r="E110" s="26" t="str">
        <f>IFERROR(__xludf.DUMMYFUNCTION("""COMPUTED_VALUE"""),"Canada, United States")</f>
        <v>Canada, United States</v>
      </c>
      <c r="F110" s="26" t="str">
        <f>IFERROR(__xludf.DUMMYFUNCTION("""COMPUTED_VALUE"""),"ClaimCenter, InsuranceNow")</f>
        <v>ClaimCenter, InsuranceNow</v>
      </c>
      <c r="G110" s="20">
        <f>IFERROR(__xludf.DUMMYFUNCTION("""COMPUTED_VALUE"""),43880.0)</f>
        <v>43880</v>
      </c>
      <c r="H110" s="13">
        <f>IFERROR(__xludf.DUMMYFUNCTION("""COMPUTED_VALUE"""),44611.0)</f>
        <v>44611</v>
      </c>
      <c r="I110" s="20">
        <f>IFERROR(__xludf.DUMMYFUNCTION("""COMPUTED_VALUE"""),43880.0)</f>
        <v>43880</v>
      </c>
      <c r="J110" s="16"/>
      <c r="K110" s="20">
        <f>IFERROR(__xludf.DUMMYFUNCTION("""COMPUTED_VALUE"""),44071.0)</f>
        <v>44071</v>
      </c>
      <c r="L110" s="16" t="str">
        <f>IFERROR(__xludf.DUMMYFUNCTION("""COMPUTED_VALUE"""),"High")</f>
        <v>High</v>
      </c>
      <c r="M110" s="26" t="str">
        <f>IFERROR(__xludf.DUMMYFUNCTION("""COMPUTED_VALUE"""),"PartnerConnect  Technology")</f>
        <v>PartnerConnect  Technology</v>
      </c>
      <c r="N110" s="16" t="str">
        <f>IFERROR(__xludf.DUMMYFUNCTION("""COMPUTED_VALUE"""),"FY20 - Q2")</f>
        <v>FY20 - Q2</v>
      </c>
      <c r="O110" s="16">
        <f>IFERROR(__xludf.DUMMYFUNCTION("""COMPUTED_VALUE"""),3.0)</f>
        <v>3</v>
      </c>
      <c r="P110" s="16">
        <f>IFERROR(__xludf.DUMMYFUNCTION("""COMPUTED_VALUE"""),3.0)</f>
        <v>3</v>
      </c>
      <c r="Q110" s="16">
        <f>IFERROR(__xludf.DUMMYFUNCTION("""COMPUTED_VALUE"""),195.0)</f>
        <v>195</v>
      </c>
      <c r="R110" s="16">
        <f>IFERROR(__xludf.DUMMYFUNCTION("""COMPUTED_VALUE"""),84.0)</f>
        <v>84</v>
      </c>
      <c r="S110" s="16">
        <f>IFERROR(__xludf.DUMMYFUNCTION("""COMPUTED_VALUE"""),5376.0)</f>
        <v>5376</v>
      </c>
      <c r="T110" s="16">
        <f>IFERROR(__xludf.DUMMYFUNCTION("""COMPUTED_VALUE"""),77.0)</f>
        <v>77</v>
      </c>
      <c r="U110" s="16">
        <f>IFERROR(__xludf.DUMMYFUNCTION("""COMPUTED_VALUE"""),56.0)</f>
        <v>56</v>
      </c>
      <c r="V110" s="16">
        <f>IFERROR(__xludf.DUMMYFUNCTION("""COMPUTED_VALUE"""),56.0)</f>
        <v>56</v>
      </c>
      <c r="W110" s="16">
        <f>IFERROR(__xludf.DUMMYFUNCTION("""COMPUTED_VALUE"""),0.0)</f>
        <v>0</v>
      </c>
      <c r="X110" s="16" t="b">
        <f>IFERROR(__xludf.DUMMYFUNCTION("""COMPUTED_VALUE"""),TRUE)</f>
        <v>1</v>
      </c>
      <c r="Y110" s="16"/>
      <c r="Z110" s="16"/>
    </row>
    <row r="111">
      <c r="A111" s="16" t="str">
        <f>IFERROR(__xludf.DUMMYFUNCTION("""COMPUTED_VALUE"""),"HONK Technologies Inc")</f>
        <v>HONK Technologies Inc</v>
      </c>
      <c r="B111" s="16" t="str">
        <f>IFERROR(__xludf.DUMMYFUNCTION("""COMPUTED_VALUE"""),"Growth")</f>
        <v>Growth</v>
      </c>
      <c r="C111" s="26" t="str">
        <f>IFERROR(__xludf.DUMMYFUNCTION("""COMPUTED_VALUE"""),"NAM")</f>
        <v>NAM</v>
      </c>
      <c r="D111" s="16" t="str">
        <f>IFERROR(__xludf.DUMMYFUNCTION("""COMPUTED_VALUE"""),"Shannon Spies")</f>
        <v>Shannon Spies</v>
      </c>
      <c r="E111" s="26" t="str">
        <f>IFERROR(__xludf.DUMMYFUNCTION("""COMPUTED_VALUE"""),"Canada,United States")</f>
        <v>Canada,United States</v>
      </c>
      <c r="F111" s="26" t="str">
        <f>IFERROR(__xludf.DUMMYFUNCTION("""COMPUTED_VALUE"""),"ClaimCenter")</f>
        <v>ClaimCenter</v>
      </c>
      <c r="G111" s="20">
        <f>IFERROR(__xludf.DUMMYFUNCTION("""COMPUTED_VALUE"""),45422.0)</f>
        <v>45422</v>
      </c>
      <c r="H111" s="16"/>
      <c r="I111" s="20">
        <f>IFERROR(__xludf.DUMMYFUNCTION("""COMPUTED_VALUE"""),45422.0)</f>
        <v>45422</v>
      </c>
      <c r="J111" s="16"/>
      <c r="K111" s="16"/>
      <c r="L111" s="16" t="str">
        <f>IFERROR(__xludf.DUMMYFUNCTION("""COMPUTED_VALUE"""),"Low")</f>
        <v>Low</v>
      </c>
      <c r="M111" s="26" t="str">
        <f>IFERROR(__xludf.DUMMYFUNCTION("""COMPUTED_VALUE"""),"PartnerConnect  Technology")</f>
        <v>PartnerConnect  Technology</v>
      </c>
      <c r="N111" s="16" t="str">
        <f>IFERROR(__xludf.DUMMYFUNCTION("""COMPUTED_VALUE"""),"FY24 - Q3")</f>
        <v>FY24 - Q3</v>
      </c>
      <c r="O111" s="16">
        <f>IFERROR(__xludf.DUMMYFUNCTION("""COMPUTED_VALUE"""),0.0)</f>
        <v>0</v>
      </c>
      <c r="P111" s="16">
        <f>IFERROR(__xludf.DUMMYFUNCTION("""COMPUTED_VALUE"""),0.0)</f>
        <v>0</v>
      </c>
      <c r="Q111" s="16">
        <f>IFERROR(__xludf.DUMMYFUNCTION("""COMPUTED_VALUE"""),0.0)</f>
        <v>0</v>
      </c>
      <c r="R111" s="16">
        <f>IFERROR(__xludf.DUMMYFUNCTION("""COMPUTED_VALUE"""),0.0)</f>
        <v>0</v>
      </c>
      <c r="S111" s="16">
        <f>IFERROR(__xludf.DUMMYFUNCTION("""COMPUTED_VALUE"""),0.0)</f>
        <v>0</v>
      </c>
      <c r="T111" s="16">
        <f>IFERROR(__xludf.DUMMYFUNCTION("""COMPUTED_VALUE"""),0.0)</f>
        <v>0</v>
      </c>
      <c r="U111" s="16">
        <f>IFERROR(__xludf.DUMMYFUNCTION("""COMPUTED_VALUE"""),0.0)</f>
        <v>0</v>
      </c>
      <c r="V111" s="16">
        <f>IFERROR(__xludf.DUMMYFUNCTION("""COMPUTED_VALUE"""),0.0)</f>
        <v>0</v>
      </c>
      <c r="W111" s="16">
        <f>IFERROR(__xludf.DUMMYFUNCTION("""COMPUTED_VALUE"""),5.0)</f>
        <v>5</v>
      </c>
      <c r="X111" s="16" t="b">
        <f>IFERROR(__xludf.DUMMYFUNCTION("""COMPUTED_VALUE"""),FALSE)</f>
        <v>0</v>
      </c>
      <c r="Y111" s="16"/>
      <c r="Z111" s="16"/>
    </row>
    <row r="112">
      <c r="A112" s="16" t="str">
        <f>IFERROR(__xludf.DUMMYFUNCTION("""COMPUTED_VALUE"""),"HOVER")</f>
        <v>HOVER</v>
      </c>
      <c r="B112" s="16" t="str">
        <f>IFERROR(__xludf.DUMMYFUNCTION("""COMPUTED_VALUE"""),"Growth")</f>
        <v>Growth</v>
      </c>
      <c r="C112" s="26" t="str">
        <f>IFERROR(__xludf.DUMMYFUNCTION("""COMPUTED_VALUE"""),"APAC, EMEA, NAM")</f>
        <v>APAC, EMEA, NAM</v>
      </c>
      <c r="D112" s="16" t="str">
        <f>IFERROR(__xludf.DUMMYFUNCTION("""COMPUTED_VALUE"""),"Aaron Shaw")</f>
        <v>Aaron Shaw</v>
      </c>
      <c r="E112" s="26" t="str">
        <f>IFERROR(__xludf.DUMMYFUNCTION("""COMPUTED_VALUE"""),"Canada, United States")</f>
        <v>Canada, United States</v>
      </c>
      <c r="F112" s="26" t="str">
        <f>IFERROR(__xludf.DUMMYFUNCTION("""COMPUTED_VALUE"""),"ClaimCenter")</f>
        <v>ClaimCenter</v>
      </c>
      <c r="G112" s="20">
        <f>IFERROR(__xludf.DUMMYFUNCTION("""COMPUTED_VALUE"""),44302.0)</f>
        <v>44302</v>
      </c>
      <c r="H112" s="20">
        <f>IFERROR(__xludf.DUMMYFUNCTION("""COMPUTED_VALUE"""),45031.0)</f>
        <v>45031</v>
      </c>
      <c r="I112" s="20">
        <f>IFERROR(__xludf.DUMMYFUNCTION("""COMPUTED_VALUE"""),44302.0)</f>
        <v>44302</v>
      </c>
      <c r="J112" s="13">
        <f>IFERROR(__xludf.DUMMYFUNCTION("""COMPUTED_VALUE"""),44666.0)</f>
        <v>44666</v>
      </c>
      <c r="K112" s="20"/>
      <c r="L112" s="16" t="str">
        <f>IFERROR(__xludf.DUMMYFUNCTION("""COMPUTED_VALUE"""),"Low")</f>
        <v>Low</v>
      </c>
      <c r="M112" s="26" t="str">
        <f>IFERROR(__xludf.DUMMYFUNCTION("""COMPUTED_VALUE"""),"PartnerConnect  Technology")</f>
        <v>PartnerConnect  Technology</v>
      </c>
      <c r="N112" s="16" t="str">
        <f>IFERROR(__xludf.DUMMYFUNCTION("""COMPUTED_VALUE"""),"FY21 - Q3")</f>
        <v>FY21 - Q3</v>
      </c>
      <c r="O112" s="16">
        <f>IFERROR(__xludf.DUMMYFUNCTION("""COMPUTED_VALUE"""),0.0)</f>
        <v>0</v>
      </c>
      <c r="P112" s="16">
        <f>IFERROR(__xludf.DUMMYFUNCTION("""COMPUTED_VALUE"""),0.0)</f>
        <v>0</v>
      </c>
      <c r="Q112" s="16">
        <f>IFERROR(__xludf.DUMMYFUNCTION("""COMPUTED_VALUE"""),0.0)</f>
        <v>0</v>
      </c>
      <c r="R112" s="16">
        <f>IFERROR(__xludf.DUMMYFUNCTION("""COMPUTED_VALUE"""),0.0)</f>
        <v>0</v>
      </c>
      <c r="S112" s="16">
        <f>IFERROR(__xludf.DUMMYFUNCTION("""COMPUTED_VALUE"""),0.0)</f>
        <v>0</v>
      </c>
      <c r="T112" s="16">
        <f>IFERROR(__xludf.DUMMYFUNCTION("""COMPUTED_VALUE"""),0.0)</f>
        <v>0</v>
      </c>
      <c r="U112" s="16">
        <f>IFERROR(__xludf.DUMMYFUNCTION("""COMPUTED_VALUE"""),0.0)</f>
        <v>0</v>
      </c>
      <c r="V112" s="16">
        <f>IFERROR(__xludf.DUMMYFUNCTION("""COMPUTED_VALUE"""),0.0)</f>
        <v>0</v>
      </c>
      <c r="W112" s="16">
        <f>IFERROR(__xludf.DUMMYFUNCTION("""COMPUTED_VALUE"""),6.0)</f>
        <v>6</v>
      </c>
      <c r="X112" s="16" t="b">
        <f>IFERROR(__xludf.DUMMYFUNCTION("""COMPUTED_VALUE"""),FALSE)</f>
        <v>0</v>
      </c>
      <c r="Y112" s="16"/>
      <c r="Z112" s="16"/>
    </row>
    <row r="113">
      <c r="A113" s="16" t="str">
        <f>IFERROR(__xludf.DUMMYFUNCTION("""COMPUTED_VALUE"""),"Hubio")</f>
        <v>Hubio</v>
      </c>
      <c r="B113" s="16" t="str">
        <f>IFERROR(__xludf.DUMMYFUNCTION("""COMPUTED_VALUE"""),"Growth")</f>
        <v>Growth</v>
      </c>
      <c r="C113" s="26" t="str">
        <f>IFERROR(__xludf.DUMMYFUNCTION("""COMPUTED_VALUE"""),"NAM")</f>
        <v>NAM</v>
      </c>
      <c r="D113" s="16" t="str">
        <f>IFERROR(__xludf.DUMMYFUNCTION("""COMPUTED_VALUE"""),"Gregg Rabenold")</f>
        <v>Gregg Rabenold</v>
      </c>
      <c r="E113" s="16" t="str">
        <f>IFERROR(__xludf.DUMMYFUNCTION("""COMPUTED_VALUE"""),"Canada, United States")</f>
        <v>Canada, United States</v>
      </c>
      <c r="F113" s="26" t="str">
        <f>IFERROR(__xludf.DUMMYFUNCTION("""COMPUTED_VALUE"""),"ClaimCenter, PolicyCenter, Cloud Data Access (CDA)")</f>
        <v>ClaimCenter, PolicyCenter, Cloud Data Access (CDA)</v>
      </c>
      <c r="G113" s="20">
        <f>IFERROR(__xludf.DUMMYFUNCTION("""COMPUTED_VALUE"""),42585.0)</f>
        <v>42585</v>
      </c>
      <c r="H113" s="20"/>
      <c r="I113" s="20">
        <f>IFERROR(__xludf.DUMMYFUNCTION("""COMPUTED_VALUE"""),42597.0)</f>
        <v>42597</v>
      </c>
      <c r="J113" s="16"/>
      <c r="K113" s="13">
        <f>IFERROR(__xludf.DUMMYFUNCTION("""COMPUTED_VALUE"""),43034.0)</f>
        <v>43034</v>
      </c>
      <c r="L113" s="16" t="str">
        <f>IFERROR(__xludf.DUMMYFUNCTION("""COMPUTED_VALUE"""),"Medium")</f>
        <v>Medium</v>
      </c>
      <c r="M113" s="26" t="str">
        <f>IFERROR(__xludf.DUMMYFUNCTION("""COMPUTED_VALUE"""),"PartnerConnect  Technology")</f>
        <v>PartnerConnect  Technology</v>
      </c>
      <c r="N113" s="16" t="str">
        <f>IFERROR(__xludf.DUMMYFUNCTION("""COMPUTED_VALUE"""),"FY16 - Q1")</f>
        <v>FY16 - Q1</v>
      </c>
      <c r="O113" s="16">
        <f>IFERROR(__xludf.DUMMYFUNCTION("""COMPUTED_VALUE"""),1.0)</f>
        <v>1</v>
      </c>
      <c r="P113" s="16">
        <f>IFERROR(__xludf.DUMMYFUNCTION("""COMPUTED_VALUE"""),1.0)</f>
        <v>1</v>
      </c>
      <c r="Q113" s="16">
        <f>IFERROR(__xludf.DUMMYFUNCTION("""COMPUTED_VALUE"""),4.0)</f>
        <v>4</v>
      </c>
      <c r="R113" s="16">
        <f>IFERROR(__xludf.DUMMYFUNCTION("""COMPUTED_VALUE"""),4.0)</f>
        <v>4</v>
      </c>
      <c r="S113" s="16">
        <f>IFERROR(__xludf.DUMMYFUNCTION("""COMPUTED_VALUE"""),2590.0)</f>
        <v>2590</v>
      </c>
      <c r="T113" s="16">
        <f>IFERROR(__xludf.DUMMYFUNCTION("""COMPUTED_VALUE"""),2.0)</f>
        <v>2</v>
      </c>
      <c r="U113" s="16">
        <f>IFERROR(__xludf.DUMMYFUNCTION("""COMPUTED_VALUE"""),4.0)</f>
        <v>4</v>
      </c>
      <c r="V113" s="16">
        <f>IFERROR(__xludf.DUMMYFUNCTION("""COMPUTED_VALUE"""),4.0)</f>
        <v>4</v>
      </c>
      <c r="W113" s="16">
        <f>IFERROR(__xludf.DUMMYFUNCTION("""COMPUTED_VALUE"""),1.0)</f>
        <v>1</v>
      </c>
      <c r="X113" s="16" t="b">
        <f>IFERROR(__xludf.DUMMYFUNCTION("""COMPUTED_VALUE"""),FALSE)</f>
        <v>0</v>
      </c>
      <c r="Y113" s="16"/>
      <c r="Z113" s="16"/>
    </row>
    <row r="114">
      <c r="A114" s="16" t="str">
        <f>IFERROR(__xludf.DUMMYFUNCTION("""COMPUTED_VALUE"""),"Hyland Software, Inc.")</f>
        <v>Hyland Software, Inc.</v>
      </c>
      <c r="B114" s="16" t="str">
        <f>IFERROR(__xludf.DUMMYFUNCTION("""COMPUTED_VALUE"""),"Premier")</f>
        <v>Premier</v>
      </c>
      <c r="C114" s="26" t="str">
        <f>IFERROR(__xludf.DUMMYFUNCTION("""COMPUTED_VALUE"""),"APAC, EMEA, NAM, LatAm")</f>
        <v>APAC, EMEA, NAM, LatAm</v>
      </c>
      <c r="D114" s="16" t="str">
        <f>IFERROR(__xludf.DUMMYFUNCTION("""COMPUTED_VALUE"""),"Rod Gowin")</f>
        <v>Rod Gowin</v>
      </c>
      <c r="E114" s="26" t="str">
        <f>IFERROR(__xludf.DUMMYFUNCTION("""COMPUTED_VALUE"""),"Australia New Zealand, Canada, Denmark, Finland, France, Germany, India, Italy, Norway, Poland, Spain, Sweden, Switzerland, UK, United States, Japan, South Africa")</f>
        <v>Australia New Zealand, Canada, Denmark, Finland, France, Germany, India, Italy, Norway, Poland, Spain, Sweden, Switzerland, UK, United States, Japan, South Africa</v>
      </c>
      <c r="F114" s="26" t="str">
        <f>IFERROR(__xludf.DUMMYFUNCTION("""COMPUTED_VALUE"""),"ClaimCenter, PolicyCenter, BillingCenter")</f>
        <v>ClaimCenter, PolicyCenter, BillingCenter</v>
      </c>
      <c r="G114" s="20">
        <f>IFERROR(__xludf.DUMMYFUNCTION("""COMPUTED_VALUE"""),41944.0)</f>
        <v>41944</v>
      </c>
      <c r="H114" s="20"/>
      <c r="I114" s="20">
        <f>IFERROR(__xludf.DUMMYFUNCTION("""COMPUTED_VALUE"""),43234.0)</f>
        <v>43234</v>
      </c>
      <c r="J114" s="16"/>
      <c r="K114" s="13">
        <f>IFERROR(__xludf.DUMMYFUNCTION("""COMPUTED_VALUE"""),41014.0)</f>
        <v>41014</v>
      </c>
      <c r="L114" s="16" t="str">
        <f>IFERROR(__xludf.DUMMYFUNCTION("""COMPUTED_VALUE"""),"Medium")</f>
        <v>Medium</v>
      </c>
      <c r="M114" s="26" t="str">
        <f>IFERROR(__xludf.DUMMYFUNCTION("""COMPUTED_VALUE"""),"PartnerConnect  Technology")</f>
        <v>PartnerConnect  Technology</v>
      </c>
      <c r="N114" s="16" t="str">
        <f>IFERROR(__xludf.DUMMYFUNCTION("""COMPUTED_VALUE"""),"FY14 - Q2")</f>
        <v>FY14 - Q2</v>
      </c>
      <c r="O114" s="16">
        <f>IFERROR(__xludf.DUMMYFUNCTION("""COMPUTED_VALUE"""),5.0)</f>
        <v>5</v>
      </c>
      <c r="P114" s="16">
        <f>IFERROR(__xludf.DUMMYFUNCTION("""COMPUTED_VALUE"""),5.0)</f>
        <v>5</v>
      </c>
      <c r="Q114" s="16">
        <f>IFERROR(__xludf.DUMMYFUNCTION("""COMPUTED_VALUE"""),150.0)</f>
        <v>150</v>
      </c>
      <c r="R114" s="16">
        <f>IFERROR(__xludf.DUMMYFUNCTION("""COMPUTED_VALUE"""),32.0)</f>
        <v>32</v>
      </c>
      <c r="S114" s="16">
        <f>IFERROR(__xludf.DUMMYFUNCTION("""COMPUTED_VALUE"""),60545.0)</f>
        <v>60545</v>
      </c>
      <c r="T114" s="16">
        <f>IFERROR(__xludf.DUMMYFUNCTION("""COMPUTED_VALUE"""),54.0)</f>
        <v>54</v>
      </c>
      <c r="U114" s="16">
        <f>IFERROR(__xludf.DUMMYFUNCTION("""COMPUTED_VALUE"""),3.0)</f>
        <v>3</v>
      </c>
      <c r="V114" s="16">
        <f>IFERROR(__xludf.DUMMYFUNCTION("""COMPUTED_VALUE"""),3.0)</f>
        <v>3</v>
      </c>
      <c r="W114" s="16">
        <f>IFERROR(__xludf.DUMMYFUNCTION("""COMPUTED_VALUE"""),0.0)</f>
        <v>0</v>
      </c>
      <c r="X114" s="16" t="b">
        <f>IFERROR(__xludf.DUMMYFUNCTION("""COMPUTED_VALUE"""),FALSE)</f>
        <v>0</v>
      </c>
      <c r="Y114" s="16"/>
      <c r="Z114" s="16"/>
    </row>
    <row r="115">
      <c r="A115" s="16" t="str">
        <f>IFERROR(__xludf.DUMMYFUNCTION("""COMPUTED_VALUE"""),"Hyperexponential Ltd")</f>
        <v>Hyperexponential Ltd</v>
      </c>
      <c r="B115" s="16" t="str">
        <f>IFERROR(__xludf.DUMMYFUNCTION("""COMPUTED_VALUE"""),"Growth")</f>
        <v>Growth</v>
      </c>
      <c r="C115" s="26" t="str">
        <f>IFERROR(__xludf.DUMMYFUNCTION("""COMPUTED_VALUE"""),"APAC, EMEA, NAM")</f>
        <v>APAC, EMEA, NAM</v>
      </c>
      <c r="D115" s="16" t="str">
        <f>IFERROR(__xludf.DUMMYFUNCTION("""COMPUTED_VALUE"""),"Tim Kennedy")</f>
        <v>Tim Kennedy</v>
      </c>
      <c r="E115" s="26" t="str">
        <f>IFERROR(__xludf.DUMMYFUNCTION("""COMPUTED_VALUE"""),"UK")</f>
        <v>UK</v>
      </c>
      <c r="F115" s="26" t="str">
        <f>IFERROR(__xludf.DUMMYFUNCTION("""COMPUTED_VALUE"""),"PolicyCenter")</f>
        <v>PolicyCenter</v>
      </c>
      <c r="G115" s="20">
        <f>IFERROR(__xludf.DUMMYFUNCTION("""COMPUTED_VALUE"""),45447.0)</f>
        <v>45447</v>
      </c>
      <c r="H115" s="20"/>
      <c r="I115" s="20">
        <f>IFERROR(__xludf.DUMMYFUNCTION("""COMPUTED_VALUE"""),45447.0)</f>
        <v>45447</v>
      </c>
      <c r="J115" s="16"/>
      <c r="K115" s="20"/>
      <c r="L115" s="16" t="str">
        <f>IFERROR(__xludf.DUMMYFUNCTION("""COMPUTED_VALUE"""),"High")</f>
        <v>High</v>
      </c>
      <c r="M115" s="26" t="str">
        <f>IFERROR(__xludf.DUMMYFUNCTION("""COMPUTED_VALUE"""),"PartnerConnect  Technology")</f>
        <v>PartnerConnect  Technology</v>
      </c>
      <c r="N115" s="16" t="str">
        <f>IFERROR(__xludf.DUMMYFUNCTION("""COMPUTED_VALUE"""),"FY24 - Q3")</f>
        <v>FY24 - Q3</v>
      </c>
      <c r="O115" s="16">
        <f>IFERROR(__xludf.DUMMYFUNCTION("""COMPUTED_VALUE"""),1.0)</f>
        <v>1</v>
      </c>
      <c r="P115" s="16">
        <f>IFERROR(__xludf.DUMMYFUNCTION("""COMPUTED_VALUE"""),1.0)</f>
        <v>1</v>
      </c>
      <c r="Q115" s="16">
        <f>IFERROR(__xludf.DUMMYFUNCTION("""COMPUTED_VALUE"""),0.0)</f>
        <v>0</v>
      </c>
      <c r="R115" s="16">
        <f>IFERROR(__xludf.DUMMYFUNCTION("""COMPUTED_VALUE"""),0.0)</f>
        <v>0</v>
      </c>
      <c r="S115" s="16">
        <f>IFERROR(__xludf.DUMMYFUNCTION("""COMPUTED_VALUE"""),0.0)</f>
        <v>0</v>
      </c>
      <c r="T115" s="16">
        <f>IFERROR(__xludf.DUMMYFUNCTION("""COMPUTED_VALUE"""),0.0)</f>
        <v>0</v>
      </c>
      <c r="U115" s="16">
        <f>IFERROR(__xludf.DUMMYFUNCTION("""COMPUTED_VALUE"""),0.0)</f>
        <v>0</v>
      </c>
      <c r="V115" s="16">
        <f>IFERROR(__xludf.DUMMYFUNCTION("""COMPUTED_VALUE"""),0.0)</f>
        <v>0</v>
      </c>
      <c r="W115" s="16">
        <f>IFERROR(__xludf.DUMMYFUNCTION("""COMPUTED_VALUE"""),0.0)</f>
        <v>0</v>
      </c>
      <c r="X115" s="16" t="b">
        <f>IFERROR(__xludf.DUMMYFUNCTION("""COMPUTED_VALUE"""),TRUE)</f>
        <v>1</v>
      </c>
      <c r="Y115" s="16"/>
      <c r="Z115" s="16"/>
    </row>
    <row r="116">
      <c r="A116" s="16" t="str">
        <f>IFERROR(__xludf.DUMMYFUNCTION("""COMPUTED_VALUE"""),"IAA")</f>
        <v>IAA</v>
      </c>
      <c r="B116" s="16" t="str">
        <f>IFERROR(__xludf.DUMMYFUNCTION("""COMPUTED_VALUE"""),"Growth")</f>
        <v>Growth</v>
      </c>
      <c r="C116" s="26" t="str">
        <f>IFERROR(__xludf.DUMMYFUNCTION("""COMPUTED_VALUE"""),"NAM")</f>
        <v>NAM</v>
      </c>
      <c r="D116" s="16" t="str">
        <f>IFERROR(__xludf.DUMMYFUNCTION("""COMPUTED_VALUE"""),"Aaron Shaw")</f>
        <v>Aaron Shaw</v>
      </c>
      <c r="E116" s="26" t="str">
        <f>IFERROR(__xludf.DUMMYFUNCTION("""COMPUTED_VALUE"""),"Canada, United States")</f>
        <v>Canada, United States</v>
      </c>
      <c r="F116" s="26" t="str">
        <f>IFERROR(__xludf.DUMMYFUNCTION("""COMPUTED_VALUE"""),"ClaimCenter")</f>
        <v>ClaimCenter</v>
      </c>
      <c r="G116" s="20">
        <f>IFERROR(__xludf.DUMMYFUNCTION("""COMPUTED_VALUE"""),44007.0)</f>
        <v>44007</v>
      </c>
      <c r="H116" s="13">
        <f>IFERROR(__xludf.DUMMYFUNCTION("""COMPUTED_VALUE"""),44737.0)</f>
        <v>44737</v>
      </c>
      <c r="I116" s="20">
        <f>IFERROR(__xludf.DUMMYFUNCTION("""COMPUTED_VALUE"""),44007.0)</f>
        <v>44007</v>
      </c>
      <c r="J116" s="16"/>
      <c r="K116" s="13">
        <f>IFERROR(__xludf.DUMMYFUNCTION("""COMPUTED_VALUE"""),44299.0)</f>
        <v>44299</v>
      </c>
      <c r="L116" s="16" t="str">
        <f>IFERROR(__xludf.DUMMYFUNCTION("""COMPUTED_VALUE"""),"Medium")</f>
        <v>Medium</v>
      </c>
      <c r="M116" s="26" t="str">
        <f>IFERROR(__xludf.DUMMYFUNCTION("""COMPUTED_VALUE"""),"PartnerConnect  Technology")</f>
        <v>PartnerConnect  Technology</v>
      </c>
      <c r="N116" s="16" t="str">
        <f>IFERROR(__xludf.DUMMYFUNCTION("""COMPUTED_VALUE"""),"FY20 - Q3")</f>
        <v>FY20 - Q3</v>
      </c>
      <c r="O116" s="16">
        <f>IFERROR(__xludf.DUMMYFUNCTION("""COMPUTED_VALUE"""),3.0)</f>
        <v>3</v>
      </c>
      <c r="P116" s="16">
        <f>IFERROR(__xludf.DUMMYFUNCTION("""COMPUTED_VALUE"""),3.0)</f>
        <v>3</v>
      </c>
      <c r="Q116" s="16">
        <f>IFERROR(__xludf.DUMMYFUNCTION("""COMPUTED_VALUE"""),86.0)</f>
        <v>86</v>
      </c>
      <c r="R116" s="16">
        <f>IFERROR(__xludf.DUMMYFUNCTION("""COMPUTED_VALUE"""),35.0)</f>
        <v>35</v>
      </c>
      <c r="S116" s="16">
        <f>IFERROR(__xludf.DUMMYFUNCTION("""COMPUTED_VALUE"""),21745.0)</f>
        <v>21745</v>
      </c>
      <c r="T116" s="16">
        <f>IFERROR(__xludf.DUMMYFUNCTION("""COMPUTED_VALUE"""),39.0)</f>
        <v>39</v>
      </c>
      <c r="U116" s="16">
        <f>IFERROR(__xludf.DUMMYFUNCTION("""COMPUTED_VALUE"""),17.0)</f>
        <v>17</v>
      </c>
      <c r="V116" s="16">
        <f>IFERROR(__xludf.DUMMYFUNCTION("""COMPUTED_VALUE"""),17.0)</f>
        <v>17</v>
      </c>
      <c r="W116" s="16">
        <f>IFERROR(__xludf.DUMMYFUNCTION("""COMPUTED_VALUE"""),0.0)</f>
        <v>0</v>
      </c>
      <c r="X116" s="16" t="b">
        <f>IFERROR(__xludf.DUMMYFUNCTION("""COMPUTED_VALUE"""),TRUE)</f>
        <v>1</v>
      </c>
      <c r="Y116" s="16"/>
      <c r="Z116" s="16"/>
    </row>
    <row r="117">
      <c r="A117" s="16" t="str">
        <f>IFERROR(__xludf.DUMMYFUNCTION("""COMPUTED_VALUE"""),"Iceye Oy")</f>
        <v>Iceye Oy</v>
      </c>
      <c r="B117" s="16" t="str">
        <f>IFERROR(__xludf.DUMMYFUNCTION("""COMPUTED_VALUE"""),"Growth")</f>
        <v>Growth</v>
      </c>
      <c r="C117" s="26" t="str">
        <f>IFERROR(__xludf.DUMMYFUNCTION("""COMPUTED_VALUE"""),"APAC, EMEA, NAM, LatAm")</f>
        <v>APAC, EMEA, NAM, LatAm</v>
      </c>
      <c r="D117" s="16" t="str">
        <f>IFERROR(__xludf.DUMMYFUNCTION("""COMPUTED_VALUE"""),"Vivienne Hoary")</f>
        <v>Vivienne Hoary</v>
      </c>
      <c r="E117" s="26"/>
      <c r="F117" s="26" t="str">
        <f>IFERROR(__xludf.DUMMYFUNCTION("""COMPUTED_VALUE"""),"ClaimCenter")</f>
        <v>ClaimCenter</v>
      </c>
      <c r="G117" s="20">
        <f>IFERROR(__xludf.DUMMYFUNCTION("""COMPUTED_VALUE"""),45197.0)</f>
        <v>45197</v>
      </c>
      <c r="H117" s="20">
        <f>IFERROR(__xludf.DUMMYFUNCTION("""COMPUTED_VALUE"""),45928.0)</f>
        <v>45928</v>
      </c>
      <c r="I117" s="13">
        <f>IFERROR(__xludf.DUMMYFUNCTION("""COMPUTED_VALUE"""),45273.0)</f>
        <v>45273</v>
      </c>
      <c r="J117" s="16"/>
      <c r="K117" s="13">
        <f>IFERROR(__xludf.DUMMYFUNCTION("""COMPUTED_VALUE"""),45433.0)</f>
        <v>45433</v>
      </c>
      <c r="L117" s="16" t="str">
        <f>IFERROR(__xludf.DUMMYFUNCTION("""COMPUTED_VALUE"""),"Medium")</f>
        <v>Medium</v>
      </c>
      <c r="M117" s="26" t="str">
        <f>IFERROR(__xludf.DUMMYFUNCTION("""COMPUTED_VALUE"""),"PartnerConnect  Technology")</f>
        <v>PartnerConnect  Technology</v>
      </c>
      <c r="N117" s="16" t="str">
        <f>IFERROR(__xludf.DUMMYFUNCTION("""COMPUTED_VALUE"""),"FY23 - Q1")</f>
        <v>FY23 - Q1</v>
      </c>
      <c r="O117" s="16">
        <f>IFERROR(__xludf.DUMMYFUNCTION("""COMPUTED_VALUE"""),1.0)</f>
        <v>1</v>
      </c>
      <c r="P117" s="16">
        <f>IFERROR(__xludf.DUMMYFUNCTION("""COMPUTED_VALUE"""),1.0)</f>
        <v>1</v>
      </c>
      <c r="Q117" s="16">
        <f>IFERROR(__xludf.DUMMYFUNCTION("""COMPUTED_VALUE"""),4.0)</f>
        <v>4</v>
      </c>
      <c r="R117" s="16">
        <f>IFERROR(__xludf.DUMMYFUNCTION("""COMPUTED_VALUE"""),4.0)</f>
        <v>4</v>
      </c>
      <c r="S117" s="16">
        <f>IFERROR(__xludf.DUMMYFUNCTION("""COMPUTED_VALUE"""),19223.0)</f>
        <v>19223</v>
      </c>
      <c r="T117" s="16">
        <f>IFERROR(__xludf.DUMMYFUNCTION("""COMPUTED_VALUE"""),4.0)</f>
        <v>4</v>
      </c>
      <c r="U117" s="16">
        <f>IFERROR(__xludf.DUMMYFUNCTION("""COMPUTED_VALUE"""),4.0)</f>
        <v>4</v>
      </c>
      <c r="V117" s="16">
        <f>IFERROR(__xludf.DUMMYFUNCTION("""COMPUTED_VALUE"""),4.0)</f>
        <v>4</v>
      </c>
      <c r="W117" s="16">
        <f>IFERROR(__xludf.DUMMYFUNCTION("""COMPUTED_VALUE"""),0.0)</f>
        <v>0</v>
      </c>
      <c r="X117" s="16" t="b">
        <f>IFERROR(__xludf.DUMMYFUNCTION("""COMPUTED_VALUE"""),TRUE)</f>
        <v>1</v>
      </c>
      <c r="Y117" s="16"/>
      <c r="Z117" s="16"/>
    </row>
    <row r="118">
      <c r="A118" s="16" t="str">
        <f>IFERROR(__xludf.DUMMYFUNCTION("""COMPUTED_VALUE"""),"Imburse")</f>
        <v>Imburse</v>
      </c>
      <c r="B118" s="16"/>
      <c r="C118" s="26" t="str">
        <f>IFERROR(__xludf.DUMMYFUNCTION("""COMPUTED_VALUE"""),"EMEA, NAM")</f>
        <v>EMEA, NAM</v>
      </c>
      <c r="D118" s="16" t="str">
        <f>IFERROR(__xludf.DUMMYFUNCTION("""COMPUTED_VALUE"""),"Fatima Aoulagha-Bannou")</f>
        <v>Fatima Aoulagha-Bannou</v>
      </c>
      <c r="E118" s="26" t="str">
        <f>IFERROR(__xludf.DUMMYFUNCTION("""COMPUTED_VALUE"""),"Australia New Zealand, Austria, Benelux, Canada, Croatia, Czech Republic, Denmark, France, Germany, Hungary, Ireland, Italy, Poland, Slovakia, Spain, Switzerland, UK, United States")</f>
        <v>Australia New Zealand, Austria, Benelux, Canada, Croatia, Czech Republic, Denmark, France, Germany, Hungary, Ireland, Italy, Poland, Slovakia, Spain, Switzerland, UK, United States</v>
      </c>
      <c r="F118" s="26" t="str">
        <f>IFERROR(__xludf.DUMMYFUNCTION("""COMPUTED_VALUE"""),"ClaimCenter")</f>
        <v>ClaimCenter</v>
      </c>
      <c r="G118" s="20">
        <f>IFERROR(__xludf.DUMMYFUNCTION("""COMPUTED_VALUE"""),44265.0)</f>
        <v>44265</v>
      </c>
      <c r="H118" s="13">
        <f>IFERROR(__xludf.DUMMYFUNCTION("""COMPUTED_VALUE"""),44995.0)</f>
        <v>44995</v>
      </c>
      <c r="I118" s="20">
        <f>IFERROR(__xludf.DUMMYFUNCTION("""COMPUTED_VALUE"""),44265.0)</f>
        <v>44265</v>
      </c>
      <c r="J118" s="16"/>
      <c r="K118" s="13">
        <f>IFERROR(__xludf.DUMMYFUNCTION("""COMPUTED_VALUE"""),45092.0)</f>
        <v>45092</v>
      </c>
      <c r="L118" s="16" t="str">
        <f>IFERROR(__xludf.DUMMYFUNCTION("""COMPUTED_VALUE"""),"Low")</f>
        <v>Low</v>
      </c>
      <c r="M118" s="26" t="str">
        <f>IFERROR(__xludf.DUMMYFUNCTION("""COMPUTED_VALUE"""),"PartnerConnect  Technology")</f>
        <v>PartnerConnect  Technology</v>
      </c>
      <c r="N118" s="16" t="str">
        <f>IFERROR(__xludf.DUMMYFUNCTION("""COMPUTED_VALUE"""),"FY21 - Q2")</f>
        <v>FY21 - Q2</v>
      </c>
      <c r="O118" s="16">
        <f>IFERROR(__xludf.DUMMYFUNCTION("""COMPUTED_VALUE"""),1.0)</f>
        <v>1</v>
      </c>
      <c r="P118" s="16">
        <f>IFERROR(__xludf.DUMMYFUNCTION("""COMPUTED_VALUE"""),1.0)</f>
        <v>1</v>
      </c>
      <c r="Q118" s="16">
        <f>IFERROR(__xludf.DUMMYFUNCTION("""COMPUTED_VALUE"""),10.0)</f>
        <v>10</v>
      </c>
      <c r="R118" s="16">
        <f>IFERROR(__xludf.DUMMYFUNCTION("""COMPUTED_VALUE"""),2.0)</f>
        <v>2</v>
      </c>
      <c r="S118" s="16">
        <f>IFERROR(__xludf.DUMMYFUNCTION("""COMPUTED_VALUE"""),20696.0)</f>
        <v>20696</v>
      </c>
      <c r="T118" s="16">
        <f>IFERROR(__xludf.DUMMYFUNCTION("""COMPUTED_VALUE"""),6.0)</f>
        <v>6</v>
      </c>
      <c r="U118" s="16">
        <f>IFERROR(__xludf.DUMMYFUNCTION("""COMPUTED_VALUE"""),0.0)</f>
        <v>0</v>
      </c>
      <c r="V118" s="16">
        <f>IFERROR(__xludf.DUMMYFUNCTION("""COMPUTED_VALUE"""),0.0)</f>
        <v>0</v>
      </c>
      <c r="W118" s="16">
        <f>IFERROR(__xludf.DUMMYFUNCTION("""COMPUTED_VALUE"""),0.0)</f>
        <v>0</v>
      </c>
      <c r="X118" s="16" t="b">
        <f>IFERROR(__xludf.DUMMYFUNCTION("""COMPUTED_VALUE"""),FALSE)</f>
        <v>0</v>
      </c>
      <c r="Y118" s="16"/>
      <c r="Z118" s="16"/>
    </row>
    <row r="119">
      <c r="A119" s="16" t="str">
        <f>IFERROR(__xludf.DUMMYFUNCTION("""COMPUTED_VALUE"""),"IMS")</f>
        <v>IMS</v>
      </c>
      <c r="B119" s="16" t="str">
        <f>IFERROR(__xludf.DUMMYFUNCTION("""COMPUTED_VALUE"""),"Select")</f>
        <v>Select</v>
      </c>
      <c r="C119" s="26" t="str">
        <f>IFERROR(__xludf.DUMMYFUNCTION("""COMPUTED_VALUE"""),"EMEA, NAM")</f>
        <v>EMEA, NAM</v>
      </c>
      <c r="D119" s="16" t="str">
        <f>IFERROR(__xludf.DUMMYFUNCTION("""COMPUTED_VALUE"""),"Aaron Shaw")</f>
        <v>Aaron Shaw</v>
      </c>
      <c r="E119" s="26" t="str">
        <f>IFERROR(__xludf.DUMMYFUNCTION("""COMPUTED_VALUE"""),"United States")</f>
        <v>United States</v>
      </c>
      <c r="F119" s="26" t="str">
        <f>IFERROR(__xludf.DUMMYFUNCTION("""COMPUTED_VALUE"""),"ClaimCenter, PolicyCenter")</f>
        <v>ClaimCenter, PolicyCenter</v>
      </c>
      <c r="G119" s="20">
        <f>IFERROR(__xludf.DUMMYFUNCTION("""COMPUTED_VALUE"""),43733.0)</f>
        <v>43733</v>
      </c>
      <c r="H119" s="20">
        <f>IFERROR(__xludf.DUMMYFUNCTION("""COMPUTED_VALUE"""),44464.0)</f>
        <v>44464</v>
      </c>
      <c r="I119" s="20">
        <f>IFERROR(__xludf.DUMMYFUNCTION("""COMPUTED_VALUE"""),43733.0)</f>
        <v>43733</v>
      </c>
      <c r="J119" s="16"/>
      <c r="K119" s="20">
        <f>IFERROR(__xludf.DUMMYFUNCTION("""COMPUTED_VALUE"""),42656.0)</f>
        <v>42656</v>
      </c>
      <c r="L119" s="16" t="str">
        <f>IFERROR(__xludf.DUMMYFUNCTION("""COMPUTED_VALUE"""),"Low")</f>
        <v>Low</v>
      </c>
      <c r="M119" s="26" t="str">
        <f>IFERROR(__xludf.DUMMYFUNCTION("""COMPUTED_VALUE"""),"PartnerConnect  Technology")</f>
        <v>PartnerConnect  Technology</v>
      </c>
      <c r="N119" s="16" t="str">
        <f>IFERROR(__xludf.DUMMYFUNCTION("""COMPUTED_VALUE"""),"FY19 - Q1")</f>
        <v>FY19 - Q1</v>
      </c>
      <c r="O119" s="16">
        <f>IFERROR(__xludf.DUMMYFUNCTION("""COMPUTED_VALUE"""),0.0)</f>
        <v>0</v>
      </c>
      <c r="P119" s="16">
        <f>IFERROR(__xludf.DUMMYFUNCTION("""COMPUTED_VALUE"""),0.0)</f>
        <v>0</v>
      </c>
      <c r="Q119" s="16">
        <f>IFERROR(__xludf.DUMMYFUNCTION("""COMPUTED_VALUE"""),0.0)</f>
        <v>0</v>
      </c>
      <c r="R119" s="16">
        <f>IFERROR(__xludf.DUMMYFUNCTION("""COMPUTED_VALUE"""),0.0)</f>
        <v>0</v>
      </c>
      <c r="S119" s="16">
        <f>IFERROR(__xludf.DUMMYFUNCTION("""COMPUTED_VALUE"""),0.0)</f>
        <v>0</v>
      </c>
      <c r="T119" s="16">
        <f>IFERROR(__xludf.DUMMYFUNCTION("""COMPUTED_VALUE"""),0.0)</f>
        <v>0</v>
      </c>
      <c r="U119" s="16">
        <f>IFERROR(__xludf.DUMMYFUNCTION("""COMPUTED_VALUE"""),0.0)</f>
        <v>0</v>
      </c>
      <c r="V119" s="16">
        <f>IFERROR(__xludf.DUMMYFUNCTION("""COMPUTED_VALUE"""),0.0)</f>
        <v>0</v>
      </c>
      <c r="W119" s="16">
        <f>IFERROR(__xludf.DUMMYFUNCTION("""COMPUTED_VALUE"""),0.0)</f>
        <v>0</v>
      </c>
      <c r="X119" s="16" t="b">
        <f>IFERROR(__xludf.DUMMYFUNCTION("""COMPUTED_VALUE"""),FALSE)</f>
        <v>0</v>
      </c>
      <c r="Y119" s="16"/>
      <c r="Z119" s="16"/>
    </row>
    <row r="120">
      <c r="A120" s="16" t="str">
        <f>IFERROR(__xludf.DUMMYFUNCTION("""COMPUTED_VALUE"""),"in4mo Ltd")</f>
        <v>in4mo Ltd</v>
      </c>
      <c r="B120" s="16"/>
      <c r="C120" s="26" t="str">
        <f>IFERROR(__xludf.DUMMYFUNCTION("""COMPUTED_VALUE"""),"EMEA")</f>
        <v>EMEA</v>
      </c>
      <c r="D120" s="16" t="str">
        <f>IFERROR(__xludf.DUMMYFUNCTION("""COMPUTED_VALUE"""),"Eric Apse")</f>
        <v>Eric Apse</v>
      </c>
      <c r="E120" s="26" t="str">
        <f>IFERROR(__xludf.DUMMYFUNCTION("""COMPUTED_VALUE"""),"Austria,Denmark,Finland,Germany,Norway,Sweden,Switzerland")</f>
        <v>Austria,Denmark,Finland,Germany,Norway,Sweden,Switzerland</v>
      </c>
      <c r="F120" s="26" t="str">
        <f>IFERROR(__xludf.DUMMYFUNCTION("""COMPUTED_VALUE"""),"ClaimCenter")</f>
        <v>ClaimCenter</v>
      </c>
      <c r="G120" s="20">
        <f>IFERROR(__xludf.DUMMYFUNCTION("""COMPUTED_VALUE"""),43244.0)</f>
        <v>43244</v>
      </c>
      <c r="H120" s="20"/>
      <c r="I120" s="20">
        <f>IFERROR(__xludf.DUMMYFUNCTION("""COMPUTED_VALUE"""),43244.0)</f>
        <v>43244</v>
      </c>
      <c r="J120" s="16"/>
      <c r="K120" s="20"/>
      <c r="L120" s="16" t="str">
        <f>IFERROR(__xludf.DUMMYFUNCTION("""COMPUTED_VALUE"""),"Low")</f>
        <v>Low</v>
      </c>
      <c r="M120" s="26" t="str">
        <f>IFERROR(__xludf.DUMMYFUNCTION("""COMPUTED_VALUE"""),"PartnerConnect  Technology")</f>
        <v>PartnerConnect  Technology</v>
      </c>
      <c r="N120" s="16" t="str">
        <f>IFERROR(__xludf.DUMMYFUNCTION("""COMPUTED_VALUE"""),"FY18 - Q3")</f>
        <v>FY18 - Q3</v>
      </c>
      <c r="O120" s="16">
        <f>IFERROR(__xludf.DUMMYFUNCTION("""COMPUTED_VALUE"""),0.0)</f>
        <v>0</v>
      </c>
      <c r="P120" s="16">
        <f>IFERROR(__xludf.DUMMYFUNCTION("""COMPUTED_VALUE"""),0.0)</f>
        <v>0</v>
      </c>
      <c r="Q120" s="16">
        <f>IFERROR(__xludf.DUMMYFUNCTION("""COMPUTED_VALUE"""),0.0)</f>
        <v>0</v>
      </c>
      <c r="R120" s="16">
        <f>IFERROR(__xludf.DUMMYFUNCTION("""COMPUTED_VALUE"""),0.0)</f>
        <v>0</v>
      </c>
      <c r="S120" s="16">
        <f>IFERROR(__xludf.DUMMYFUNCTION("""COMPUTED_VALUE"""),0.0)</f>
        <v>0</v>
      </c>
      <c r="T120" s="16">
        <f>IFERROR(__xludf.DUMMYFUNCTION("""COMPUTED_VALUE"""),0.0)</f>
        <v>0</v>
      </c>
      <c r="U120" s="16">
        <f>IFERROR(__xludf.DUMMYFUNCTION("""COMPUTED_VALUE"""),0.0)</f>
        <v>0</v>
      </c>
      <c r="V120" s="16">
        <f>IFERROR(__xludf.DUMMYFUNCTION("""COMPUTED_VALUE"""),0.0)</f>
        <v>0</v>
      </c>
      <c r="W120" s="16">
        <f>IFERROR(__xludf.DUMMYFUNCTION("""COMPUTED_VALUE"""),0.0)</f>
        <v>0</v>
      </c>
      <c r="X120" s="16" t="b">
        <f>IFERROR(__xludf.DUMMYFUNCTION("""COMPUTED_VALUE"""),FALSE)</f>
        <v>0</v>
      </c>
      <c r="Y120" s="16"/>
      <c r="Z120" s="16"/>
    </row>
    <row r="121">
      <c r="A121" s="16" t="str">
        <f>IFERROR(__xludf.DUMMYFUNCTION("""COMPUTED_VALUE"""),"Independent Validation Advisory Australia (IVAA)")</f>
        <v>Independent Validation Advisory Australia (IVAA)</v>
      </c>
      <c r="B121" s="16" t="str">
        <f>IFERROR(__xludf.DUMMYFUNCTION("""COMPUTED_VALUE"""),"Growth")</f>
        <v>Growth</v>
      </c>
      <c r="C121" s="26" t="str">
        <f>IFERROR(__xludf.DUMMYFUNCTION("""COMPUTED_VALUE"""),"APAC")</f>
        <v>APAC</v>
      </c>
      <c r="D121" s="16" t="str">
        <f>IFERROR(__xludf.DUMMYFUNCTION("""COMPUTED_VALUE"""),"Ketaki Padhye")</f>
        <v>Ketaki Padhye</v>
      </c>
      <c r="E121" s="26" t="str">
        <f>IFERROR(__xludf.DUMMYFUNCTION("""COMPUTED_VALUE"""),"Australia New Zealand")</f>
        <v>Australia New Zealand</v>
      </c>
      <c r="F121" s="26" t="str">
        <f>IFERROR(__xludf.DUMMYFUNCTION("""COMPUTED_VALUE"""),"ClaimCenter")</f>
        <v>ClaimCenter</v>
      </c>
      <c r="G121" s="20">
        <f>IFERROR(__xludf.DUMMYFUNCTION("""COMPUTED_VALUE"""),45317.0)</f>
        <v>45317</v>
      </c>
      <c r="H121" s="20">
        <f>IFERROR(__xludf.DUMMYFUNCTION("""COMPUTED_VALUE"""),46047.0)</f>
        <v>46047</v>
      </c>
      <c r="I121" s="20"/>
      <c r="J121" s="16"/>
      <c r="K121" s="20"/>
      <c r="L121" s="16" t="str">
        <f>IFERROR(__xludf.DUMMYFUNCTION("""COMPUTED_VALUE"""),"Medium")</f>
        <v>Medium</v>
      </c>
      <c r="M121" s="26" t="str">
        <f>IFERROR(__xludf.DUMMYFUNCTION("""COMPUTED_VALUE"""),"PartnerConnect  Technology")</f>
        <v>PartnerConnect  Technology</v>
      </c>
      <c r="N121" s="16" t="str">
        <f>IFERROR(__xludf.DUMMYFUNCTION("""COMPUTED_VALUE"""),"FY24 - Q2")</f>
        <v>FY24 - Q2</v>
      </c>
      <c r="O121" s="16">
        <f>IFERROR(__xludf.DUMMYFUNCTION("""COMPUTED_VALUE"""),0.0)</f>
        <v>0</v>
      </c>
      <c r="P121" s="16">
        <f>IFERROR(__xludf.DUMMYFUNCTION("""COMPUTED_VALUE"""),0.0)</f>
        <v>0</v>
      </c>
      <c r="Q121" s="16">
        <f>IFERROR(__xludf.DUMMYFUNCTION("""COMPUTED_VALUE"""),0.0)</f>
        <v>0</v>
      </c>
      <c r="R121" s="16">
        <f>IFERROR(__xludf.DUMMYFUNCTION("""COMPUTED_VALUE"""),0.0)</f>
        <v>0</v>
      </c>
      <c r="S121" s="16">
        <f>IFERROR(__xludf.DUMMYFUNCTION("""COMPUTED_VALUE"""),0.0)</f>
        <v>0</v>
      </c>
      <c r="T121" s="16">
        <f>IFERROR(__xludf.DUMMYFUNCTION("""COMPUTED_VALUE"""),0.0)</f>
        <v>0</v>
      </c>
      <c r="U121" s="16">
        <f>IFERROR(__xludf.DUMMYFUNCTION("""COMPUTED_VALUE"""),0.0)</f>
        <v>0</v>
      </c>
      <c r="V121" s="16">
        <f>IFERROR(__xludf.DUMMYFUNCTION("""COMPUTED_VALUE"""),0.0)</f>
        <v>0</v>
      </c>
      <c r="W121" s="16">
        <f>IFERROR(__xludf.DUMMYFUNCTION("""COMPUTED_VALUE"""),0.0)</f>
        <v>0</v>
      </c>
      <c r="X121" s="16" t="b">
        <f>IFERROR(__xludf.DUMMYFUNCTION("""COMPUTED_VALUE"""),FALSE)</f>
        <v>0</v>
      </c>
      <c r="Y121" s="16"/>
      <c r="Z121" s="16"/>
    </row>
    <row r="122">
      <c r="A122" s="16" t="str">
        <f>IFERROR(__xludf.DUMMYFUNCTION("""COMPUTED_VALUE"""),"Indico Data Solutions, Inc")</f>
        <v>Indico Data Solutions, Inc</v>
      </c>
      <c r="B122" s="16" t="str">
        <f>IFERROR(__xludf.DUMMYFUNCTION("""COMPUTED_VALUE"""),"Growth")</f>
        <v>Growth</v>
      </c>
      <c r="C122" s="26" t="str">
        <f>IFERROR(__xludf.DUMMYFUNCTION("""COMPUTED_VALUE"""),"APAC, EMEA, NAM, LatAm")</f>
        <v>APAC, EMEA, NAM, LatAm</v>
      </c>
      <c r="D122" s="16" t="str">
        <f>IFERROR(__xludf.DUMMYFUNCTION("""COMPUTED_VALUE"""),"Shannon Spies")</f>
        <v>Shannon Spies</v>
      </c>
      <c r="E122" s="26" t="str">
        <f>IFERROR(__xludf.DUMMYFUNCTION("""COMPUTED_VALUE"""),"United States")</f>
        <v>United States</v>
      </c>
      <c r="F122" s="26" t="str">
        <f>IFERROR(__xludf.DUMMYFUNCTION("""COMPUTED_VALUE"""),"ClaimCenter, PolicyCenter")</f>
        <v>ClaimCenter, PolicyCenter</v>
      </c>
      <c r="G122" s="20">
        <f>IFERROR(__xludf.DUMMYFUNCTION("""COMPUTED_VALUE"""),45188.0)</f>
        <v>45188</v>
      </c>
      <c r="H122" s="20"/>
      <c r="I122" s="20">
        <f>IFERROR(__xludf.DUMMYFUNCTION("""COMPUTED_VALUE"""),45278.0)</f>
        <v>45278</v>
      </c>
      <c r="J122" s="16"/>
      <c r="K122" s="20">
        <f>IFERROR(__xludf.DUMMYFUNCTION("""COMPUTED_VALUE"""),45471.0)</f>
        <v>45471</v>
      </c>
      <c r="L122" s="16" t="str">
        <f>IFERROR(__xludf.DUMMYFUNCTION("""COMPUTED_VALUE"""),"Medium")</f>
        <v>Medium</v>
      </c>
      <c r="M122" s="26" t="str">
        <f>IFERROR(__xludf.DUMMYFUNCTION("""COMPUTED_VALUE"""),"PartnerConnect  Technology")</f>
        <v>PartnerConnect  Technology</v>
      </c>
      <c r="N122" s="16" t="str">
        <f>IFERROR(__xludf.DUMMYFUNCTION("""COMPUTED_VALUE"""),"FY23 - Q1")</f>
        <v>FY23 - Q1</v>
      </c>
      <c r="O122" s="16">
        <f>IFERROR(__xludf.DUMMYFUNCTION("""COMPUTED_VALUE"""),2.0)</f>
        <v>2</v>
      </c>
      <c r="P122" s="16">
        <f>IFERROR(__xludf.DUMMYFUNCTION("""COMPUTED_VALUE"""),2.0)</f>
        <v>2</v>
      </c>
      <c r="Q122" s="16">
        <f>IFERROR(__xludf.DUMMYFUNCTION("""COMPUTED_VALUE"""),20.0)</f>
        <v>20</v>
      </c>
      <c r="R122" s="16">
        <f>IFERROR(__xludf.DUMMYFUNCTION("""COMPUTED_VALUE"""),18.0)</f>
        <v>18</v>
      </c>
      <c r="S122" s="16">
        <f>IFERROR(__xludf.DUMMYFUNCTION("""COMPUTED_VALUE"""),5016.0)</f>
        <v>5016</v>
      </c>
      <c r="T122" s="16">
        <f>IFERROR(__xludf.DUMMYFUNCTION("""COMPUTED_VALUE"""),13.0)</f>
        <v>13</v>
      </c>
      <c r="U122" s="16">
        <f>IFERROR(__xludf.DUMMYFUNCTION("""COMPUTED_VALUE"""),18.0)</f>
        <v>18</v>
      </c>
      <c r="V122" s="16">
        <f>IFERROR(__xludf.DUMMYFUNCTION("""COMPUTED_VALUE"""),18.0)</f>
        <v>18</v>
      </c>
      <c r="W122" s="16">
        <f>IFERROR(__xludf.DUMMYFUNCTION("""COMPUTED_VALUE"""),27.0)</f>
        <v>27</v>
      </c>
      <c r="X122" s="16" t="b">
        <f>IFERROR(__xludf.DUMMYFUNCTION("""COMPUTED_VALUE"""),TRUE)</f>
        <v>1</v>
      </c>
      <c r="Y122" s="16"/>
      <c r="Z122" s="16"/>
    </row>
    <row r="123">
      <c r="A123" s="16" t="str">
        <f>IFERROR(__xludf.DUMMYFUNCTION("""COMPUTED_VALUE"""),"Insight Services Group")</f>
        <v>Insight Services Group</v>
      </c>
      <c r="B123" s="16" t="str">
        <f>IFERROR(__xludf.DUMMYFUNCTION("""COMPUTED_VALUE"""),"Growth")</f>
        <v>Growth</v>
      </c>
      <c r="C123" s="26" t="str">
        <f>IFERROR(__xludf.DUMMYFUNCTION("""COMPUTED_VALUE"""),"NAM")</f>
        <v>NAM</v>
      </c>
      <c r="D123" s="16" t="str">
        <f>IFERROR(__xludf.DUMMYFUNCTION("""COMPUTED_VALUE"""),"Aaron Shaw")</f>
        <v>Aaron Shaw</v>
      </c>
      <c r="E123" s="16" t="str">
        <f>IFERROR(__xludf.DUMMYFUNCTION("""COMPUTED_VALUE"""),"United States")</f>
        <v>United States</v>
      </c>
      <c r="F123" s="26" t="str">
        <f>IFERROR(__xludf.DUMMYFUNCTION("""COMPUTED_VALUE"""),"ClaimCenter")</f>
        <v>ClaimCenter</v>
      </c>
      <c r="G123" s="20">
        <f>IFERROR(__xludf.DUMMYFUNCTION("""COMPUTED_VALUE"""),44531.0)</f>
        <v>44531</v>
      </c>
      <c r="H123" s="13">
        <f>IFERROR(__xludf.DUMMYFUNCTION("""COMPUTED_VALUE"""),45261.0)</f>
        <v>45261</v>
      </c>
      <c r="I123" s="20">
        <f>IFERROR(__xludf.DUMMYFUNCTION("""COMPUTED_VALUE"""),44531.0)</f>
        <v>44531</v>
      </c>
      <c r="J123" s="16"/>
      <c r="K123" s="13">
        <f>IFERROR(__xludf.DUMMYFUNCTION("""COMPUTED_VALUE"""),44809.0)</f>
        <v>44809</v>
      </c>
      <c r="L123" s="16" t="str">
        <f>IFERROR(__xludf.DUMMYFUNCTION("""COMPUTED_VALUE"""),"Low")</f>
        <v>Low</v>
      </c>
      <c r="M123" s="26" t="str">
        <f>IFERROR(__xludf.DUMMYFUNCTION("""COMPUTED_VALUE"""),"PartnerConnect  Technology")</f>
        <v>PartnerConnect  Technology</v>
      </c>
      <c r="N123" s="16" t="str">
        <f>IFERROR(__xludf.DUMMYFUNCTION("""COMPUTED_VALUE"""),"FY21 - Q2")</f>
        <v>FY21 - Q2</v>
      </c>
      <c r="O123" s="16">
        <f>IFERROR(__xludf.DUMMYFUNCTION("""COMPUTED_VALUE"""),1.0)</f>
        <v>1</v>
      </c>
      <c r="P123" s="16">
        <f>IFERROR(__xludf.DUMMYFUNCTION("""COMPUTED_VALUE"""),1.0)</f>
        <v>1</v>
      </c>
      <c r="Q123" s="16">
        <f>IFERROR(__xludf.DUMMYFUNCTION("""COMPUTED_VALUE"""),8.0)</f>
        <v>8</v>
      </c>
      <c r="R123" s="16">
        <f>IFERROR(__xludf.DUMMYFUNCTION("""COMPUTED_VALUE"""),5.0)</f>
        <v>5</v>
      </c>
      <c r="S123" s="16">
        <f>IFERROR(__xludf.DUMMYFUNCTION("""COMPUTED_VALUE"""),14982.0)</f>
        <v>14982</v>
      </c>
      <c r="T123" s="16">
        <f>IFERROR(__xludf.DUMMYFUNCTION("""COMPUTED_VALUE"""),5.0)</f>
        <v>5</v>
      </c>
      <c r="U123" s="16">
        <f>IFERROR(__xludf.DUMMYFUNCTION("""COMPUTED_VALUE"""),0.0)</f>
        <v>0</v>
      </c>
      <c r="V123" s="16">
        <f>IFERROR(__xludf.DUMMYFUNCTION("""COMPUTED_VALUE"""),0.0)</f>
        <v>0</v>
      </c>
      <c r="W123" s="16">
        <f>IFERROR(__xludf.DUMMYFUNCTION("""COMPUTED_VALUE"""),0.0)</f>
        <v>0</v>
      </c>
      <c r="X123" s="16" t="b">
        <f>IFERROR(__xludf.DUMMYFUNCTION("""COMPUTED_VALUE"""),FALSE)</f>
        <v>0</v>
      </c>
      <c r="Y123" s="16"/>
      <c r="Z123" s="16"/>
    </row>
    <row r="124">
      <c r="A124" s="16" t="str">
        <f>IFERROR(__xludf.DUMMYFUNCTION("""COMPUTED_VALUE"""),"Insurance Search Bureau of Canada")</f>
        <v>Insurance Search Bureau of Canada</v>
      </c>
      <c r="B124" s="16" t="str">
        <f>IFERROR(__xludf.DUMMYFUNCTION("""COMPUTED_VALUE"""),"Growth")</f>
        <v>Growth</v>
      </c>
      <c r="C124" s="26" t="str">
        <f>IFERROR(__xludf.DUMMYFUNCTION("""COMPUTED_VALUE"""),"NAM")</f>
        <v>NAM</v>
      </c>
      <c r="D124" s="16" t="str">
        <f>IFERROR(__xludf.DUMMYFUNCTION("""COMPUTED_VALUE"""),"Aaron Shaw")</f>
        <v>Aaron Shaw</v>
      </c>
      <c r="E124" s="26" t="str">
        <f>IFERROR(__xludf.DUMMYFUNCTION("""COMPUTED_VALUE"""),"Canada")</f>
        <v>Canada</v>
      </c>
      <c r="F124" s="26" t="str">
        <f>IFERROR(__xludf.DUMMYFUNCTION("""COMPUTED_VALUE"""),"ClaimCenter")</f>
        <v>ClaimCenter</v>
      </c>
      <c r="G124" s="20">
        <f>IFERROR(__xludf.DUMMYFUNCTION("""COMPUTED_VALUE"""),43192.0)</f>
        <v>43192</v>
      </c>
      <c r="H124" s="20">
        <f>IFERROR(__xludf.DUMMYFUNCTION("""COMPUTED_VALUE"""),43923.0)</f>
        <v>43923</v>
      </c>
      <c r="I124" s="20">
        <f>IFERROR(__xludf.DUMMYFUNCTION("""COMPUTED_VALUE"""),43192.0)</f>
        <v>43192</v>
      </c>
      <c r="J124" s="16"/>
      <c r="K124" s="20">
        <f>IFERROR(__xludf.DUMMYFUNCTION("""COMPUTED_VALUE"""),43661.0)</f>
        <v>43661</v>
      </c>
      <c r="L124" s="16" t="str">
        <f>IFERROR(__xludf.DUMMYFUNCTION("""COMPUTED_VALUE"""),"Low")</f>
        <v>Low</v>
      </c>
      <c r="M124" s="26" t="str">
        <f>IFERROR(__xludf.DUMMYFUNCTION("""COMPUTED_VALUE"""),"PartnerConnect  Technology")</f>
        <v>PartnerConnect  Technology</v>
      </c>
      <c r="N124" s="16" t="str">
        <f>IFERROR(__xludf.DUMMYFUNCTION("""COMPUTED_VALUE"""),"FY18 - Q3")</f>
        <v>FY18 - Q3</v>
      </c>
      <c r="O124" s="16">
        <f>IFERROR(__xludf.DUMMYFUNCTION("""COMPUTED_VALUE"""),0.0)</f>
        <v>0</v>
      </c>
      <c r="P124" s="16">
        <f>IFERROR(__xludf.DUMMYFUNCTION("""COMPUTED_VALUE"""),0.0)</f>
        <v>0</v>
      </c>
      <c r="Q124" s="16">
        <f>IFERROR(__xludf.DUMMYFUNCTION("""COMPUTED_VALUE"""),0.0)</f>
        <v>0</v>
      </c>
      <c r="R124" s="16">
        <f>IFERROR(__xludf.DUMMYFUNCTION("""COMPUTED_VALUE"""),0.0)</f>
        <v>0</v>
      </c>
      <c r="S124" s="16">
        <f>IFERROR(__xludf.DUMMYFUNCTION("""COMPUTED_VALUE"""),0.0)</f>
        <v>0</v>
      </c>
      <c r="T124" s="16">
        <f>IFERROR(__xludf.DUMMYFUNCTION("""COMPUTED_VALUE"""),0.0)</f>
        <v>0</v>
      </c>
      <c r="U124" s="16">
        <f>IFERROR(__xludf.DUMMYFUNCTION("""COMPUTED_VALUE"""),0.0)</f>
        <v>0</v>
      </c>
      <c r="V124" s="16">
        <f>IFERROR(__xludf.DUMMYFUNCTION("""COMPUTED_VALUE"""),0.0)</f>
        <v>0</v>
      </c>
      <c r="W124" s="16">
        <f>IFERROR(__xludf.DUMMYFUNCTION("""COMPUTED_VALUE"""),6.0)</f>
        <v>6</v>
      </c>
      <c r="X124" s="16" t="b">
        <f>IFERROR(__xludf.DUMMYFUNCTION("""COMPUTED_VALUE"""),FALSE)</f>
        <v>0</v>
      </c>
      <c r="Y124" s="16"/>
      <c r="Z124" s="16"/>
    </row>
    <row r="125">
      <c r="A125" s="16" t="str">
        <f>IFERROR(__xludf.DUMMYFUNCTION("""COMPUTED_VALUE"""),"Insurance Services Office (ISO)")</f>
        <v>Insurance Services Office (ISO)</v>
      </c>
      <c r="B125" s="16" t="str">
        <f>IFERROR(__xludf.DUMMYFUNCTION("""COMPUTED_VALUE"""),"Premier")</f>
        <v>Premier</v>
      </c>
      <c r="C125" s="26" t="str">
        <f>IFERROR(__xludf.DUMMYFUNCTION("""COMPUTED_VALUE"""),"NAM")</f>
        <v>NAM</v>
      </c>
      <c r="D125" s="16" t="str">
        <f>IFERROR(__xludf.DUMMYFUNCTION("""COMPUTED_VALUE"""),"Tim Kennedy")</f>
        <v>Tim Kennedy</v>
      </c>
      <c r="E125" s="26" t="str">
        <f>IFERROR(__xludf.DUMMYFUNCTION("""COMPUTED_VALUE"""),"Australia New Zealand, Canada, France, Germany, Ireland, UK, United States")</f>
        <v>Australia New Zealand, Canada, France, Germany, Ireland, UK, United States</v>
      </c>
      <c r="F125" s="26" t="str">
        <f>IFERROR(__xludf.DUMMYFUNCTION("""COMPUTED_VALUE"""),"ClaimCenter, PolicyCenter, InsuranceNow")</f>
        <v>ClaimCenter, PolicyCenter, InsuranceNow</v>
      </c>
      <c r="G125" s="20">
        <f>IFERROR(__xludf.DUMMYFUNCTION("""COMPUTED_VALUE"""),42360.0)</f>
        <v>42360</v>
      </c>
      <c r="H125" s="20">
        <f>IFERROR(__xludf.DUMMYFUNCTION("""COMPUTED_VALUE"""),43855.0)</f>
        <v>43855</v>
      </c>
      <c r="I125" s="20">
        <f>IFERROR(__xludf.DUMMYFUNCTION("""COMPUTED_VALUE"""),42359.0)</f>
        <v>42359</v>
      </c>
      <c r="J125" s="16"/>
      <c r="K125" s="20">
        <f>IFERROR(__xludf.DUMMYFUNCTION("""COMPUTED_VALUE"""),42583.0)</f>
        <v>42583</v>
      </c>
      <c r="L125" s="16" t="str">
        <f>IFERROR(__xludf.DUMMYFUNCTION("""COMPUTED_VALUE"""),"High")</f>
        <v>High</v>
      </c>
      <c r="M125" s="26" t="str">
        <f>IFERROR(__xludf.DUMMYFUNCTION("""COMPUTED_VALUE"""),"PartnerConnect  Technology")</f>
        <v>PartnerConnect  Technology</v>
      </c>
      <c r="N125" s="16" t="str">
        <f>IFERROR(__xludf.DUMMYFUNCTION("""COMPUTED_VALUE"""),"FY15 - Q2")</f>
        <v>FY15 - Q2</v>
      </c>
      <c r="O125" s="16">
        <f>IFERROR(__xludf.DUMMYFUNCTION("""COMPUTED_VALUE"""),43.0)</f>
        <v>43</v>
      </c>
      <c r="P125" s="16">
        <f>IFERROR(__xludf.DUMMYFUNCTION("""COMPUTED_VALUE"""),43.0)</f>
        <v>43</v>
      </c>
      <c r="Q125" s="16">
        <f>IFERROR(__xludf.DUMMYFUNCTION("""COMPUTED_VALUE"""),991.0)</f>
        <v>991</v>
      </c>
      <c r="R125" s="16">
        <f>IFERROR(__xludf.DUMMYFUNCTION("""COMPUTED_VALUE"""),507.0)</f>
        <v>507</v>
      </c>
      <c r="S125" s="16">
        <f>IFERROR(__xludf.DUMMYFUNCTION("""COMPUTED_VALUE"""),505650.0)</f>
        <v>505650</v>
      </c>
      <c r="T125" s="16">
        <f>IFERROR(__xludf.DUMMYFUNCTION("""COMPUTED_VALUE"""),142.0)</f>
        <v>142</v>
      </c>
      <c r="U125" s="16">
        <f>IFERROR(__xludf.DUMMYFUNCTION("""COMPUTED_VALUE"""),302.0)</f>
        <v>302</v>
      </c>
      <c r="V125" s="16">
        <f>IFERROR(__xludf.DUMMYFUNCTION("""COMPUTED_VALUE"""),302.0)</f>
        <v>302</v>
      </c>
      <c r="W125" s="16">
        <f>IFERROR(__xludf.DUMMYFUNCTION("""COMPUTED_VALUE"""),0.0)</f>
        <v>0</v>
      </c>
      <c r="X125" s="16" t="b">
        <f>IFERROR(__xludf.DUMMYFUNCTION("""COMPUTED_VALUE"""),FALSE)</f>
        <v>0</v>
      </c>
      <c r="Y125" s="16"/>
      <c r="Z125" s="16"/>
    </row>
    <row r="126">
      <c r="A126" s="16" t="str">
        <f>IFERROR(__xludf.DUMMYFUNCTION("""COMPUTED_VALUE"""),"InsurePay")</f>
        <v>InsurePay</v>
      </c>
      <c r="B126" s="16" t="str">
        <f>IFERROR(__xludf.DUMMYFUNCTION("""COMPUTED_VALUE"""),"Advantage")</f>
        <v>Advantage</v>
      </c>
      <c r="C126" s="26" t="str">
        <f>IFERROR(__xludf.DUMMYFUNCTION("""COMPUTED_VALUE"""),"NAM")</f>
        <v>NAM</v>
      </c>
      <c r="D126" s="16" t="str">
        <f>IFERROR(__xludf.DUMMYFUNCTION("""COMPUTED_VALUE"""),"Rod Gowin")</f>
        <v>Rod Gowin</v>
      </c>
      <c r="E126" s="26" t="str">
        <f>IFERROR(__xludf.DUMMYFUNCTION("""COMPUTED_VALUE"""),"Canada, United States")</f>
        <v>Canada, United States</v>
      </c>
      <c r="F126" s="26" t="str">
        <f>IFERROR(__xludf.DUMMYFUNCTION("""COMPUTED_VALUE"""),"PolicyCenter, BillingCenter")</f>
        <v>PolicyCenter, BillingCenter</v>
      </c>
      <c r="G126" s="20">
        <f>IFERROR(__xludf.DUMMYFUNCTION("""COMPUTED_VALUE"""),45092.0)</f>
        <v>45092</v>
      </c>
      <c r="H126" s="13">
        <f>IFERROR(__xludf.DUMMYFUNCTION("""COMPUTED_VALUE"""),45823.0)</f>
        <v>45823</v>
      </c>
      <c r="I126" s="20">
        <f>IFERROR(__xludf.DUMMYFUNCTION("""COMPUTED_VALUE"""),44093.0)</f>
        <v>44093</v>
      </c>
      <c r="J126" s="16"/>
      <c r="K126" s="13">
        <f>IFERROR(__xludf.DUMMYFUNCTION("""COMPUTED_VALUE"""),44326.0)</f>
        <v>44326</v>
      </c>
      <c r="L126" s="16" t="str">
        <f>IFERROR(__xludf.DUMMYFUNCTION("""COMPUTED_VALUE"""),"Medium")</f>
        <v>Medium</v>
      </c>
      <c r="M126" s="26" t="str">
        <f>IFERROR(__xludf.DUMMYFUNCTION("""COMPUTED_VALUE"""),"PartnerConnect  Technology")</f>
        <v>PartnerConnect  Technology</v>
      </c>
      <c r="N126" s="16" t="str">
        <f>IFERROR(__xludf.DUMMYFUNCTION("""COMPUTED_VALUE"""),"FY23 - Q3")</f>
        <v>FY23 - Q3</v>
      </c>
      <c r="O126" s="16">
        <f>IFERROR(__xludf.DUMMYFUNCTION("""COMPUTED_VALUE"""),2.0)</f>
        <v>2</v>
      </c>
      <c r="P126" s="16">
        <f>IFERROR(__xludf.DUMMYFUNCTION("""COMPUTED_VALUE"""),2.0)</f>
        <v>2</v>
      </c>
      <c r="Q126" s="16">
        <f>IFERROR(__xludf.DUMMYFUNCTION("""COMPUTED_VALUE"""),98.0)</f>
        <v>98</v>
      </c>
      <c r="R126" s="16">
        <f>IFERROR(__xludf.DUMMYFUNCTION("""COMPUTED_VALUE"""),26.0)</f>
        <v>26</v>
      </c>
      <c r="S126" s="16">
        <f>IFERROR(__xludf.DUMMYFUNCTION("""COMPUTED_VALUE"""),19977.0)</f>
        <v>19977</v>
      </c>
      <c r="T126" s="16">
        <f>IFERROR(__xludf.DUMMYFUNCTION("""COMPUTED_VALUE"""),43.0)</f>
        <v>43</v>
      </c>
      <c r="U126" s="16">
        <f>IFERROR(__xludf.DUMMYFUNCTION("""COMPUTED_VALUE"""),0.0)</f>
        <v>0</v>
      </c>
      <c r="V126" s="16">
        <f>IFERROR(__xludf.DUMMYFUNCTION("""COMPUTED_VALUE"""),0.0)</f>
        <v>0</v>
      </c>
      <c r="W126" s="16">
        <f>IFERROR(__xludf.DUMMYFUNCTION("""COMPUTED_VALUE"""),67.0)</f>
        <v>67</v>
      </c>
      <c r="X126" s="16" t="b">
        <f>IFERROR(__xludf.DUMMYFUNCTION("""COMPUTED_VALUE"""),FALSE)</f>
        <v>0</v>
      </c>
      <c r="Y126" s="16"/>
      <c r="Z126" s="16"/>
    </row>
    <row r="127">
      <c r="A127" s="16" t="str">
        <f>IFERROR(__xludf.DUMMYFUNCTION("""COMPUTED_VALUE"""),"Intelligent AI Limited")</f>
        <v>Intelligent AI Limited</v>
      </c>
      <c r="B127" s="16" t="str">
        <f>IFERROR(__xludf.DUMMYFUNCTION("""COMPUTED_VALUE"""),"Growth")</f>
        <v>Growth</v>
      </c>
      <c r="C127" s="26" t="str">
        <f>IFERROR(__xludf.DUMMYFUNCTION("""COMPUTED_VALUE"""),"EMEA, NAM")</f>
        <v>EMEA, NAM</v>
      </c>
      <c r="D127" s="16" t="str">
        <f>IFERROR(__xludf.DUMMYFUNCTION("""COMPUTED_VALUE"""),"Vivienne Hoary")</f>
        <v>Vivienne Hoary</v>
      </c>
      <c r="E127" s="26" t="str">
        <f>IFERROR(__xludf.DUMMYFUNCTION("""COMPUTED_VALUE"""),"UK, United States")</f>
        <v>UK, United States</v>
      </c>
      <c r="F127" s="26"/>
      <c r="G127" s="20">
        <f>IFERROR(__xludf.DUMMYFUNCTION("""COMPUTED_VALUE"""),46009.0)</f>
        <v>46009</v>
      </c>
      <c r="H127" s="20">
        <f>IFERROR(__xludf.DUMMYFUNCTION("""COMPUTED_VALUE"""),46739.0)</f>
        <v>46739</v>
      </c>
      <c r="I127" s="20">
        <f>IFERROR(__xludf.DUMMYFUNCTION("""COMPUTED_VALUE"""),46009.0)</f>
        <v>46009</v>
      </c>
      <c r="J127" s="16"/>
      <c r="K127" s="16"/>
      <c r="L127" s="16" t="str">
        <f>IFERROR(__xludf.DUMMYFUNCTION("""COMPUTED_VALUE"""),"Medium")</f>
        <v>Medium</v>
      </c>
      <c r="M127" s="26" t="str">
        <f>IFERROR(__xludf.DUMMYFUNCTION("""COMPUTED_VALUE"""),"PartnerConnect  Technology")</f>
        <v>PartnerConnect  Technology</v>
      </c>
      <c r="N127" s="16" t="str">
        <f>IFERROR(__xludf.DUMMYFUNCTION("""COMPUTED_VALUE"""),"FY25 - Q2")</f>
        <v>FY25 - Q2</v>
      </c>
      <c r="O127" s="16">
        <f>IFERROR(__xludf.DUMMYFUNCTION("""COMPUTED_VALUE"""),0.0)</f>
        <v>0</v>
      </c>
      <c r="P127" s="16">
        <f>IFERROR(__xludf.DUMMYFUNCTION("""COMPUTED_VALUE"""),0.0)</f>
        <v>0</v>
      </c>
      <c r="Q127" s="16">
        <f>IFERROR(__xludf.DUMMYFUNCTION("""COMPUTED_VALUE"""),0.0)</f>
        <v>0</v>
      </c>
      <c r="R127" s="16">
        <f>IFERROR(__xludf.DUMMYFUNCTION("""COMPUTED_VALUE"""),0.0)</f>
        <v>0</v>
      </c>
      <c r="S127" s="16">
        <f>IFERROR(__xludf.DUMMYFUNCTION("""COMPUTED_VALUE"""),0.0)</f>
        <v>0</v>
      </c>
      <c r="T127" s="16">
        <f>IFERROR(__xludf.DUMMYFUNCTION("""COMPUTED_VALUE"""),0.0)</f>
        <v>0</v>
      </c>
      <c r="U127" s="16">
        <f>IFERROR(__xludf.DUMMYFUNCTION("""COMPUTED_VALUE"""),0.0)</f>
        <v>0</v>
      </c>
      <c r="V127" s="16">
        <f>IFERROR(__xludf.DUMMYFUNCTION("""COMPUTED_VALUE"""),0.0)</f>
        <v>0</v>
      </c>
      <c r="W127" s="16">
        <f>IFERROR(__xludf.DUMMYFUNCTION("""COMPUTED_VALUE"""),0.0)</f>
        <v>0</v>
      </c>
      <c r="X127" s="16" t="b">
        <f>IFERROR(__xludf.DUMMYFUNCTION("""COMPUTED_VALUE"""),FALSE)</f>
        <v>0</v>
      </c>
      <c r="Y127" s="16"/>
      <c r="Z127" s="16"/>
    </row>
    <row r="128">
      <c r="A128" s="16" t="str">
        <f>IFERROR(__xludf.DUMMYFUNCTION("""COMPUTED_VALUE"""),"International Consumer Services Sweden AB (ValueChecker)")</f>
        <v>International Consumer Services Sweden AB (ValueChecker)</v>
      </c>
      <c r="B128" s="16" t="str">
        <f>IFERROR(__xludf.DUMMYFUNCTION("""COMPUTED_VALUE"""),"Growth")</f>
        <v>Growth</v>
      </c>
      <c r="C128" s="26" t="str">
        <f>IFERROR(__xludf.DUMMYFUNCTION("""COMPUTED_VALUE"""),"APAC, EMEA, NAM")</f>
        <v>APAC, EMEA, NAM</v>
      </c>
      <c r="D128" s="16" t="str">
        <f>IFERROR(__xludf.DUMMYFUNCTION("""COMPUTED_VALUE"""),"Vivienne Hoary")</f>
        <v>Vivienne Hoary</v>
      </c>
      <c r="E128" s="26" t="str">
        <f>IFERROR(__xludf.DUMMYFUNCTION("""COMPUTED_VALUE"""),"Australia New Zealand, Norway, UK, United States, South Africa")</f>
        <v>Australia New Zealand, Norway, UK, United States, South Africa</v>
      </c>
      <c r="F128" s="26" t="str">
        <f>IFERROR(__xludf.DUMMYFUNCTION("""COMPUTED_VALUE"""),"ClaimCenter")</f>
        <v>ClaimCenter</v>
      </c>
      <c r="G128" s="20">
        <f>IFERROR(__xludf.DUMMYFUNCTION("""COMPUTED_VALUE"""),45545.0)</f>
        <v>45545</v>
      </c>
      <c r="H128" s="20"/>
      <c r="I128" s="20">
        <f>IFERROR(__xludf.DUMMYFUNCTION("""COMPUTED_VALUE"""),45545.0)</f>
        <v>45545</v>
      </c>
      <c r="J128" s="16"/>
      <c r="K128" s="20">
        <f>IFERROR(__xludf.DUMMYFUNCTION("""COMPUTED_VALUE"""),45993.0)</f>
        <v>45993</v>
      </c>
      <c r="L128" s="16" t="str">
        <f>IFERROR(__xludf.DUMMYFUNCTION("""COMPUTED_VALUE"""),"Medium")</f>
        <v>Medium</v>
      </c>
      <c r="M128" s="26" t="str">
        <f>IFERROR(__xludf.DUMMYFUNCTION("""COMPUTED_VALUE"""),"PartnerConnect  Technology")</f>
        <v>PartnerConnect  Technology</v>
      </c>
      <c r="N128" s="16" t="str">
        <f>IFERROR(__xludf.DUMMYFUNCTION("""COMPUTED_VALUE"""),"FY24 - Q1")</f>
        <v>FY24 - Q1</v>
      </c>
      <c r="O128" s="16">
        <f>IFERROR(__xludf.DUMMYFUNCTION("""COMPUTED_VALUE"""),1.0)</f>
        <v>1</v>
      </c>
      <c r="P128" s="16">
        <f>IFERROR(__xludf.DUMMYFUNCTION("""COMPUTED_VALUE"""),1.0)</f>
        <v>1</v>
      </c>
      <c r="Q128" s="16">
        <f>IFERROR(__xludf.DUMMYFUNCTION("""COMPUTED_VALUE"""),1.0)</f>
        <v>1</v>
      </c>
      <c r="R128" s="16">
        <f>IFERROR(__xludf.DUMMYFUNCTION("""COMPUTED_VALUE"""),1.0)</f>
        <v>1</v>
      </c>
      <c r="S128" s="16">
        <f>IFERROR(__xludf.DUMMYFUNCTION("""COMPUTED_VALUE"""),774.0)</f>
        <v>774</v>
      </c>
      <c r="T128" s="16">
        <f>IFERROR(__xludf.DUMMYFUNCTION("""COMPUTED_VALUE"""),1.0)</f>
        <v>1</v>
      </c>
      <c r="U128" s="16">
        <f>IFERROR(__xludf.DUMMYFUNCTION("""COMPUTED_VALUE"""),1.0)</f>
        <v>1</v>
      </c>
      <c r="V128" s="16">
        <f>IFERROR(__xludf.DUMMYFUNCTION("""COMPUTED_VALUE"""),1.0)</f>
        <v>1</v>
      </c>
      <c r="W128" s="16">
        <f>IFERROR(__xludf.DUMMYFUNCTION("""COMPUTED_VALUE"""),0.0)</f>
        <v>0</v>
      </c>
      <c r="X128" s="16" t="b">
        <f>IFERROR(__xludf.DUMMYFUNCTION("""COMPUTED_VALUE"""),FALSE)</f>
        <v>0</v>
      </c>
      <c r="Y128" s="16"/>
      <c r="Z128" s="16"/>
    </row>
    <row r="129">
      <c r="A129" s="16" t="str">
        <f>IFERROR(__xludf.DUMMYFUNCTION("""COMPUTED_VALUE"""),"INTERTEL, INC.")</f>
        <v>INTERTEL, INC.</v>
      </c>
      <c r="B129" s="16" t="str">
        <f>IFERROR(__xludf.DUMMYFUNCTION("""COMPUTED_VALUE"""),"Growth")</f>
        <v>Growth</v>
      </c>
      <c r="C129" s="26" t="str">
        <f>IFERROR(__xludf.DUMMYFUNCTION("""COMPUTED_VALUE"""),"NAM")</f>
        <v>NAM</v>
      </c>
      <c r="D129" s="16" t="str">
        <f>IFERROR(__xludf.DUMMYFUNCTION("""COMPUTED_VALUE"""),"Gregg Rabenold")</f>
        <v>Gregg Rabenold</v>
      </c>
      <c r="E129" s="16" t="str">
        <f>IFERROR(__xludf.DUMMYFUNCTION("""COMPUTED_VALUE"""),"United States")</f>
        <v>United States</v>
      </c>
      <c r="F129" s="26" t="str">
        <f>IFERROR(__xludf.DUMMYFUNCTION("""COMPUTED_VALUE"""),"ClaimCenter")</f>
        <v>ClaimCenter</v>
      </c>
      <c r="G129" s="20">
        <f>IFERROR(__xludf.DUMMYFUNCTION("""COMPUTED_VALUE"""),43899.0)</f>
        <v>43899</v>
      </c>
      <c r="H129" s="20">
        <f>IFERROR(__xludf.DUMMYFUNCTION("""COMPUTED_VALUE"""),44629.0)</f>
        <v>44629</v>
      </c>
      <c r="I129" s="13">
        <f>IFERROR(__xludf.DUMMYFUNCTION("""COMPUTED_VALUE"""),43899.0)</f>
        <v>43899</v>
      </c>
      <c r="J129" s="16"/>
      <c r="K129" s="13">
        <f>IFERROR(__xludf.DUMMYFUNCTION("""COMPUTED_VALUE"""),44011.0)</f>
        <v>44011</v>
      </c>
      <c r="L129" s="16" t="str">
        <f>IFERROR(__xludf.DUMMYFUNCTION("""COMPUTED_VALUE"""),"Low")</f>
        <v>Low</v>
      </c>
      <c r="M129" s="26" t="str">
        <f>IFERROR(__xludf.DUMMYFUNCTION("""COMPUTED_VALUE"""),"PartnerConnect  Technology")</f>
        <v>PartnerConnect  Technology</v>
      </c>
      <c r="N129" s="16" t="str">
        <f>IFERROR(__xludf.DUMMYFUNCTION("""COMPUTED_VALUE"""),"FY20 - Q2")</f>
        <v>FY20 - Q2</v>
      </c>
      <c r="O129" s="16">
        <f>IFERROR(__xludf.DUMMYFUNCTION("""COMPUTED_VALUE"""),1.0)</f>
        <v>1</v>
      </c>
      <c r="P129" s="16">
        <f>IFERROR(__xludf.DUMMYFUNCTION("""COMPUTED_VALUE"""),1.0)</f>
        <v>1</v>
      </c>
      <c r="Q129" s="16">
        <f>IFERROR(__xludf.DUMMYFUNCTION("""COMPUTED_VALUE"""),9.0)</f>
        <v>9</v>
      </c>
      <c r="R129" s="16">
        <f>IFERROR(__xludf.DUMMYFUNCTION("""COMPUTED_VALUE"""),1.0)</f>
        <v>1</v>
      </c>
      <c r="S129" s="16">
        <f>IFERROR(__xludf.DUMMYFUNCTION("""COMPUTED_VALUE"""),15705.0)</f>
        <v>15705</v>
      </c>
      <c r="T129" s="16">
        <f>IFERROR(__xludf.DUMMYFUNCTION("""COMPUTED_VALUE"""),7.0)</f>
        <v>7</v>
      </c>
      <c r="U129" s="16">
        <f>IFERROR(__xludf.DUMMYFUNCTION("""COMPUTED_VALUE"""),0.0)</f>
        <v>0</v>
      </c>
      <c r="V129" s="16">
        <f>IFERROR(__xludf.DUMMYFUNCTION("""COMPUTED_VALUE"""),0.0)</f>
        <v>0</v>
      </c>
      <c r="W129" s="16">
        <f>IFERROR(__xludf.DUMMYFUNCTION("""COMPUTED_VALUE"""),0.0)</f>
        <v>0</v>
      </c>
      <c r="X129" s="16" t="b">
        <f>IFERROR(__xludf.DUMMYFUNCTION("""COMPUTED_VALUE"""),TRUE)</f>
        <v>1</v>
      </c>
      <c r="Y129" s="16"/>
      <c r="Z129" s="16"/>
    </row>
    <row r="130">
      <c r="A130" s="16" t="str">
        <f>IFERROR(__xludf.DUMMYFUNCTION("""COMPUTED_VALUE"""),"InvoiceCloud")</f>
        <v>InvoiceCloud</v>
      </c>
      <c r="B130" s="16" t="str">
        <f>IFERROR(__xludf.DUMMYFUNCTION("""COMPUTED_VALUE"""),"Premier")</f>
        <v>Premier</v>
      </c>
      <c r="C130" s="26" t="str">
        <f>IFERROR(__xludf.DUMMYFUNCTION("""COMPUTED_VALUE"""),"NAM")</f>
        <v>NAM</v>
      </c>
      <c r="D130" s="16" t="str">
        <f>IFERROR(__xludf.DUMMYFUNCTION("""COMPUTED_VALUE"""),"Shannon Spies")</f>
        <v>Shannon Spies</v>
      </c>
      <c r="E130" s="26" t="str">
        <f>IFERROR(__xludf.DUMMYFUNCTION("""COMPUTED_VALUE"""),"United States")</f>
        <v>United States</v>
      </c>
      <c r="F130" s="26" t="str">
        <f>IFERROR(__xludf.DUMMYFUNCTION("""COMPUTED_VALUE"""),"ClaimCenter, PolicyCenter, BillingCenter")</f>
        <v>ClaimCenter, PolicyCenter, BillingCenter</v>
      </c>
      <c r="G130" s="20">
        <f>IFERROR(__xludf.DUMMYFUNCTION("""COMPUTED_VALUE"""),44281.0)</f>
        <v>44281</v>
      </c>
      <c r="H130" s="13">
        <f>IFERROR(__xludf.DUMMYFUNCTION("""COMPUTED_VALUE"""),45010.0)</f>
        <v>45010</v>
      </c>
      <c r="I130" s="13">
        <f>IFERROR(__xludf.DUMMYFUNCTION("""COMPUTED_VALUE"""),44281.0)</f>
        <v>44281</v>
      </c>
      <c r="J130" s="16"/>
      <c r="K130" s="13">
        <f>IFERROR(__xludf.DUMMYFUNCTION("""COMPUTED_VALUE"""),44440.0)</f>
        <v>44440</v>
      </c>
      <c r="L130" s="16" t="str">
        <f>IFERROR(__xludf.DUMMYFUNCTION("""COMPUTED_VALUE"""),"Medium")</f>
        <v>Medium</v>
      </c>
      <c r="M130" s="26" t="str">
        <f>IFERROR(__xludf.DUMMYFUNCTION("""COMPUTED_VALUE"""),"PartnerConnect  Technology")</f>
        <v>PartnerConnect  Technology</v>
      </c>
      <c r="N130" s="16" t="str">
        <f>IFERROR(__xludf.DUMMYFUNCTION("""COMPUTED_VALUE"""),"FY21 - Q2")</f>
        <v>FY21 - Q2</v>
      </c>
      <c r="O130" s="16">
        <f>IFERROR(__xludf.DUMMYFUNCTION("""COMPUTED_VALUE"""),5.0)</f>
        <v>5</v>
      </c>
      <c r="P130" s="16">
        <f>IFERROR(__xludf.DUMMYFUNCTION("""COMPUTED_VALUE"""),5.0)</f>
        <v>5</v>
      </c>
      <c r="Q130" s="16">
        <f>IFERROR(__xludf.DUMMYFUNCTION("""COMPUTED_VALUE"""),85.0)</f>
        <v>85</v>
      </c>
      <c r="R130" s="16">
        <f>IFERROR(__xludf.DUMMYFUNCTION("""COMPUTED_VALUE"""),67.0)</f>
        <v>67</v>
      </c>
      <c r="S130" s="16">
        <f>IFERROR(__xludf.DUMMYFUNCTION("""COMPUTED_VALUE"""),89312.0)</f>
        <v>89312</v>
      </c>
      <c r="T130" s="16">
        <f>IFERROR(__xludf.DUMMYFUNCTION("""COMPUTED_VALUE"""),38.0)</f>
        <v>38</v>
      </c>
      <c r="U130" s="16">
        <f>IFERROR(__xludf.DUMMYFUNCTION("""COMPUTED_VALUE"""),58.0)</f>
        <v>58</v>
      </c>
      <c r="V130" s="16">
        <f>IFERROR(__xludf.DUMMYFUNCTION("""COMPUTED_VALUE"""),58.0)</f>
        <v>58</v>
      </c>
      <c r="W130" s="16">
        <f>IFERROR(__xludf.DUMMYFUNCTION("""COMPUTED_VALUE"""),0.0)</f>
        <v>0</v>
      </c>
      <c r="X130" s="16" t="b">
        <f>IFERROR(__xludf.DUMMYFUNCTION("""COMPUTED_VALUE"""),TRUE)</f>
        <v>1</v>
      </c>
      <c r="Y130" s="16"/>
      <c r="Z130" s="16"/>
    </row>
    <row r="131">
      <c r="A131" s="16" t="str">
        <f>IFERROR(__xludf.DUMMYFUNCTION("""COMPUTED_VALUE"""),"itel Laboratories, inc.")</f>
        <v>itel Laboratories, inc.</v>
      </c>
      <c r="B131" s="16" t="str">
        <f>IFERROR(__xludf.DUMMYFUNCTION("""COMPUTED_VALUE"""),"Growth")</f>
        <v>Growth</v>
      </c>
      <c r="C131" s="26" t="str">
        <f>IFERROR(__xludf.DUMMYFUNCTION("""COMPUTED_VALUE"""),"NAM")</f>
        <v>NAM</v>
      </c>
      <c r="D131" s="16" t="str">
        <f>IFERROR(__xludf.DUMMYFUNCTION("""COMPUTED_VALUE"""),"Rod Gowin")</f>
        <v>Rod Gowin</v>
      </c>
      <c r="E131" s="26" t="str">
        <f>IFERROR(__xludf.DUMMYFUNCTION("""COMPUTED_VALUE"""),"Canada")</f>
        <v>Canada</v>
      </c>
      <c r="F131" s="16" t="str">
        <f>IFERROR(__xludf.DUMMYFUNCTION("""COMPUTED_VALUE"""),"ClaimCenter")</f>
        <v>ClaimCenter</v>
      </c>
      <c r="G131" s="20">
        <f>IFERROR(__xludf.DUMMYFUNCTION("""COMPUTED_VALUE"""),45561.0)</f>
        <v>45561</v>
      </c>
      <c r="H131" s="16"/>
      <c r="I131" s="20">
        <f>IFERROR(__xludf.DUMMYFUNCTION("""COMPUTED_VALUE"""),45561.0)</f>
        <v>45561</v>
      </c>
      <c r="J131" s="16"/>
      <c r="K131" s="16"/>
      <c r="L131" s="16" t="str">
        <f>IFERROR(__xludf.DUMMYFUNCTION("""COMPUTED_VALUE"""),"Medium")</f>
        <v>Medium</v>
      </c>
      <c r="M131" s="26" t="str">
        <f>IFERROR(__xludf.DUMMYFUNCTION("""COMPUTED_VALUE"""),"PartnerConnect  Technology")</f>
        <v>PartnerConnect  Technology</v>
      </c>
      <c r="N131" s="16" t="str">
        <f>IFERROR(__xludf.DUMMYFUNCTION("""COMPUTED_VALUE"""),"FY24 - Q1")</f>
        <v>FY24 - Q1</v>
      </c>
      <c r="O131" s="16">
        <f>IFERROR(__xludf.DUMMYFUNCTION("""COMPUTED_VALUE"""),0.0)</f>
        <v>0</v>
      </c>
      <c r="P131" s="16">
        <f>IFERROR(__xludf.DUMMYFUNCTION("""COMPUTED_VALUE"""),0.0)</f>
        <v>0</v>
      </c>
      <c r="Q131" s="16">
        <f>IFERROR(__xludf.DUMMYFUNCTION("""COMPUTED_VALUE"""),0.0)</f>
        <v>0</v>
      </c>
      <c r="R131" s="16">
        <f>IFERROR(__xludf.DUMMYFUNCTION("""COMPUTED_VALUE"""),0.0)</f>
        <v>0</v>
      </c>
      <c r="S131" s="16">
        <f>IFERROR(__xludf.DUMMYFUNCTION("""COMPUTED_VALUE"""),0.0)</f>
        <v>0</v>
      </c>
      <c r="T131" s="16">
        <f>IFERROR(__xludf.DUMMYFUNCTION("""COMPUTED_VALUE"""),0.0)</f>
        <v>0</v>
      </c>
      <c r="U131" s="16">
        <f>IFERROR(__xludf.DUMMYFUNCTION("""COMPUTED_VALUE"""),0.0)</f>
        <v>0</v>
      </c>
      <c r="V131" s="16">
        <f>IFERROR(__xludf.DUMMYFUNCTION("""COMPUTED_VALUE"""),0.0)</f>
        <v>0</v>
      </c>
      <c r="W131" s="16">
        <f>IFERROR(__xludf.DUMMYFUNCTION("""COMPUTED_VALUE"""),0.0)</f>
        <v>0</v>
      </c>
      <c r="X131" s="16" t="b">
        <f>IFERROR(__xludf.DUMMYFUNCTION("""COMPUTED_VALUE"""),FALSE)</f>
        <v>0</v>
      </c>
      <c r="Y131" s="16"/>
      <c r="Z131" s="16"/>
    </row>
    <row r="132">
      <c r="A132" s="16" t="str">
        <f>IFERROR(__xludf.DUMMYFUNCTION("""COMPUTED_VALUE"""),"Jopari Solutions")</f>
        <v>Jopari Solutions</v>
      </c>
      <c r="B132" s="16" t="str">
        <f>IFERROR(__xludf.DUMMYFUNCTION("""COMPUTED_VALUE"""),"Growth")</f>
        <v>Growth</v>
      </c>
      <c r="C132" s="26" t="str">
        <f>IFERROR(__xludf.DUMMYFUNCTION("""COMPUTED_VALUE"""),"NAM")</f>
        <v>NAM</v>
      </c>
      <c r="D132" s="16" t="str">
        <f>IFERROR(__xludf.DUMMYFUNCTION("""COMPUTED_VALUE"""),"Shannon Spies")</f>
        <v>Shannon Spies</v>
      </c>
      <c r="E132" s="26" t="str">
        <f>IFERROR(__xludf.DUMMYFUNCTION("""COMPUTED_VALUE"""),"United States")</f>
        <v>United States</v>
      </c>
      <c r="F132" s="26" t="str">
        <f>IFERROR(__xludf.DUMMYFUNCTION("""COMPUTED_VALUE"""),"ClaimCenter")</f>
        <v>ClaimCenter</v>
      </c>
      <c r="G132" s="20">
        <f>IFERROR(__xludf.DUMMYFUNCTION("""COMPUTED_VALUE"""),45294.0)</f>
        <v>45294</v>
      </c>
      <c r="H132" s="20">
        <f>IFERROR(__xludf.DUMMYFUNCTION("""COMPUTED_VALUE"""),46024.0)</f>
        <v>46024</v>
      </c>
      <c r="I132" s="20">
        <f>IFERROR(__xludf.DUMMYFUNCTION("""COMPUTED_VALUE"""),45294.0)</f>
        <v>45294</v>
      </c>
      <c r="J132" s="16"/>
      <c r="K132" s="20">
        <f>IFERROR(__xludf.DUMMYFUNCTION("""COMPUTED_VALUE"""),45644.0)</f>
        <v>45644</v>
      </c>
      <c r="L132" s="16" t="str">
        <f>IFERROR(__xludf.DUMMYFUNCTION("""COMPUTED_VALUE"""),"Medium")</f>
        <v>Medium</v>
      </c>
      <c r="M132" s="26" t="str">
        <f>IFERROR(__xludf.DUMMYFUNCTION("""COMPUTED_VALUE"""),"PartnerConnect  Technology")</f>
        <v>PartnerConnect  Technology</v>
      </c>
      <c r="N132" s="16" t="str">
        <f>IFERROR(__xludf.DUMMYFUNCTION("""COMPUTED_VALUE"""),"FY24 - Q2")</f>
        <v>FY24 - Q2</v>
      </c>
      <c r="O132" s="16">
        <f>IFERROR(__xludf.DUMMYFUNCTION("""COMPUTED_VALUE"""),1.0)</f>
        <v>1</v>
      </c>
      <c r="P132" s="16">
        <f>IFERROR(__xludf.DUMMYFUNCTION("""COMPUTED_VALUE"""),1.0)</f>
        <v>1</v>
      </c>
      <c r="Q132" s="16">
        <f>IFERROR(__xludf.DUMMYFUNCTION("""COMPUTED_VALUE"""),13.0)</f>
        <v>13</v>
      </c>
      <c r="R132" s="16">
        <f>IFERROR(__xludf.DUMMYFUNCTION("""COMPUTED_VALUE"""),13.0)</f>
        <v>13</v>
      </c>
      <c r="S132" s="16">
        <f>IFERROR(__xludf.DUMMYFUNCTION("""COMPUTED_VALUE"""),18483.0)</f>
        <v>18483</v>
      </c>
      <c r="T132" s="16">
        <f>IFERROR(__xludf.DUMMYFUNCTION("""COMPUTED_VALUE"""),5.0)</f>
        <v>5</v>
      </c>
      <c r="U132" s="16">
        <f>IFERROR(__xludf.DUMMYFUNCTION("""COMPUTED_VALUE"""),13.0)</f>
        <v>13</v>
      </c>
      <c r="V132" s="16">
        <f>IFERROR(__xludf.DUMMYFUNCTION("""COMPUTED_VALUE"""),13.0)</f>
        <v>13</v>
      </c>
      <c r="W132" s="16">
        <f>IFERROR(__xludf.DUMMYFUNCTION("""COMPUTED_VALUE"""),0.0)</f>
        <v>0</v>
      </c>
      <c r="X132" s="16" t="b">
        <f>IFERROR(__xludf.DUMMYFUNCTION("""COMPUTED_VALUE"""),TRUE)</f>
        <v>1</v>
      </c>
      <c r="Y132" s="16"/>
      <c r="Z132" s="16"/>
    </row>
    <row r="133">
      <c r="A133" s="16" t="str">
        <f>IFERROR(__xludf.DUMMYFUNCTION("""COMPUTED_VALUE"""),"Karate Labs, Inc.")</f>
        <v>Karate Labs, Inc.</v>
      </c>
      <c r="B133" s="16" t="str">
        <f>IFERROR(__xludf.DUMMYFUNCTION("""COMPUTED_VALUE"""),"Growth")</f>
        <v>Growth</v>
      </c>
      <c r="C133" s="26" t="str">
        <f>IFERROR(__xludf.DUMMYFUNCTION("""COMPUTED_VALUE"""),"APAC, EMEA, NAM, LatAm")</f>
        <v>APAC, EMEA, NAM, LatAm</v>
      </c>
      <c r="D133" s="16" t="str">
        <f>IFERROR(__xludf.DUMMYFUNCTION("""COMPUTED_VALUE"""),"Eric Apse")</f>
        <v>Eric Apse</v>
      </c>
      <c r="E133" s="26"/>
      <c r="F133" s="26" t="str">
        <f>IFERROR(__xludf.DUMMYFUNCTION("""COMPUTED_VALUE"""),"ClaimCenter, PolicyCenter, BillingCenter")</f>
        <v>ClaimCenter, PolicyCenter, BillingCenter</v>
      </c>
      <c r="G133" s="20">
        <f>IFERROR(__xludf.DUMMYFUNCTION("""COMPUTED_VALUE"""),45100.0)</f>
        <v>45100</v>
      </c>
      <c r="H133" s="13">
        <f>IFERROR(__xludf.DUMMYFUNCTION("""COMPUTED_VALUE"""),45830.0)</f>
        <v>45830</v>
      </c>
      <c r="I133" s="20"/>
      <c r="J133" s="16"/>
      <c r="K133" s="16"/>
      <c r="L133" s="16" t="str">
        <f>IFERROR(__xludf.DUMMYFUNCTION("""COMPUTED_VALUE"""),"Medium")</f>
        <v>Medium</v>
      </c>
      <c r="M133" s="26" t="str">
        <f>IFERROR(__xludf.DUMMYFUNCTION("""COMPUTED_VALUE"""),"PartnerConnect  Technology")</f>
        <v>PartnerConnect  Technology</v>
      </c>
      <c r="N133" s="16" t="str">
        <f>IFERROR(__xludf.DUMMYFUNCTION("""COMPUTED_VALUE"""),"FY23 - Q3")</f>
        <v>FY23 - Q3</v>
      </c>
      <c r="O133" s="16">
        <f>IFERROR(__xludf.DUMMYFUNCTION("""COMPUTED_VALUE"""),0.0)</f>
        <v>0</v>
      </c>
      <c r="P133" s="16">
        <f>IFERROR(__xludf.DUMMYFUNCTION("""COMPUTED_VALUE"""),0.0)</f>
        <v>0</v>
      </c>
      <c r="Q133" s="16">
        <f>IFERROR(__xludf.DUMMYFUNCTION("""COMPUTED_VALUE"""),0.0)</f>
        <v>0</v>
      </c>
      <c r="R133" s="16">
        <f>IFERROR(__xludf.DUMMYFUNCTION("""COMPUTED_VALUE"""),0.0)</f>
        <v>0</v>
      </c>
      <c r="S133" s="16">
        <f>IFERROR(__xludf.DUMMYFUNCTION("""COMPUTED_VALUE"""),0.0)</f>
        <v>0</v>
      </c>
      <c r="T133" s="16">
        <f>IFERROR(__xludf.DUMMYFUNCTION("""COMPUTED_VALUE"""),0.0)</f>
        <v>0</v>
      </c>
      <c r="U133" s="16">
        <f>IFERROR(__xludf.DUMMYFUNCTION("""COMPUTED_VALUE"""),0.0)</f>
        <v>0</v>
      </c>
      <c r="V133" s="16">
        <f>IFERROR(__xludf.DUMMYFUNCTION("""COMPUTED_VALUE"""),0.0)</f>
        <v>0</v>
      </c>
      <c r="W133" s="16">
        <f>IFERROR(__xludf.DUMMYFUNCTION("""COMPUTED_VALUE"""),0.0)</f>
        <v>0</v>
      </c>
      <c r="X133" s="16" t="b">
        <f>IFERROR(__xludf.DUMMYFUNCTION("""COMPUTED_VALUE"""),FALSE)</f>
        <v>0</v>
      </c>
      <c r="Y133" s="16"/>
      <c r="Z133" s="16"/>
    </row>
    <row r="134">
      <c r="A134" s="16" t="str">
        <f>IFERROR(__xludf.DUMMYFUNCTION("""COMPUTED_VALUE"""),"KBS Intelligence")</f>
        <v>KBS Intelligence</v>
      </c>
      <c r="B134" s="16" t="str">
        <f>IFERROR(__xludf.DUMMYFUNCTION("""COMPUTED_VALUE"""),"Growth")</f>
        <v>Growth</v>
      </c>
      <c r="C134" s="26" t="str">
        <f>IFERROR(__xludf.DUMMYFUNCTION("""COMPUTED_VALUE"""),"APAC")</f>
        <v>APAC</v>
      </c>
      <c r="D134" s="16" t="str">
        <f>IFERROR(__xludf.DUMMYFUNCTION("""COMPUTED_VALUE"""),"Vivienne Hoary")</f>
        <v>Vivienne Hoary</v>
      </c>
      <c r="E134" s="26" t="str">
        <f>IFERROR(__xludf.DUMMYFUNCTION("""COMPUTED_VALUE"""),"Australia New Zealand, UK")</f>
        <v>Australia New Zealand, UK</v>
      </c>
      <c r="F134" s="26" t="str">
        <f>IFERROR(__xludf.DUMMYFUNCTION("""COMPUTED_VALUE"""),"ClaimCenter")</f>
        <v>ClaimCenter</v>
      </c>
      <c r="G134" s="20">
        <f>IFERROR(__xludf.DUMMYFUNCTION("""COMPUTED_VALUE"""),45198.0)</f>
        <v>45198</v>
      </c>
      <c r="H134" s="16"/>
      <c r="I134" s="16"/>
      <c r="J134" s="16"/>
      <c r="K134" s="16"/>
      <c r="L134" s="16" t="str">
        <f>IFERROR(__xludf.DUMMYFUNCTION("""COMPUTED_VALUE"""),"Low")</f>
        <v>Low</v>
      </c>
      <c r="M134" s="26" t="str">
        <f>IFERROR(__xludf.DUMMYFUNCTION("""COMPUTED_VALUE"""),"PartnerConnect  Technology")</f>
        <v>PartnerConnect  Technology</v>
      </c>
      <c r="N134" s="16" t="str">
        <f>IFERROR(__xludf.DUMMYFUNCTION("""COMPUTED_VALUE"""),"FY23 - Q1")</f>
        <v>FY23 - Q1</v>
      </c>
      <c r="O134" s="16">
        <f>IFERROR(__xludf.DUMMYFUNCTION("""COMPUTED_VALUE"""),0.0)</f>
        <v>0</v>
      </c>
      <c r="P134" s="16">
        <f>IFERROR(__xludf.DUMMYFUNCTION("""COMPUTED_VALUE"""),0.0)</f>
        <v>0</v>
      </c>
      <c r="Q134" s="16">
        <f>IFERROR(__xludf.DUMMYFUNCTION("""COMPUTED_VALUE"""),0.0)</f>
        <v>0</v>
      </c>
      <c r="R134" s="16">
        <f>IFERROR(__xludf.DUMMYFUNCTION("""COMPUTED_VALUE"""),0.0)</f>
        <v>0</v>
      </c>
      <c r="S134" s="16">
        <f>IFERROR(__xludf.DUMMYFUNCTION("""COMPUTED_VALUE"""),0.0)</f>
        <v>0</v>
      </c>
      <c r="T134" s="16">
        <f>IFERROR(__xludf.DUMMYFUNCTION("""COMPUTED_VALUE"""),0.0)</f>
        <v>0</v>
      </c>
      <c r="U134" s="16">
        <f>IFERROR(__xludf.DUMMYFUNCTION("""COMPUTED_VALUE"""),0.0)</f>
        <v>0</v>
      </c>
      <c r="V134" s="16">
        <f>IFERROR(__xludf.DUMMYFUNCTION("""COMPUTED_VALUE"""),0.0)</f>
        <v>0</v>
      </c>
      <c r="W134" s="16">
        <f>IFERROR(__xludf.DUMMYFUNCTION("""COMPUTED_VALUE"""),33.0)</f>
        <v>33</v>
      </c>
      <c r="X134" s="16" t="b">
        <f>IFERROR(__xludf.DUMMYFUNCTION("""COMPUTED_VALUE"""),FALSE)</f>
        <v>0</v>
      </c>
      <c r="Y134" s="16"/>
      <c r="Z134" s="16"/>
    </row>
    <row r="135">
      <c r="A135" s="16" t="str">
        <f>IFERROR(__xludf.DUMMYFUNCTION("""COMPUTED_VALUE"""),"Kennedys IQ Limited")</f>
        <v>Kennedys IQ Limited</v>
      </c>
      <c r="B135" s="16" t="str">
        <f>IFERROR(__xludf.DUMMYFUNCTION("""COMPUTED_VALUE"""),"Growth")</f>
        <v>Growth</v>
      </c>
      <c r="C135" s="26" t="str">
        <f>IFERROR(__xludf.DUMMYFUNCTION("""COMPUTED_VALUE"""),"APAC, EMEA, NAM, LatAm")</f>
        <v>APAC, EMEA, NAM, LatAm</v>
      </c>
      <c r="D135" s="16" t="str">
        <f>IFERROR(__xludf.DUMMYFUNCTION("""COMPUTED_VALUE"""),"Vivienne Hoary")</f>
        <v>Vivienne Hoary</v>
      </c>
      <c r="E135" s="26" t="str">
        <f>IFERROR(__xludf.DUMMYFUNCTION("""COMPUTED_VALUE"""),"Australia New Zealand,Austria,Denmark,France,India,Ireland,Italy,Norway,Poland,Russia,South America,Spain,UK,United States")</f>
        <v>Australia New Zealand,Austria,Denmark,France,India,Ireland,Italy,Norway,Poland,Russia,South America,Spain,UK,United States</v>
      </c>
      <c r="F135" s="26" t="str">
        <f>IFERROR(__xludf.DUMMYFUNCTION("""COMPUTED_VALUE"""),"PolicyCenter")</f>
        <v>PolicyCenter</v>
      </c>
      <c r="G135" s="20">
        <f>IFERROR(__xludf.DUMMYFUNCTION("""COMPUTED_VALUE"""),45713.0)</f>
        <v>45713</v>
      </c>
      <c r="H135" s="16"/>
      <c r="I135" s="20">
        <f>IFERROR(__xludf.DUMMYFUNCTION("""COMPUTED_VALUE"""),45713.0)</f>
        <v>45713</v>
      </c>
      <c r="J135" s="16"/>
      <c r="K135" s="20"/>
      <c r="L135" s="16" t="str">
        <f>IFERROR(__xludf.DUMMYFUNCTION("""COMPUTED_VALUE"""),"Medium")</f>
        <v>Medium</v>
      </c>
      <c r="M135" s="26" t="str">
        <f>IFERROR(__xludf.DUMMYFUNCTION("""COMPUTED_VALUE"""),"PartnerConnect  Technology")</f>
        <v>PartnerConnect  Technology</v>
      </c>
      <c r="N135" s="16" t="str">
        <f>IFERROR(__xludf.DUMMYFUNCTION("""COMPUTED_VALUE"""),"FY25 - Q2")</f>
        <v>FY25 - Q2</v>
      </c>
      <c r="O135" s="16">
        <f>IFERROR(__xludf.DUMMYFUNCTION("""COMPUTED_VALUE"""),0.0)</f>
        <v>0</v>
      </c>
      <c r="P135" s="16">
        <f>IFERROR(__xludf.DUMMYFUNCTION("""COMPUTED_VALUE"""),0.0)</f>
        <v>0</v>
      </c>
      <c r="Q135" s="16">
        <f>IFERROR(__xludf.DUMMYFUNCTION("""COMPUTED_VALUE"""),0.0)</f>
        <v>0</v>
      </c>
      <c r="R135" s="16">
        <f>IFERROR(__xludf.DUMMYFUNCTION("""COMPUTED_VALUE"""),0.0)</f>
        <v>0</v>
      </c>
      <c r="S135" s="16">
        <f>IFERROR(__xludf.DUMMYFUNCTION("""COMPUTED_VALUE"""),0.0)</f>
        <v>0</v>
      </c>
      <c r="T135" s="16">
        <f>IFERROR(__xludf.DUMMYFUNCTION("""COMPUTED_VALUE"""),0.0)</f>
        <v>0</v>
      </c>
      <c r="U135" s="16">
        <f>IFERROR(__xludf.DUMMYFUNCTION("""COMPUTED_VALUE"""),0.0)</f>
        <v>0</v>
      </c>
      <c r="V135" s="16">
        <f>IFERROR(__xludf.DUMMYFUNCTION("""COMPUTED_VALUE"""),0.0)</f>
        <v>0</v>
      </c>
      <c r="W135" s="16">
        <f>IFERROR(__xludf.DUMMYFUNCTION("""COMPUTED_VALUE"""),0.0)</f>
        <v>0</v>
      </c>
      <c r="X135" s="16" t="b">
        <f>IFERROR(__xludf.DUMMYFUNCTION("""COMPUTED_VALUE"""),FALSE)</f>
        <v>0</v>
      </c>
      <c r="Y135" s="16"/>
      <c r="Z135" s="16"/>
    </row>
    <row r="136">
      <c r="A136" s="16" t="str">
        <f>IFERROR(__xludf.DUMMYFUNCTION("""COMPUTED_VALUE"""),"KnowRisk, Inc.")</f>
        <v>KnowRisk, Inc.</v>
      </c>
      <c r="B136" s="16" t="str">
        <f>IFERROR(__xludf.DUMMYFUNCTION("""COMPUTED_VALUE"""),"Growth")</f>
        <v>Growth</v>
      </c>
      <c r="C136" s="26" t="str">
        <f>IFERROR(__xludf.DUMMYFUNCTION("""COMPUTED_VALUE"""),"NAM")</f>
        <v>NAM</v>
      </c>
      <c r="D136" s="16" t="str">
        <f>IFERROR(__xludf.DUMMYFUNCTION("""COMPUTED_VALUE"""),"Shannon Spies")</f>
        <v>Shannon Spies</v>
      </c>
      <c r="E136" s="26" t="str">
        <f>IFERROR(__xludf.DUMMYFUNCTION("""COMPUTED_VALUE"""),"United States")</f>
        <v>United States</v>
      </c>
      <c r="F136" s="26" t="str">
        <f>IFERROR(__xludf.DUMMYFUNCTION("""COMPUTED_VALUE"""),"ClaimCenter")</f>
        <v>ClaimCenter</v>
      </c>
      <c r="G136" s="20">
        <f>IFERROR(__xludf.DUMMYFUNCTION("""COMPUTED_VALUE"""),45966.0)</f>
        <v>45966</v>
      </c>
      <c r="H136" s="16"/>
      <c r="I136" s="20">
        <f>IFERROR(__xludf.DUMMYFUNCTION("""COMPUTED_VALUE"""),45966.0)</f>
        <v>45966</v>
      </c>
      <c r="J136" s="16"/>
      <c r="K136" s="16"/>
      <c r="L136" s="16" t="str">
        <f>IFERROR(__xludf.DUMMYFUNCTION("""COMPUTED_VALUE"""),"Medium")</f>
        <v>Medium</v>
      </c>
      <c r="M136" s="26" t="str">
        <f>IFERROR(__xludf.DUMMYFUNCTION("""COMPUTED_VALUE"""),"PartnerConnect  Technology")</f>
        <v>PartnerConnect  Technology</v>
      </c>
      <c r="N136" s="16" t="str">
        <f>IFERROR(__xludf.DUMMYFUNCTION("""COMPUTED_VALUE"""),"FY25 - Q2")</f>
        <v>FY25 - Q2</v>
      </c>
      <c r="O136" s="16">
        <f>IFERROR(__xludf.DUMMYFUNCTION("""COMPUTED_VALUE"""),1.0)</f>
        <v>1</v>
      </c>
      <c r="P136" s="16">
        <f>IFERROR(__xludf.DUMMYFUNCTION("""COMPUTED_VALUE"""),1.0)</f>
        <v>1</v>
      </c>
      <c r="Q136" s="16">
        <f>IFERROR(__xludf.DUMMYFUNCTION("""COMPUTED_VALUE"""),0.0)</f>
        <v>0</v>
      </c>
      <c r="R136" s="16">
        <f>IFERROR(__xludf.DUMMYFUNCTION("""COMPUTED_VALUE"""),0.0)</f>
        <v>0</v>
      </c>
      <c r="S136" s="16">
        <f>IFERROR(__xludf.DUMMYFUNCTION("""COMPUTED_VALUE"""),0.0)</f>
        <v>0</v>
      </c>
      <c r="T136" s="16">
        <f>IFERROR(__xludf.DUMMYFUNCTION("""COMPUTED_VALUE"""),0.0)</f>
        <v>0</v>
      </c>
      <c r="U136" s="16">
        <f>IFERROR(__xludf.DUMMYFUNCTION("""COMPUTED_VALUE"""),0.0)</f>
        <v>0</v>
      </c>
      <c r="V136" s="16">
        <f>IFERROR(__xludf.DUMMYFUNCTION("""COMPUTED_VALUE"""),0.0)</f>
        <v>0</v>
      </c>
      <c r="W136" s="16">
        <f>IFERROR(__xludf.DUMMYFUNCTION("""COMPUTED_VALUE"""),486.0)</f>
        <v>486</v>
      </c>
      <c r="X136" s="16" t="b">
        <f>IFERROR(__xludf.DUMMYFUNCTION("""COMPUTED_VALUE"""),FALSE)</f>
        <v>0</v>
      </c>
      <c r="Y136" s="16"/>
      <c r="Z136" s="16"/>
    </row>
    <row r="137">
      <c r="A137" s="16" t="str">
        <f>IFERROR(__xludf.DUMMYFUNCTION("""COMPUTED_VALUE"""),"Kube Partners Italy")</f>
        <v>Kube Partners Italy</v>
      </c>
      <c r="B137" s="16" t="str">
        <f>IFERROR(__xludf.DUMMYFUNCTION("""COMPUTED_VALUE"""),"Growth")</f>
        <v>Growth</v>
      </c>
      <c r="C137" s="26" t="str">
        <f>IFERROR(__xludf.DUMMYFUNCTION("""COMPUTED_VALUE"""),"EMEA")</f>
        <v>EMEA</v>
      </c>
      <c r="D137" s="16" t="str">
        <f>IFERROR(__xludf.DUMMYFUNCTION("""COMPUTED_VALUE"""),"Vivienne Hoary")</f>
        <v>Vivienne Hoary</v>
      </c>
      <c r="E137" s="26" t="str">
        <f>IFERROR(__xludf.DUMMYFUNCTION("""COMPUTED_VALUE"""),"Italy")</f>
        <v>Italy</v>
      </c>
      <c r="F137" s="26" t="str">
        <f>IFERROR(__xludf.DUMMYFUNCTION("""COMPUTED_VALUE"""),"ClaimCenter")</f>
        <v>ClaimCenter</v>
      </c>
      <c r="G137" s="20">
        <f>IFERROR(__xludf.DUMMYFUNCTION("""COMPUTED_VALUE"""),43711.0)</f>
        <v>43711</v>
      </c>
      <c r="H137" s="20">
        <f>IFERROR(__xludf.DUMMYFUNCTION("""COMPUTED_VALUE"""),44442.0)</f>
        <v>44442</v>
      </c>
      <c r="I137" s="20">
        <f>IFERROR(__xludf.DUMMYFUNCTION("""COMPUTED_VALUE"""),43711.0)</f>
        <v>43711</v>
      </c>
      <c r="J137" s="16"/>
      <c r="K137" s="20">
        <f>IFERROR(__xludf.DUMMYFUNCTION("""COMPUTED_VALUE"""),43992.0)</f>
        <v>43992</v>
      </c>
      <c r="L137" s="16" t="str">
        <f>IFERROR(__xludf.DUMMYFUNCTION("""COMPUTED_VALUE"""),"Low")</f>
        <v>Low</v>
      </c>
      <c r="M137" s="26" t="str">
        <f>IFERROR(__xludf.DUMMYFUNCTION("""COMPUTED_VALUE"""),"PartnerConnect  Technology")</f>
        <v>PartnerConnect  Technology</v>
      </c>
      <c r="N137" s="16" t="str">
        <f>IFERROR(__xludf.DUMMYFUNCTION("""COMPUTED_VALUE"""),"FY19 - Q1")</f>
        <v>FY19 - Q1</v>
      </c>
      <c r="O137" s="16">
        <f>IFERROR(__xludf.DUMMYFUNCTION("""COMPUTED_VALUE"""),0.0)</f>
        <v>0</v>
      </c>
      <c r="P137" s="16">
        <f>IFERROR(__xludf.DUMMYFUNCTION("""COMPUTED_VALUE"""),0.0)</f>
        <v>0</v>
      </c>
      <c r="Q137" s="16">
        <f>IFERROR(__xludf.DUMMYFUNCTION("""COMPUTED_VALUE"""),0.0)</f>
        <v>0</v>
      </c>
      <c r="R137" s="16">
        <f>IFERROR(__xludf.DUMMYFUNCTION("""COMPUTED_VALUE"""),0.0)</f>
        <v>0</v>
      </c>
      <c r="S137" s="16">
        <f>IFERROR(__xludf.DUMMYFUNCTION("""COMPUTED_VALUE"""),0.0)</f>
        <v>0</v>
      </c>
      <c r="T137" s="16">
        <f>IFERROR(__xludf.DUMMYFUNCTION("""COMPUTED_VALUE"""),0.0)</f>
        <v>0</v>
      </c>
      <c r="U137" s="16">
        <f>IFERROR(__xludf.DUMMYFUNCTION("""COMPUTED_VALUE"""),0.0)</f>
        <v>0</v>
      </c>
      <c r="V137" s="16">
        <f>IFERROR(__xludf.DUMMYFUNCTION("""COMPUTED_VALUE"""),0.0)</f>
        <v>0</v>
      </c>
      <c r="W137" s="16">
        <f>IFERROR(__xludf.DUMMYFUNCTION("""COMPUTED_VALUE"""),154.0)</f>
        <v>154</v>
      </c>
      <c r="X137" s="16" t="b">
        <f>IFERROR(__xludf.DUMMYFUNCTION("""COMPUTED_VALUE"""),FALSE)</f>
        <v>0</v>
      </c>
      <c r="Y137" s="16"/>
      <c r="Z137" s="16"/>
    </row>
    <row r="138">
      <c r="A138" s="16" t="str">
        <f>IFERROR(__xludf.DUMMYFUNCTION("""COMPUTED_VALUE"""),"Kyber Technologies, Inc.")</f>
        <v>Kyber Technologies, Inc.</v>
      </c>
      <c r="B138" s="16" t="str">
        <f>IFERROR(__xludf.DUMMYFUNCTION("""COMPUTED_VALUE"""),"Growth")</f>
        <v>Growth</v>
      </c>
      <c r="C138" s="26" t="str">
        <f>IFERROR(__xludf.DUMMYFUNCTION("""COMPUTED_VALUE"""),"NAM")</f>
        <v>NAM</v>
      </c>
      <c r="D138" s="16" t="str">
        <f>IFERROR(__xludf.DUMMYFUNCTION("""COMPUTED_VALUE"""),"Shannon Spies")</f>
        <v>Shannon Spies</v>
      </c>
      <c r="E138" s="16" t="str">
        <f>IFERROR(__xludf.DUMMYFUNCTION("""COMPUTED_VALUE"""),"United States")</f>
        <v>United States</v>
      </c>
      <c r="F138" s="16" t="str">
        <f>IFERROR(__xludf.DUMMYFUNCTION("""COMPUTED_VALUE"""),"ClaimCenter")</f>
        <v>ClaimCenter</v>
      </c>
      <c r="G138" s="20">
        <f>IFERROR(__xludf.DUMMYFUNCTION("""COMPUTED_VALUE"""),45551.0)</f>
        <v>45551</v>
      </c>
      <c r="H138" s="16"/>
      <c r="I138" s="20">
        <f>IFERROR(__xludf.DUMMYFUNCTION("""COMPUTED_VALUE"""),45551.0)</f>
        <v>45551</v>
      </c>
      <c r="J138" s="16"/>
      <c r="K138" s="13">
        <f>IFERROR(__xludf.DUMMYFUNCTION("""COMPUTED_VALUE"""),45908.0)</f>
        <v>45908</v>
      </c>
      <c r="L138" s="16" t="str">
        <f>IFERROR(__xludf.DUMMYFUNCTION("""COMPUTED_VALUE"""),"Medium")</f>
        <v>Medium</v>
      </c>
      <c r="M138" s="26" t="str">
        <f>IFERROR(__xludf.DUMMYFUNCTION("""COMPUTED_VALUE"""),"PartnerConnect  Technology")</f>
        <v>PartnerConnect  Technology</v>
      </c>
      <c r="N138" s="16" t="str">
        <f>IFERROR(__xludf.DUMMYFUNCTION("""COMPUTED_VALUE"""),"FY24 - Q1")</f>
        <v>FY24 - Q1</v>
      </c>
      <c r="O138" s="16">
        <f>IFERROR(__xludf.DUMMYFUNCTION("""COMPUTED_VALUE"""),1.0)</f>
        <v>1</v>
      </c>
      <c r="P138" s="16">
        <f>IFERROR(__xludf.DUMMYFUNCTION("""COMPUTED_VALUE"""),1.0)</f>
        <v>1</v>
      </c>
      <c r="Q138" s="16">
        <f>IFERROR(__xludf.DUMMYFUNCTION("""COMPUTED_VALUE"""),6.0)</f>
        <v>6</v>
      </c>
      <c r="R138" s="16">
        <f>IFERROR(__xludf.DUMMYFUNCTION("""COMPUTED_VALUE"""),6.0)</f>
        <v>6</v>
      </c>
      <c r="S138" s="16">
        <f>IFERROR(__xludf.DUMMYFUNCTION("""COMPUTED_VALUE"""),2442.0)</f>
        <v>2442</v>
      </c>
      <c r="T138" s="16">
        <f>IFERROR(__xludf.DUMMYFUNCTION("""COMPUTED_VALUE"""),5.0)</f>
        <v>5</v>
      </c>
      <c r="U138" s="16">
        <f>IFERROR(__xludf.DUMMYFUNCTION("""COMPUTED_VALUE"""),6.0)</f>
        <v>6</v>
      </c>
      <c r="V138" s="16">
        <f>IFERROR(__xludf.DUMMYFUNCTION("""COMPUTED_VALUE"""),6.0)</f>
        <v>6</v>
      </c>
      <c r="W138" s="16">
        <f>IFERROR(__xludf.DUMMYFUNCTION("""COMPUTED_VALUE"""),0.0)</f>
        <v>0</v>
      </c>
      <c r="X138" s="16" t="b">
        <f>IFERROR(__xludf.DUMMYFUNCTION("""COMPUTED_VALUE"""),FALSE)</f>
        <v>0</v>
      </c>
      <c r="Y138" s="16"/>
      <c r="Z138" s="16"/>
    </row>
    <row r="139">
      <c r="A139" s="16" t="str">
        <f>IFERROR(__xludf.DUMMYFUNCTION("""COMPUTED_VALUE"""),"LenderDock")</f>
        <v>LenderDock</v>
      </c>
      <c r="B139" s="16" t="str">
        <f>IFERROR(__xludf.DUMMYFUNCTION("""COMPUTED_VALUE"""),"Growth")</f>
        <v>Growth</v>
      </c>
      <c r="C139" s="26" t="str">
        <f>IFERROR(__xludf.DUMMYFUNCTION("""COMPUTED_VALUE"""),"NAM")</f>
        <v>NAM</v>
      </c>
      <c r="D139" s="16" t="str">
        <f>IFERROR(__xludf.DUMMYFUNCTION("""COMPUTED_VALUE"""),"Aaron Shaw")</f>
        <v>Aaron Shaw</v>
      </c>
      <c r="E139" s="26" t="str">
        <f>IFERROR(__xludf.DUMMYFUNCTION("""COMPUTED_VALUE"""),"United States")</f>
        <v>United States</v>
      </c>
      <c r="F139" s="26" t="str">
        <f>IFERROR(__xludf.DUMMYFUNCTION("""COMPUTED_VALUE"""),"InsuranceNow")</f>
        <v>InsuranceNow</v>
      </c>
      <c r="G139" s="20">
        <f>IFERROR(__xludf.DUMMYFUNCTION("""COMPUTED_VALUE"""),45728.0)</f>
        <v>45728</v>
      </c>
      <c r="H139" s="20"/>
      <c r="I139" s="20"/>
      <c r="J139" s="16"/>
      <c r="K139" s="13">
        <f>IFERROR(__xludf.DUMMYFUNCTION("""COMPUTED_VALUE"""),45860.0)</f>
        <v>45860</v>
      </c>
      <c r="L139" s="16" t="str">
        <f>IFERROR(__xludf.DUMMYFUNCTION("""COMPUTED_VALUE"""),"Medium")</f>
        <v>Medium</v>
      </c>
      <c r="M139" s="26" t="str">
        <f>IFERROR(__xludf.DUMMYFUNCTION("""COMPUTED_VALUE"""),"PartnerConnect  Technology")</f>
        <v>PartnerConnect  Technology</v>
      </c>
      <c r="N139" s="16" t="str">
        <f>IFERROR(__xludf.DUMMYFUNCTION("""COMPUTED_VALUE"""),"FY25 - Q2")</f>
        <v>FY25 - Q2</v>
      </c>
      <c r="O139" s="16">
        <f>IFERROR(__xludf.DUMMYFUNCTION("""COMPUTED_VALUE"""),3.0)</f>
        <v>3</v>
      </c>
      <c r="P139" s="16">
        <f>IFERROR(__xludf.DUMMYFUNCTION("""COMPUTED_VALUE"""),3.0)</f>
        <v>3</v>
      </c>
      <c r="Q139" s="16">
        <f>IFERROR(__xludf.DUMMYFUNCTION("""COMPUTED_VALUE"""),0.0)</f>
        <v>0</v>
      </c>
      <c r="R139" s="16">
        <f>IFERROR(__xludf.DUMMYFUNCTION("""COMPUTED_VALUE"""),0.0)</f>
        <v>0</v>
      </c>
      <c r="S139" s="16">
        <f>IFERROR(__xludf.DUMMYFUNCTION("""COMPUTED_VALUE"""),0.0)</f>
        <v>0</v>
      </c>
      <c r="T139" s="16">
        <f>IFERROR(__xludf.DUMMYFUNCTION("""COMPUTED_VALUE"""),0.0)</f>
        <v>0</v>
      </c>
      <c r="U139" s="16">
        <f>IFERROR(__xludf.DUMMYFUNCTION("""COMPUTED_VALUE"""),0.0)</f>
        <v>0</v>
      </c>
      <c r="V139" s="16">
        <f>IFERROR(__xludf.DUMMYFUNCTION("""COMPUTED_VALUE"""),0.0)</f>
        <v>0</v>
      </c>
      <c r="W139" s="16">
        <f>IFERROR(__xludf.DUMMYFUNCTION("""COMPUTED_VALUE"""),0.0)</f>
        <v>0</v>
      </c>
      <c r="X139" s="16" t="b">
        <f>IFERROR(__xludf.DUMMYFUNCTION("""COMPUTED_VALUE"""),FALSE)</f>
        <v>0</v>
      </c>
      <c r="Y139" s="16"/>
      <c r="Z139" s="16"/>
    </row>
    <row r="140">
      <c r="A140" s="16" t="str">
        <f>IFERROR(__xludf.DUMMYFUNCTION("""COMPUTED_VALUE"""),"LexisNexis Risk Solutions Inc.")</f>
        <v>LexisNexis Risk Solutions Inc.</v>
      </c>
      <c r="B140" s="16" t="str">
        <f>IFERROR(__xludf.DUMMYFUNCTION("""COMPUTED_VALUE"""),"Advantage")</f>
        <v>Advantage</v>
      </c>
      <c r="C140" s="26" t="str">
        <f>IFERROR(__xludf.DUMMYFUNCTION("""COMPUTED_VALUE"""),"NAM")</f>
        <v>NAM</v>
      </c>
      <c r="D140" s="16" t="str">
        <f>IFERROR(__xludf.DUMMYFUNCTION("""COMPUTED_VALUE"""),"Tim Kennedy")</f>
        <v>Tim Kennedy</v>
      </c>
      <c r="E140" s="26" t="str">
        <f>IFERROR(__xludf.DUMMYFUNCTION("""COMPUTED_VALUE"""),"United States")</f>
        <v>United States</v>
      </c>
      <c r="F140" s="26" t="str">
        <f>IFERROR(__xludf.DUMMYFUNCTION("""COMPUTED_VALUE"""),"ClaimCenter, PolicyCenter, InsuranceNow")</f>
        <v>ClaimCenter, PolicyCenter, InsuranceNow</v>
      </c>
      <c r="G140" s="20">
        <f>IFERROR(__xludf.DUMMYFUNCTION("""COMPUTED_VALUE"""),41944.0)</f>
        <v>41944</v>
      </c>
      <c r="H140" s="16"/>
      <c r="I140" s="20">
        <f>IFERROR(__xludf.DUMMYFUNCTION("""COMPUTED_VALUE"""),42860.0)</f>
        <v>42860</v>
      </c>
      <c r="J140" s="16"/>
      <c r="K140" s="20">
        <f>IFERROR(__xludf.DUMMYFUNCTION("""COMPUTED_VALUE"""),40589.0)</f>
        <v>40589</v>
      </c>
      <c r="L140" s="16" t="str">
        <f>IFERROR(__xludf.DUMMYFUNCTION("""COMPUTED_VALUE"""),"High")</f>
        <v>High</v>
      </c>
      <c r="M140" s="26" t="str">
        <f>IFERROR(__xludf.DUMMYFUNCTION("""COMPUTED_VALUE"""),"PartnerConnect  Technology")</f>
        <v>PartnerConnect  Technology</v>
      </c>
      <c r="N140" s="16" t="str">
        <f>IFERROR(__xludf.DUMMYFUNCTION("""COMPUTED_VALUE"""),"FY14 - Q2")</f>
        <v>FY14 - Q2</v>
      </c>
      <c r="O140" s="16">
        <f>IFERROR(__xludf.DUMMYFUNCTION("""COMPUTED_VALUE"""),16.0)</f>
        <v>16</v>
      </c>
      <c r="P140" s="16">
        <f>IFERROR(__xludf.DUMMYFUNCTION("""COMPUTED_VALUE"""),16.0)</f>
        <v>16</v>
      </c>
      <c r="Q140" s="16">
        <f>IFERROR(__xludf.DUMMYFUNCTION("""COMPUTED_VALUE"""),429.0)</f>
        <v>429</v>
      </c>
      <c r="R140" s="16">
        <f>IFERROR(__xludf.DUMMYFUNCTION("""COMPUTED_VALUE"""),231.0)</f>
        <v>231</v>
      </c>
      <c r="S140" s="16">
        <f>IFERROR(__xludf.DUMMYFUNCTION("""COMPUTED_VALUE"""),126407.0)</f>
        <v>126407</v>
      </c>
      <c r="T140" s="16">
        <f>IFERROR(__xludf.DUMMYFUNCTION("""COMPUTED_VALUE"""),77.0)</f>
        <v>77</v>
      </c>
      <c r="U140" s="16">
        <f>IFERROR(__xludf.DUMMYFUNCTION("""COMPUTED_VALUE"""),231.0)</f>
        <v>231</v>
      </c>
      <c r="V140" s="16">
        <f>IFERROR(__xludf.DUMMYFUNCTION("""COMPUTED_VALUE"""),231.0)</f>
        <v>231</v>
      </c>
      <c r="W140" s="16">
        <f>IFERROR(__xludf.DUMMYFUNCTION("""COMPUTED_VALUE"""),0.0)</f>
        <v>0</v>
      </c>
      <c r="X140" s="16" t="b">
        <f>IFERROR(__xludf.DUMMYFUNCTION("""COMPUTED_VALUE"""),TRUE)</f>
        <v>1</v>
      </c>
      <c r="Y140" s="16"/>
      <c r="Z140" s="16"/>
    </row>
    <row r="141">
      <c r="A141" s="16" t="str">
        <f>IFERROR(__xludf.DUMMYFUNCTION("""COMPUTED_VALUE"""),"Liberate")</f>
        <v>Liberate</v>
      </c>
      <c r="B141" s="16" t="str">
        <f>IFERROR(__xludf.DUMMYFUNCTION("""COMPUTED_VALUE"""),"Growth")</f>
        <v>Growth</v>
      </c>
      <c r="C141" s="26" t="str">
        <f>IFERROR(__xludf.DUMMYFUNCTION("""COMPUTED_VALUE"""),"NAM")</f>
        <v>NAM</v>
      </c>
      <c r="D141" s="16" t="str">
        <f>IFERROR(__xludf.DUMMYFUNCTION("""COMPUTED_VALUE"""),"Aaron Shaw")</f>
        <v>Aaron Shaw</v>
      </c>
      <c r="E141" s="26" t="str">
        <f>IFERROR(__xludf.DUMMYFUNCTION("""COMPUTED_VALUE"""),"United States")</f>
        <v>United States</v>
      </c>
      <c r="F141" s="26" t="str">
        <f>IFERROR(__xludf.DUMMYFUNCTION("""COMPUTED_VALUE"""),"ClaimCenter")</f>
        <v>ClaimCenter</v>
      </c>
      <c r="G141" s="20">
        <f>IFERROR(__xludf.DUMMYFUNCTION("""COMPUTED_VALUE"""),45590.0)</f>
        <v>45590</v>
      </c>
      <c r="H141" s="20"/>
      <c r="I141" s="20">
        <f>IFERROR(__xludf.DUMMYFUNCTION("""COMPUTED_VALUE"""),45590.0)</f>
        <v>45590</v>
      </c>
      <c r="J141" s="16"/>
      <c r="K141" s="20"/>
      <c r="L141" s="16" t="str">
        <f>IFERROR(__xludf.DUMMYFUNCTION("""COMPUTED_VALUE"""),"Medium")</f>
        <v>Medium</v>
      </c>
      <c r="M141" s="26" t="str">
        <f>IFERROR(__xludf.DUMMYFUNCTION("""COMPUTED_VALUE"""),"PartnerConnect  Technology")</f>
        <v>PartnerConnect  Technology</v>
      </c>
      <c r="N141" s="16" t="str">
        <f>IFERROR(__xludf.DUMMYFUNCTION("""COMPUTED_VALUE"""),"FY24 - Q1")</f>
        <v>FY24 - Q1</v>
      </c>
      <c r="O141" s="16">
        <f>IFERROR(__xludf.DUMMYFUNCTION("""COMPUTED_VALUE"""),1.0)</f>
        <v>1</v>
      </c>
      <c r="P141" s="16">
        <f>IFERROR(__xludf.DUMMYFUNCTION("""COMPUTED_VALUE"""),1.0)</f>
        <v>1</v>
      </c>
      <c r="Q141" s="16">
        <f>IFERROR(__xludf.DUMMYFUNCTION("""COMPUTED_VALUE"""),0.0)</f>
        <v>0</v>
      </c>
      <c r="R141" s="16">
        <f>IFERROR(__xludf.DUMMYFUNCTION("""COMPUTED_VALUE"""),0.0)</f>
        <v>0</v>
      </c>
      <c r="S141" s="16">
        <f>IFERROR(__xludf.DUMMYFUNCTION("""COMPUTED_VALUE"""),0.0)</f>
        <v>0</v>
      </c>
      <c r="T141" s="16">
        <f>IFERROR(__xludf.DUMMYFUNCTION("""COMPUTED_VALUE"""),0.0)</f>
        <v>0</v>
      </c>
      <c r="U141" s="16">
        <f>IFERROR(__xludf.DUMMYFUNCTION("""COMPUTED_VALUE"""),0.0)</f>
        <v>0</v>
      </c>
      <c r="V141" s="16">
        <f>IFERROR(__xludf.DUMMYFUNCTION("""COMPUTED_VALUE"""),0.0)</f>
        <v>0</v>
      </c>
      <c r="W141" s="16">
        <f>IFERROR(__xludf.DUMMYFUNCTION("""COMPUTED_VALUE"""),0.0)</f>
        <v>0</v>
      </c>
      <c r="X141" s="16" t="b">
        <f>IFERROR(__xludf.DUMMYFUNCTION("""COMPUTED_VALUE"""),FALSE)</f>
        <v>0</v>
      </c>
      <c r="Y141" s="16"/>
      <c r="Z141" s="16"/>
    </row>
    <row r="142">
      <c r="A142" s="16" t="str">
        <f>IFERROR(__xludf.DUMMYFUNCTION("""COMPUTED_VALUE"""),"Locii Pty Ltd (Trading as Truuth)")</f>
        <v>Locii Pty Ltd (Trading as Truuth)</v>
      </c>
      <c r="B142" s="16" t="str">
        <f>IFERROR(__xludf.DUMMYFUNCTION("""COMPUTED_VALUE"""),"Growth")</f>
        <v>Growth</v>
      </c>
      <c r="C142" s="26" t="str">
        <f>IFERROR(__xludf.DUMMYFUNCTION("""COMPUTED_VALUE"""),"APAC, NAM")</f>
        <v>APAC, NAM</v>
      </c>
      <c r="D142" s="16" t="str">
        <f>IFERROR(__xludf.DUMMYFUNCTION("""COMPUTED_VALUE"""),"Shannon Spies")</f>
        <v>Shannon Spies</v>
      </c>
      <c r="E142" s="16"/>
      <c r="F142" s="26" t="str">
        <f>IFERROR(__xludf.DUMMYFUNCTION("""COMPUTED_VALUE"""),"ClaimCenter")</f>
        <v>ClaimCenter</v>
      </c>
      <c r="G142" s="13">
        <f>IFERROR(__xludf.DUMMYFUNCTION("""COMPUTED_VALUE"""),45748.0)</f>
        <v>45748</v>
      </c>
      <c r="H142" s="16"/>
      <c r="I142" s="13">
        <f>IFERROR(__xludf.DUMMYFUNCTION("""COMPUTED_VALUE"""),45748.0)</f>
        <v>45748</v>
      </c>
      <c r="J142" s="16"/>
      <c r="K142" s="16"/>
      <c r="L142" s="16" t="str">
        <f>IFERROR(__xludf.DUMMYFUNCTION("""COMPUTED_VALUE"""),"Medium")</f>
        <v>Medium</v>
      </c>
      <c r="M142" s="26" t="str">
        <f>IFERROR(__xludf.DUMMYFUNCTION("""COMPUTED_VALUE"""),"PartnerConnect  Technology")</f>
        <v>PartnerConnect  Technology</v>
      </c>
      <c r="N142" s="16" t="str">
        <f>IFERROR(__xludf.DUMMYFUNCTION("""COMPUTED_VALUE"""),"FY25 - Q3")</f>
        <v>FY25 - Q3</v>
      </c>
      <c r="O142" s="16">
        <f>IFERROR(__xludf.DUMMYFUNCTION("""COMPUTED_VALUE"""),0.0)</f>
        <v>0</v>
      </c>
      <c r="P142" s="16">
        <f>IFERROR(__xludf.DUMMYFUNCTION("""COMPUTED_VALUE"""),0.0)</f>
        <v>0</v>
      </c>
      <c r="Q142" s="16">
        <f>IFERROR(__xludf.DUMMYFUNCTION("""COMPUTED_VALUE"""),0.0)</f>
        <v>0</v>
      </c>
      <c r="R142" s="16">
        <f>IFERROR(__xludf.DUMMYFUNCTION("""COMPUTED_VALUE"""),0.0)</f>
        <v>0</v>
      </c>
      <c r="S142" s="16">
        <f>IFERROR(__xludf.DUMMYFUNCTION("""COMPUTED_VALUE"""),0.0)</f>
        <v>0</v>
      </c>
      <c r="T142" s="16">
        <f>IFERROR(__xludf.DUMMYFUNCTION("""COMPUTED_VALUE"""),0.0)</f>
        <v>0</v>
      </c>
      <c r="U142" s="16">
        <f>IFERROR(__xludf.DUMMYFUNCTION("""COMPUTED_VALUE"""),0.0)</f>
        <v>0</v>
      </c>
      <c r="V142" s="16">
        <f>IFERROR(__xludf.DUMMYFUNCTION("""COMPUTED_VALUE"""),0.0)</f>
        <v>0</v>
      </c>
      <c r="W142" s="16">
        <f>IFERROR(__xludf.DUMMYFUNCTION("""COMPUTED_VALUE"""),0.0)</f>
        <v>0</v>
      </c>
      <c r="X142" s="16" t="b">
        <f>IFERROR(__xludf.DUMMYFUNCTION("""COMPUTED_VALUE"""),FALSE)</f>
        <v>0</v>
      </c>
      <c r="Y142" s="16"/>
      <c r="Z142" s="16"/>
    </row>
    <row r="143">
      <c r="A143" s="16" t="str">
        <f>IFERROR(__xludf.DUMMYFUNCTION("""COMPUTED_VALUE"""),"LossExpress")</f>
        <v>LossExpress</v>
      </c>
      <c r="B143" s="16" t="str">
        <f>IFERROR(__xludf.DUMMYFUNCTION("""COMPUTED_VALUE"""),"Growth")</f>
        <v>Growth</v>
      </c>
      <c r="C143" s="26" t="str">
        <f>IFERROR(__xludf.DUMMYFUNCTION("""COMPUTED_VALUE"""),"NAM")</f>
        <v>NAM</v>
      </c>
      <c r="D143" s="16" t="str">
        <f>IFERROR(__xludf.DUMMYFUNCTION("""COMPUTED_VALUE"""),"Aaron Shaw")</f>
        <v>Aaron Shaw</v>
      </c>
      <c r="E143" s="16" t="str">
        <f>IFERROR(__xludf.DUMMYFUNCTION("""COMPUTED_VALUE"""),"Canada,United States")</f>
        <v>Canada,United States</v>
      </c>
      <c r="F143" s="26" t="str">
        <f>IFERROR(__xludf.DUMMYFUNCTION("""COMPUTED_VALUE"""),"ClaimCenter")</f>
        <v>ClaimCenter</v>
      </c>
      <c r="G143" s="20">
        <f>IFERROR(__xludf.DUMMYFUNCTION("""COMPUTED_VALUE"""),43770.0)</f>
        <v>43770</v>
      </c>
      <c r="H143" s="13">
        <f>IFERROR(__xludf.DUMMYFUNCTION("""COMPUTED_VALUE"""),44501.0)</f>
        <v>44501</v>
      </c>
      <c r="I143" s="20">
        <f>IFERROR(__xludf.DUMMYFUNCTION("""COMPUTED_VALUE"""),43770.0)</f>
        <v>43770</v>
      </c>
      <c r="J143" s="16"/>
      <c r="K143" s="20">
        <f>IFERROR(__xludf.DUMMYFUNCTION("""COMPUTED_VALUE"""),44036.0)</f>
        <v>44036</v>
      </c>
      <c r="L143" s="16" t="str">
        <f>IFERROR(__xludf.DUMMYFUNCTION("""COMPUTED_VALUE"""),"Medium")</f>
        <v>Medium</v>
      </c>
      <c r="M143" s="26" t="str">
        <f>IFERROR(__xludf.DUMMYFUNCTION("""COMPUTED_VALUE"""),"PartnerConnect  Technology")</f>
        <v>PartnerConnect  Technology</v>
      </c>
      <c r="N143" s="16" t="str">
        <f>IFERROR(__xludf.DUMMYFUNCTION("""COMPUTED_VALUE"""),"FY19 - Q2")</f>
        <v>FY19 - Q2</v>
      </c>
      <c r="O143" s="16">
        <f>IFERROR(__xludf.DUMMYFUNCTION("""COMPUTED_VALUE"""),0.0)</f>
        <v>0</v>
      </c>
      <c r="P143" s="16">
        <f>IFERROR(__xludf.DUMMYFUNCTION("""COMPUTED_VALUE"""),0.0)</f>
        <v>0</v>
      </c>
      <c r="Q143" s="16">
        <f>IFERROR(__xludf.DUMMYFUNCTION("""COMPUTED_VALUE"""),0.0)</f>
        <v>0</v>
      </c>
      <c r="R143" s="16">
        <f>IFERROR(__xludf.DUMMYFUNCTION("""COMPUTED_VALUE"""),0.0)</f>
        <v>0</v>
      </c>
      <c r="S143" s="16">
        <f>IFERROR(__xludf.DUMMYFUNCTION("""COMPUTED_VALUE"""),0.0)</f>
        <v>0</v>
      </c>
      <c r="T143" s="16">
        <f>IFERROR(__xludf.DUMMYFUNCTION("""COMPUTED_VALUE"""),0.0)</f>
        <v>0</v>
      </c>
      <c r="U143" s="16">
        <f>IFERROR(__xludf.DUMMYFUNCTION("""COMPUTED_VALUE"""),0.0)</f>
        <v>0</v>
      </c>
      <c r="V143" s="16">
        <f>IFERROR(__xludf.DUMMYFUNCTION("""COMPUTED_VALUE"""),0.0)</f>
        <v>0</v>
      </c>
      <c r="W143" s="16">
        <f>IFERROR(__xludf.DUMMYFUNCTION("""COMPUTED_VALUE"""),9.0)</f>
        <v>9</v>
      </c>
      <c r="X143" s="16" t="b">
        <f>IFERROR(__xludf.DUMMYFUNCTION("""COMPUTED_VALUE"""),FALSE)</f>
        <v>0</v>
      </c>
      <c r="Y143" s="16"/>
      <c r="Z143" s="16"/>
    </row>
    <row r="144">
      <c r="A144" s="16" t="str">
        <f>IFERROR(__xludf.DUMMYFUNCTION("""COMPUTED_VALUE"""),"Majesco Loss Control")</f>
        <v>Majesco Loss Control</v>
      </c>
      <c r="B144" s="16" t="str">
        <f>IFERROR(__xludf.DUMMYFUNCTION("""COMPUTED_VALUE"""),"Growth")</f>
        <v>Growth</v>
      </c>
      <c r="C144" s="26" t="str">
        <f>IFERROR(__xludf.DUMMYFUNCTION("""COMPUTED_VALUE"""),"EMEA, NAM")</f>
        <v>EMEA, NAM</v>
      </c>
      <c r="D144" s="16" t="str">
        <f>IFERROR(__xludf.DUMMYFUNCTION("""COMPUTED_VALUE"""),"Aaron Shaw")</f>
        <v>Aaron Shaw</v>
      </c>
      <c r="E144" s="26" t="str">
        <f>IFERROR(__xludf.DUMMYFUNCTION("""COMPUTED_VALUE"""),"United States")</f>
        <v>United States</v>
      </c>
      <c r="F144" s="26" t="str">
        <f>IFERROR(__xludf.DUMMYFUNCTION("""COMPUTED_VALUE"""),"ClaimCenter, PolicyCenter")</f>
        <v>ClaimCenter, PolicyCenter</v>
      </c>
      <c r="G144" s="20">
        <f>IFERROR(__xludf.DUMMYFUNCTION("""COMPUTED_VALUE"""),42374.0)</f>
        <v>42374</v>
      </c>
      <c r="H144" s="16"/>
      <c r="I144" s="13">
        <f>IFERROR(__xludf.DUMMYFUNCTION("""COMPUTED_VALUE"""),42524.0)</f>
        <v>42524</v>
      </c>
      <c r="J144" s="16"/>
      <c r="K144" s="13">
        <f>IFERROR(__xludf.DUMMYFUNCTION("""COMPUTED_VALUE"""),43033.0)</f>
        <v>43033</v>
      </c>
      <c r="L144" s="16" t="str">
        <f>IFERROR(__xludf.DUMMYFUNCTION("""COMPUTED_VALUE"""),"Medium")</f>
        <v>Medium</v>
      </c>
      <c r="M144" s="26" t="str">
        <f>IFERROR(__xludf.DUMMYFUNCTION("""COMPUTED_VALUE"""),"PartnerConnect  Technology")</f>
        <v>PartnerConnect  Technology</v>
      </c>
      <c r="N144" s="16" t="str">
        <f>IFERROR(__xludf.DUMMYFUNCTION("""COMPUTED_VALUE"""),"FY16 - Q2")</f>
        <v>FY16 - Q2</v>
      </c>
      <c r="O144" s="16">
        <f>IFERROR(__xludf.DUMMYFUNCTION("""COMPUTED_VALUE"""),2.0)</f>
        <v>2</v>
      </c>
      <c r="P144" s="16">
        <f>IFERROR(__xludf.DUMMYFUNCTION("""COMPUTED_VALUE"""),2.0)</f>
        <v>2</v>
      </c>
      <c r="Q144" s="16">
        <f>IFERROR(__xludf.DUMMYFUNCTION("""COMPUTED_VALUE"""),29.0)</f>
        <v>29</v>
      </c>
      <c r="R144" s="16">
        <f>IFERROR(__xludf.DUMMYFUNCTION("""COMPUTED_VALUE"""),11.0)</f>
        <v>11</v>
      </c>
      <c r="S144" s="16">
        <f>IFERROR(__xludf.DUMMYFUNCTION("""COMPUTED_VALUE"""),43673.0)</f>
        <v>43673</v>
      </c>
      <c r="T144" s="16">
        <f>IFERROR(__xludf.DUMMYFUNCTION("""COMPUTED_VALUE"""),16.0)</f>
        <v>16</v>
      </c>
      <c r="U144" s="16">
        <f>IFERROR(__xludf.DUMMYFUNCTION("""COMPUTED_VALUE"""),0.0)</f>
        <v>0</v>
      </c>
      <c r="V144" s="16">
        <f>IFERROR(__xludf.DUMMYFUNCTION("""COMPUTED_VALUE"""),0.0)</f>
        <v>0</v>
      </c>
      <c r="W144" s="16">
        <f>IFERROR(__xludf.DUMMYFUNCTION("""COMPUTED_VALUE"""),0.0)</f>
        <v>0</v>
      </c>
      <c r="X144" s="16" t="b">
        <f>IFERROR(__xludf.DUMMYFUNCTION("""COMPUTED_VALUE"""),FALSE)</f>
        <v>0</v>
      </c>
      <c r="Y144" s="16"/>
      <c r="Z144" s="16"/>
    </row>
    <row r="145">
      <c r="A145" s="16" t="str">
        <f>IFERROR(__xludf.DUMMYFUNCTION("""COMPUTED_VALUE"""),"Medallia")</f>
        <v>Medallia</v>
      </c>
      <c r="B145" s="16" t="str">
        <f>IFERROR(__xludf.DUMMYFUNCTION("""COMPUTED_VALUE"""),"Growth")</f>
        <v>Growth</v>
      </c>
      <c r="C145" s="26" t="str">
        <f>IFERROR(__xludf.DUMMYFUNCTION("""COMPUTED_VALUE"""),"APAC, EMEA, NAM")</f>
        <v>APAC, EMEA, NAM</v>
      </c>
      <c r="D145" s="16" t="str">
        <f>IFERROR(__xludf.DUMMYFUNCTION("""COMPUTED_VALUE"""),"Aaron Shaw")</f>
        <v>Aaron Shaw</v>
      </c>
      <c r="E145" s="16" t="str">
        <f>IFERROR(__xludf.DUMMYFUNCTION("""COMPUTED_VALUE"""),"Australia New Zealand,Austria,Benelux,Canada,Croatia,Czech Republic,Denmark,Finland,France,Germany,Hungary,India,Ireland,Israel,Italy,Japan,Norway,Poland,Russia,Slovakia,South America,Spain,Sweden,Switzerland,Turkey,UK,United States")</f>
        <v>Australia New Zealand,Austria,Benelux,Canada,Croatia,Czech Republic,Denmark,Finland,France,Germany,Hungary,India,Ireland,Israel,Italy,Japan,Norway,Poland,Russia,Slovakia,South America,Spain,Sweden,Switzerland,Turkey,UK,United States</v>
      </c>
      <c r="F145" s="26" t="str">
        <f>IFERROR(__xludf.DUMMYFUNCTION("""COMPUTED_VALUE"""),"ClaimCenter")</f>
        <v>ClaimCenter</v>
      </c>
      <c r="G145" s="20">
        <f>IFERROR(__xludf.DUMMYFUNCTION("""COMPUTED_VALUE"""),43966.0)</f>
        <v>43966</v>
      </c>
      <c r="H145" s="20">
        <f>IFERROR(__xludf.DUMMYFUNCTION("""COMPUTED_VALUE"""),44696.0)</f>
        <v>44696</v>
      </c>
      <c r="I145" s="13">
        <f>IFERROR(__xludf.DUMMYFUNCTION("""COMPUTED_VALUE"""),43966.0)</f>
        <v>43966</v>
      </c>
      <c r="J145" s="16"/>
      <c r="K145" s="13">
        <f>IFERROR(__xludf.DUMMYFUNCTION("""COMPUTED_VALUE"""),44537.0)</f>
        <v>44537</v>
      </c>
      <c r="L145" s="16" t="str">
        <f>IFERROR(__xludf.DUMMYFUNCTION("""COMPUTED_VALUE"""),"Low")</f>
        <v>Low</v>
      </c>
      <c r="M145" s="26" t="str">
        <f>IFERROR(__xludf.DUMMYFUNCTION("""COMPUTED_VALUE"""),"PartnerConnect  Technology")</f>
        <v>PartnerConnect  Technology</v>
      </c>
      <c r="N145" s="16" t="str">
        <f>IFERROR(__xludf.DUMMYFUNCTION("""COMPUTED_VALUE"""),"FY20 - Q3")</f>
        <v>FY20 - Q3</v>
      </c>
      <c r="O145" s="16">
        <f>IFERROR(__xludf.DUMMYFUNCTION("""COMPUTED_VALUE"""),1.0)</f>
        <v>1</v>
      </c>
      <c r="P145" s="16">
        <f>IFERROR(__xludf.DUMMYFUNCTION("""COMPUTED_VALUE"""),1.0)</f>
        <v>1</v>
      </c>
      <c r="Q145" s="16">
        <f>IFERROR(__xludf.DUMMYFUNCTION("""COMPUTED_VALUE"""),21.0)</f>
        <v>21</v>
      </c>
      <c r="R145" s="16">
        <f>IFERROR(__xludf.DUMMYFUNCTION("""COMPUTED_VALUE"""),4.0)</f>
        <v>4</v>
      </c>
      <c r="S145" s="16">
        <f>IFERROR(__xludf.DUMMYFUNCTION("""COMPUTED_VALUE"""),20744.0)</f>
        <v>20744</v>
      </c>
      <c r="T145" s="16">
        <f>IFERROR(__xludf.DUMMYFUNCTION("""COMPUTED_VALUE"""),13.0)</f>
        <v>13</v>
      </c>
      <c r="U145" s="16">
        <f>IFERROR(__xludf.DUMMYFUNCTION("""COMPUTED_VALUE"""),0.0)</f>
        <v>0</v>
      </c>
      <c r="V145" s="16">
        <f>IFERROR(__xludf.DUMMYFUNCTION("""COMPUTED_VALUE"""),0.0)</f>
        <v>0</v>
      </c>
      <c r="W145" s="16">
        <f>IFERROR(__xludf.DUMMYFUNCTION("""COMPUTED_VALUE"""),0.0)</f>
        <v>0</v>
      </c>
      <c r="X145" s="16" t="b">
        <f>IFERROR(__xludf.DUMMYFUNCTION("""COMPUTED_VALUE"""),FALSE)</f>
        <v>0</v>
      </c>
      <c r="Y145" s="16"/>
      <c r="Z145" s="16"/>
    </row>
    <row r="146">
      <c r="A146" s="16" t="str">
        <f>IFERROR(__xludf.DUMMYFUNCTION("""COMPUTED_VALUE"""),"Microsoft")</f>
        <v>Microsoft</v>
      </c>
      <c r="B146" s="16" t="str">
        <f>IFERROR(__xludf.DUMMYFUNCTION("""COMPUTED_VALUE"""),"Advantage")</f>
        <v>Advantage</v>
      </c>
      <c r="C146" s="26" t="str">
        <f>IFERROR(__xludf.DUMMYFUNCTION("""COMPUTED_VALUE"""),"APAC, EMEA, NAM, LatAm")</f>
        <v>APAC, EMEA, NAM, LatAm</v>
      </c>
      <c r="D146" s="16" t="str">
        <f>IFERROR(__xludf.DUMMYFUNCTION("""COMPUTED_VALUE"""),"Fatima Aoulagha-Bannou")</f>
        <v>Fatima Aoulagha-Bannou</v>
      </c>
      <c r="E146" s="26"/>
      <c r="F146" s="26" t="str">
        <f>IFERROR(__xludf.DUMMYFUNCTION("""COMPUTED_VALUE"""),"ClaimCenter, PolicyCenter, DataHub, Digital Experiences")</f>
        <v>ClaimCenter, PolicyCenter, DataHub, Digital Experiences</v>
      </c>
      <c r="G146" s="20"/>
      <c r="H146" s="20"/>
      <c r="I146" s="20"/>
      <c r="J146" s="16"/>
      <c r="K146" s="20"/>
      <c r="L146" s="16" t="str">
        <f>IFERROR(__xludf.DUMMYFUNCTION("""COMPUTED_VALUE"""),"Medium")</f>
        <v>Medium</v>
      </c>
      <c r="M146" s="26" t="str">
        <f>IFERROR(__xludf.DUMMYFUNCTION("""COMPUTED_VALUE"""),"PartnerConnect  Technology")</f>
        <v>PartnerConnect  Technology</v>
      </c>
      <c r="N146" s="16"/>
      <c r="O146" s="16">
        <f>IFERROR(__xludf.DUMMYFUNCTION("""COMPUTED_VALUE"""),0.0)</f>
        <v>0</v>
      </c>
      <c r="P146" s="16">
        <f>IFERROR(__xludf.DUMMYFUNCTION("""COMPUTED_VALUE"""),0.0)</f>
        <v>0</v>
      </c>
      <c r="Q146" s="16">
        <f>IFERROR(__xludf.DUMMYFUNCTION("""COMPUTED_VALUE"""),0.0)</f>
        <v>0</v>
      </c>
      <c r="R146" s="16">
        <f>IFERROR(__xludf.DUMMYFUNCTION("""COMPUTED_VALUE"""),0.0)</f>
        <v>0</v>
      </c>
      <c r="S146" s="16">
        <f>IFERROR(__xludf.DUMMYFUNCTION("""COMPUTED_VALUE"""),0.0)</f>
        <v>0</v>
      </c>
      <c r="T146" s="16">
        <f>IFERROR(__xludf.DUMMYFUNCTION("""COMPUTED_VALUE"""),0.0)</f>
        <v>0</v>
      </c>
      <c r="U146" s="16">
        <f>IFERROR(__xludf.DUMMYFUNCTION("""COMPUTED_VALUE"""),0.0)</f>
        <v>0</v>
      </c>
      <c r="V146" s="16">
        <f>IFERROR(__xludf.DUMMYFUNCTION("""COMPUTED_VALUE"""),0.0)</f>
        <v>0</v>
      </c>
      <c r="W146" s="16">
        <f>IFERROR(__xludf.DUMMYFUNCTION("""COMPUTED_VALUE"""),0.0)</f>
        <v>0</v>
      </c>
      <c r="X146" s="16" t="b">
        <f>IFERROR(__xludf.DUMMYFUNCTION("""COMPUTED_VALUE"""),FALSE)</f>
        <v>0</v>
      </c>
      <c r="Y146" s="16"/>
      <c r="Z146" s="16"/>
    </row>
    <row r="147">
      <c r="A147" s="16" t="str">
        <f>IFERROR(__xludf.DUMMYFUNCTION("""COMPUTED_VALUE"""),"Mitchell International, Inc.")</f>
        <v>Mitchell International, Inc.</v>
      </c>
      <c r="B147" s="16" t="str">
        <f>IFERROR(__xludf.DUMMYFUNCTION("""COMPUTED_VALUE"""),"Premier")</f>
        <v>Premier</v>
      </c>
      <c r="C147" s="26" t="str">
        <f>IFERROR(__xludf.DUMMYFUNCTION("""COMPUTED_VALUE"""),"NAM")</f>
        <v>NAM</v>
      </c>
      <c r="D147" s="16" t="str">
        <f>IFERROR(__xludf.DUMMYFUNCTION("""COMPUTED_VALUE"""),"Tim Kennedy")</f>
        <v>Tim Kennedy</v>
      </c>
      <c r="E147" s="26"/>
      <c r="F147" s="26" t="str">
        <f>IFERROR(__xludf.DUMMYFUNCTION("""COMPUTED_VALUE"""),"ClaimCenter")</f>
        <v>ClaimCenter</v>
      </c>
      <c r="G147" s="20">
        <f>IFERROR(__xludf.DUMMYFUNCTION("""COMPUTED_VALUE"""),41985.0)</f>
        <v>41985</v>
      </c>
      <c r="H147" s="16"/>
      <c r="I147" s="20">
        <f>IFERROR(__xludf.DUMMYFUNCTION("""COMPUTED_VALUE"""),42842.0)</f>
        <v>42842</v>
      </c>
      <c r="J147" s="16"/>
      <c r="K147" s="13">
        <f>IFERROR(__xludf.DUMMYFUNCTION("""COMPUTED_VALUE"""),41866.0)</f>
        <v>41866</v>
      </c>
      <c r="L147" s="16" t="str">
        <f>IFERROR(__xludf.DUMMYFUNCTION("""COMPUTED_VALUE"""),"High")</f>
        <v>High</v>
      </c>
      <c r="M147" s="26" t="str">
        <f>IFERROR(__xludf.DUMMYFUNCTION("""COMPUTED_VALUE"""),"PartnerConnect  Technology")</f>
        <v>PartnerConnect  Technology</v>
      </c>
      <c r="N147" s="16" t="str">
        <f>IFERROR(__xludf.DUMMYFUNCTION("""COMPUTED_VALUE"""),"FY14 - Q2")</f>
        <v>FY14 - Q2</v>
      </c>
      <c r="O147" s="16">
        <f>IFERROR(__xludf.DUMMYFUNCTION("""COMPUTED_VALUE"""),3.0)</f>
        <v>3</v>
      </c>
      <c r="P147" s="16">
        <f>IFERROR(__xludf.DUMMYFUNCTION("""COMPUTED_VALUE"""),3.0)</f>
        <v>3</v>
      </c>
      <c r="Q147" s="16">
        <f>IFERROR(__xludf.DUMMYFUNCTION("""COMPUTED_VALUE"""),154.0)</f>
        <v>154</v>
      </c>
      <c r="R147" s="16">
        <f>IFERROR(__xludf.DUMMYFUNCTION("""COMPUTED_VALUE"""),126.0)</f>
        <v>126</v>
      </c>
      <c r="S147" s="16">
        <f>IFERROR(__xludf.DUMMYFUNCTION("""COMPUTED_VALUE"""),3234.0)</f>
        <v>3234</v>
      </c>
      <c r="T147" s="16">
        <f>IFERROR(__xludf.DUMMYFUNCTION("""COMPUTED_VALUE"""),53.0)</f>
        <v>53</v>
      </c>
      <c r="U147" s="16">
        <f>IFERROR(__xludf.DUMMYFUNCTION("""COMPUTED_VALUE"""),81.0)</f>
        <v>81</v>
      </c>
      <c r="V147" s="16">
        <f>IFERROR(__xludf.DUMMYFUNCTION("""COMPUTED_VALUE"""),81.0)</f>
        <v>81</v>
      </c>
      <c r="W147" s="16">
        <f>IFERROR(__xludf.DUMMYFUNCTION("""COMPUTED_VALUE"""),8.0)</f>
        <v>8</v>
      </c>
      <c r="X147" s="16" t="b">
        <f>IFERROR(__xludf.DUMMYFUNCTION("""COMPUTED_VALUE"""),TRUE)</f>
        <v>1</v>
      </c>
      <c r="Y147" s="16"/>
      <c r="Z147" s="16"/>
    </row>
    <row r="148">
      <c r="A148" s="16" t="str">
        <f>IFERROR(__xludf.DUMMYFUNCTION("""COMPUTED_VALUE"""),"Monoova Payments Pty Ltd")</f>
        <v>Monoova Payments Pty Ltd</v>
      </c>
      <c r="B148" s="16" t="str">
        <f>IFERROR(__xludf.DUMMYFUNCTION("""COMPUTED_VALUE"""),"Growth")</f>
        <v>Growth</v>
      </c>
      <c r="C148" s="26" t="str">
        <f>IFERROR(__xludf.DUMMYFUNCTION("""COMPUTED_VALUE"""),"APAC")</f>
        <v>APAC</v>
      </c>
      <c r="D148" s="16" t="str">
        <f>IFERROR(__xludf.DUMMYFUNCTION("""COMPUTED_VALUE"""),"Ketaki Padhye")</f>
        <v>Ketaki Padhye</v>
      </c>
      <c r="E148" s="26" t="str">
        <f>IFERROR(__xludf.DUMMYFUNCTION("""COMPUTED_VALUE"""),"Australia New Zealand")</f>
        <v>Australia New Zealand</v>
      </c>
      <c r="F148" s="26" t="str">
        <f>IFERROR(__xludf.DUMMYFUNCTION("""COMPUTED_VALUE"""),"ClaimCenter")</f>
        <v>ClaimCenter</v>
      </c>
      <c r="G148" s="20">
        <f>IFERROR(__xludf.DUMMYFUNCTION("""COMPUTED_VALUE"""),45425.0)</f>
        <v>45425</v>
      </c>
      <c r="H148" s="16"/>
      <c r="I148" s="20"/>
      <c r="J148" s="16"/>
      <c r="K148" s="20"/>
      <c r="L148" s="16" t="str">
        <f>IFERROR(__xludf.DUMMYFUNCTION("""COMPUTED_VALUE"""),"Medium")</f>
        <v>Medium</v>
      </c>
      <c r="M148" s="26" t="str">
        <f>IFERROR(__xludf.DUMMYFUNCTION("""COMPUTED_VALUE"""),"PartnerConnect  Technology")</f>
        <v>PartnerConnect  Technology</v>
      </c>
      <c r="N148" s="16" t="str">
        <f>IFERROR(__xludf.DUMMYFUNCTION("""COMPUTED_VALUE"""),"FY24 - Q3")</f>
        <v>FY24 - Q3</v>
      </c>
      <c r="O148" s="16">
        <f>IFERROR(__xludf.DUMMYFUNCTION("""COMPUTED_VALUE"""),0.0)</f>
        <v>0</v>
      </c>
      <c r="P148" s="16">
        <f>IFERROR(__xludf.DUMMYFUNCTION("""COMPUTED_VALUE"""),0.0)</f>
        <v>0</v>
      </c>
      <c r="Q148" s="16">
        <f>IFERROR(__xludf.DUMMYFUNCTION("""COMPUTED_VALUE"""),0.0)</f>
        <v>0</v>
      </c>
      <c r="R148" s="16">
        <f>IFERROR(__xludf.DUMMYFUNCTION("""COMPUTED_VALUE"""),0.0)</f>
        <v>0</v>
      </c>
      <c r="S148" s="16">
        <f>IFERROR(__xludf.DUMMYFUNCTION("""COMPUTED_VALUE"""),0.0)</f>
        <v>0</v>
      </c>
      <c r="T148" s="16">
        <f>IFERROR(__xludf.DUMMYFUNCTION("""COMPUTED_VALUE"""),0.0)</f>
        <v>0</v>
      </c>
      <c r="U148" s="16">
        <f>IFERROR(__xludf.DUMMYFUNCTION("""COMPUTED_VALUE"""),0.0)</f>
        <v>0</v>
      </c>
      <c r="V148" s="16">
        <f>IFERROR(__xludf.DUMMYFUNCTION("""COMPUTED_VALUE"""),0.0)</f>
        <v>0</v>
      </c>
      <c r="W148" s="16">
        <f>IFERROR(__xludf.DUMMYFUNCTION("""COMPUTED_VALUE"""),0.0)</f>
        <v>0</v>
      </c>
      <c r="X148" s="16" t="b">
        <f>IFERROR(__xludf.DUMMYFUNCTION("""COMPUTED_VALUE"""),FALSE)</f>
        <v>0</v>
      </c>
      <c r="Y148" s="16"/>
      <c r="Z148" s="16"/>
    </row>
    <row r="149">
      <c r="A149" s="16" t="str">
        <f>IFERROR(__xludf.DUMMYFUNCTION("""COMPUTED_VALUE"""),"MOTER Technologies")</f>
        <v>MOTER Technologies</v>
      </c>
      <c r="B149" s="16" t="str">
        <f>IFERROR(__xludf.DUMMYFUNCTION("""COMPUTED_VALUE"""),"Growth")</f>
        <v>Growth</v>
      </c>
      <c r="C149" s="26" t="str">
        <f>IFERROR(__xludf.DUMMYFUNCTION("""COMPUTED_VALUE"""),"NAM")</f>
        <v>NAM</v>
      </c>
      <c r="D149" s="16" t="str">
        <f>IFERROR(__xludf.DUMMYFUNCTION("""COMPUTED_VALUE"""),"Ketaki Padhye")</f>
        <v>Ketaki Padhye</v>
      </c>
      <c r="E149" s="26"/>
      <c r="F149" s="26" t="str">
        <f>IFERROR(__xludf.DUMMYFUNCTION("""COMPUTED_VALUE"""),"ClaimCenter, PolicyCenter")</f>
        <v>ClaimCenter, PolicyCenter</v>
      </c>
      <c r="G149" s="20">
        <f>IFERROR(__xludf.DUMMYFUNCTION("""COMPUTED_VALUE"""),45386.0)</f>
        <v>45386</v>
      </c>
      <c r="H149" s="20">
        <f>IFERROR(__xludf.DUMMYFUNCTION("""COMPUTED_VALUE"""),46115.0)</f>
        <v>46115</v>
      </c>
      <c r="I149" s="20"/>
      <c r="J149" s="16"/>
      <c r="K149" s="16"/>
      <c r="L149" s="16" t="str">
        <f>IFERROR(__xludf.DUMMYFUNCTION("""COMPUTED_VALUE"""),"Medium")</f>
        <v>Medium</v>
      </c>
      <c r="M149" s="26" t="str">
        <f>IFERROR(__xludf.DUMMYFUNCTION("""COMPUTED_VALUE"""),"PartnerConnect  Technology")</f>
        <v>PartnerConnect  Technology</v>
      </c>
      <c r="N149" s="16" t="str">
        <f>IFERROR(__xludf.DUMMYFUNCTION("""COMPUTED_VALUE"""),"FY24 - Q3")</f>
        <v>FY24 - Q3</v>
      </c>
      <c r="O149" s="16">
        <f>IFERROR(__xludf.DUMMYFUNCTION("""COMPUTED_VALUE"""),0.0)</f>
        <v>0</v>
      </c>
      <c r="P149" s="16">
        <f>IFERROR(__xludf.DUMMYFUNCTION("""COMPUTED_VALUE"""),0.0)</f>
        <v>0</v>
      </c>
      <c r="Q149" s="16">
        <f>IFERROR(__xludf.DUMMYFUNCTION("""COMPUTED_VALUE"""),0.0)</f>
        <v>0</v>
      </c>
      <c r="R149" s="16">
        <f>IFERROR(__xludf.DUMMYFUNCTION("""COMPUTED_VALUE"""),0.0)</f>
        <v>0</v>
      </c>
      <c r="S149" s="16">
        <f>IFERROR(__xludf.DUMMYFUNCTION("""COMPUTED_VALUE"""),0.0)</f>
        <v>0</v>
      </c>
      <c r="T149" s="16">
        <f>IFERROR(__xludf.DUMMYFUNCTION("""COMPUTED_VALUE"""),0.0)</f>
        <v>0</v>
      </c>
      <c r="U149" s="16">
        <f>IFERROR(__xludf.DUMMYFUNCTION("""COMPUTED_VALUE"""),0.0)</f>
        <v>0</v>
      </c>
      <c r="V149" s="16">
        <f>IFERROR(__xludf.DUMMYFUNCTION("""COMPUTED_VALUE"""),0.0)</f>
        <v>0</v>
      </c>
      <c r="W149" s="16">
        <f>IFERROR(__xludf.DUMMYFUNCTION("""COMPUTED_VALUE"""),1.0)</f>
        <v>1</v>
      </c>
      <c r="X149" s="16" t="b">
        <f>IFERROR(__xludf.DUMMYFUNCTION("""COMPUTED_VALUE"""),FALSE)</f>
        <v>0</v>
      </c>
      <c r="Y149" s="16"/>
      <c r="Z149" s="16"/>
    </row>
    <row r="150">
      <c r="A150" s="16" t="str">
        <f>IFERROR(__xludf.DUMMYFUNCTION("""COMPUTED_VALUE"""),"n2uitive Corporation")</f>
        <v>n2uitive Corporation</v>
      </c>
      <c r="B150" s="16" t="str">
        <f>IFERROR(__xludf.DUMMYFUNCTION("""COMPUTED_VALUE"""),"Growth")</f>
        <v>Growth</v>
      </c>
      <c r="C150" s="26" t="str">
        <f>IFERROR(__xludf.DUMMYFUNCTION("""COMPUTED_VALUE"""),"NAM")</f>
        <v>NAM</v>
      </c>
      <c r="D150" s="16" t="str">
        <f>IFERROR(__xludf.DUMMYFUNCTION("""COMPUTED_VALUE"""),"Aaron Shaw")</f>
        <v>Aaron Shaw</v>
      </c>
      <c r="E150" s="26" t="str">
        <f>IFERROR(__xludf.DUMMYFUNCTION("""COMPUTED_VALUE"""),"United States")</f>
        <v>United States</v>
      </c>
      <c r="F150" s="26" t="str">
        <f>IFERROR(__xludf.DUMMYFUNCTION("""COMPUTED_VALUE"""),"ClaimCenter")</f>
        <v>ClaimCenter</v>
      </c>
      <c r="G150" s="20">
        <f>IFERROR(__xludf.DUMMYFUNCTION("""COMPUTED_VALUE"""),44047.0)</f>
        <v>44047</v>
      </c>
      <c r="H150" s="13">
        <f>IFERROR(__xludf.DUMMYFUNCTION("""COMPUTED_VALUE"""),44777.0)</f>
        <v>44777</v>
      </c>
      <c r="I150" s="20">
        <f>IFERROR(__xludf.DUMMYFUNCTION("""COMPUTED_VALUE"""),44047.0)</f>
        <v>44047</v>
      </c>
      <c r="J150" s="16"/>
      <c r="K150" s="20">
        <f>IFERROR(__xludf.DUMMYFUNCTION("""COMPUTED_VALUE"""),44449.0)</f>
        <v>44449</v>
      </c>
      <c r="L150" s="16" t="str">
        <f>IFERROR(__xludf.DUMMYFUNCTION("""COMPUTED_VALUE"""),"Medium")</f>
        <v>Medium</v>
      </c>
      <c r="M150" s="26" t="str">
        <f>IFERROR(__xludf.DUMMYFUNCTION("""COMPUTED_VALUE"""),"PartnerConnect  Technology")</f>
        <v>PartnerConnect  Technology</v>
      </c>
      <c r="N150" s="16" t="str">
        <f>IFERROR(__xludf.DUMMYFUNCTION("""COMPUTED_VALUE"""),"FY20 - Q1")</f>
        <v>FY20 - Q1</v>
      </c>
      <c r="O150" s="16">
        <f>IFERROR(__xludf.DUMMYFUNCTION("""COMPUTED_VALUE"""),2.0)</f>
        <v>2</v>
      </c>
      <c r="P150" s="16">
        <f>IFERROR(__xludf.DUMMYFUNCTION("""COMPUTED_VALUE"""),2.0)</f>
        <v>2</v>
      </c>
      <c r="Q150" s="16">
        <f>IFERROR(__xludf.DUMMYFUNCTION("""COMPUTED_VALUE"""),26.0)</f>
        <v>26</v>
      </c>
      <c r="R150" s="16">
        <f>IFERROR(__xludf.DUMMYFUNCTION("""COMPUTED_VALUE"""),12.0)</f>
        <v>12</v>
      </c>
      <c r="S150" s="16">
        <f>IFERROR(__xludf.DUMMYFUNCTION("""COMPUTED_VALUE"""),20411.0)</f>
        <v>20411</v>
      </c>
      <c r="T150" s="16">
        <f>IFERROR(__xludf.DUMMYFUNCTION("""COMPUTED_VALUE"""),13.0)</f>
        <v>13</v>
      </c>
      <c r="U150" s="16">
        <f>IFERROR(__xludf.DUMMYFUNCTION("""COMPUTED_VALUE"""),0.0)</f>
        <v>0</v>
      </c>
      <c r="V150" s="16">
        <f>IFERROR(__xludf.DUMMYFUNCTION("""COMPUTED_VALUE"""),0.0)</f>
        <v>0</v>
      </c>
      <c r="W150" s="16">
        <f>IFERROR(__xludf.DUMMYFUNCTION("""COMPUTED_VALUE"""),0.0)</f>
        <v>0</v>
      </c>
      <c r="X150" s="16" t="b">
        <f>IFERROR(__xludf.DUMMYFUNCTION("""COMPUTED_VALUE"""),FALSE)</f>
        <v>0</v>
      </c>
      <c r="Y150" s="16"/>
      <c r="Z150" s="16"/>
    </row>
    <row r="151">
      <c r="A151" s="16" t="str">
        <f>IFERROR(__xludf.DUMMYFUNCTION("""COMPUTED_VALUE"""),"National Windscreens Pty Ltd")</f>
        <v>National Windscreens Pty Ltd</v>
      </c>
      <c r="B151" s="16" t="str">
        <f>IFERROR(__xludf.DUMMYFUNCTION("""COMPUTED_VALUE"""),"Growth")</f>
        <v>Growth</v>
      </c>
      <c r="C151" s="26" t="str">
        <f>IFERROR(__xludf.DUMMYFUNCTION("""COMPUTED_VALUE"""),"APAC")</f>
        <v>APAC</v>
      </c>
      <c r="D151" s="16" t="str">
        <f>IFERROR(__xludf.DUMMYFUNCTION("""COMPUTED_VALUE"""),"Ketaki Padhye")</f>
        <v>Ketaki Padhye</v>
      </c>
      <c r="E151" s="26"/>
      <c r="F151" s="26" t="str">
        <f>IFERROR(__xludf.DUMMYFUNCTION("""COMPUTED_VALUE"""),"ClaimCenter")</f>
        <v>ClaimCenter</v>
      </c>
      <c r="G151" s="20">
        <f>IFERROR(__xludf.DUMMYFUNCTION("""COMPUTED_VALUE"""),45895.0)</f>
        <v>45895</v>
      </c>
      <c r="H151" s="16"/>
      <c r="I151" s="20"/>
      <c r="J151" s="16"/>
      <c r="K151" s="20"/>
      <c r="L151" s="16" t="str">
        <f>IFERROR(__xludf.DUMMYFUNCTION("""COMPUTED_VALUE"""),"Medium")</f>
        <v>Medium</v>
      </c>
      <c r="M151" s="26" t="str">
        <f>IFERROR(__xludf.DUMMYFUNCTION("""COMPUTED_VALUE"""),"PartnerConnect  Technology")</f>
        <v>PartnerConnect  Technology</v>
      </c>
      <c r="N151" s="16" t="str">
        <f>IFERROR(__xludf.DUMMYFUNCTION("""COMPUTED_VALUE"""),"FY25 - Q1")</f>
        <v>FY25 - Q1</v>
      </c>
      <c r="O151" s="16">
        <f>IFERROR(__xludf.DUMMYFUNCTION("""COMPUTED_VALUE"""),0.0)</f>
        <v>0</v>
      </c>
      <c r="P151" s="16">
        <f>IFERROR(__xludf.DUMMYFUNCTION("""COMPUTED_VALUE"""),0.0)</f>
        <v>0</v>
      </c>
      <c r="Q151" s="16">
        <f>IFERROR(__xludf.DUMMYFUNCTION("""COMPUTED_VALUE"""),0.0)</f>
        <v>0</v>
      </c>
      <c r="R151" s="16">
        <f>IFERROR(__xludf.DUMMYFUNCTION("""COMPUTED_VALUE"""),0.0)</f>
        <v>0</v>
      </c>
      <c r="S151" s="16">
        <f>IFERROR(__xludf.DUMMYFUNCTION("""COMPUTED_VALUE"""),0.0)</f>
        <v>0</v>
      </c>
      <c r="T151" s="16">
        <f>IFERROR(__xludf.DUMMYFUNCTION("""COMPUTED_VALUE"""),0.0)</f>
        <v>0</v>
      </c>
      <c r="U151" s="16">
        <f>IFERROR(__xludf.DUMMYFUNCTION("""COMPUTED_VALUE"""),0.0)</f>
        <v>0</v>
      </c>
      <c r="V151" s="16">
        <f>IFERROR(__xludf.DUMMYFUNCTION("""COMPUTED_VALUE"""),0.0)</f>
        <v>0</v>
      </c>
      <c r="W151" s="16">
        <f>IFERROR(__xludf.DUMMYFUNCTION("""COMPUTED_VALUE"""),0.0)</f>
        <v>0</v>
      </c>
      <c r="X151" s="16" t="b">
        <f>IFERROR(__xludf.DUMMYFUNCTION("""COMPUTED_VALUE"""),FALSE)</f>
        <v>0</v>
      </c>
      <c r="Y151" s="16"/>
      <c r="Z151" s="16"/>
    </row>
    <row r="152">
      <c r="A152" s="16" t="str">
        <f>IFERROR(__xludf.DUMMYFUNCTION("""COMPUTED_VALUE"""),"Nation Safe Drivers")</f>
        <v>Nation Safe Drivers</v>
      </c>
      <c r="B152" s="16" t="str">
        <f>IFERROR(__xludf.DUMMYFUNCTION("""COMPUTED_VALUE"""),"Growth")</f>
        <v>Growth</v>
      </c>
      <c r="C152" s="26" t="str">
        <f>IFERROR(__xludf.DUMMYFUNCTION("""COMPUTED_VALUE"""),"NAM")</f>
        <v>NAM</v>
      </c>
      <c r="D152" s="16" t="str">
        <f>IFERROR(__xludf.DUMMYFUNCTION("""COMPUTED_VALUE"""),"Rod Gowin")</f>
        <v>Rod Gowin</v>
      </c>
      <c r="E152" s="26" t="str">
        <f>IFERROR(__xludf.DUMMYFUNCTION("""COMPUTED_VALUE"""),"Canada, United States")</f>
        <v>Canada, United States</v>
      </c>
      <c r="F152" s="26" t="str">
        <f>IFERROR(__xludf.DUMMYFUNCTION("""COMPUTED_VALUE"""),"PolicyCenter")</f>
        <v>PolicyCenter</v>
      </c>
      <c r="G152" s="20">
        <f>IFERROR(__xludf.DUMMYFUNCTION("""COMPUTED_VALUE"""),45474.0)</f>
        <v>45474</v>
      </c>
      <c r="H152" s="16"/>
      <c r="I152" s="20">
        <f>IFERROR(__xludf.DUMMYFUNCTION("""COMPUTED_VALUE"""),45474.0)</f>
        <v>45474</v>
      </c>
      <c r="J152" s="16"/>
      <c r="K152" s="16"/>
      <c r="L152" s="16" t="str">
        <f>IFERROR(__xludf.DUMMYFUNCTION("""COMPUTED_VALUE"""),"Medium")</f>
        <v>Medium</v>
      </c>
      <c r="M152" s="26" t="str">
        <f>IFERROR(__xludf.DUMMYFUNCTION("""COMPUTED_VALUE"""),"PartnerConnect  Technology")</f>
        <v>PartnerConnect  Technology</v>
      </c>
      <c r="N152" s="16" t="str">
        <f>IFERROR(__xludf.DUMMYFUNCTION("""COMPUTED_VALUE"""),"FY24 - Q4")</f>
        <v>FY24 - Q4</v>
      </c>
      <c r="O152" s="16">
        <f>IFERROR(__xludf.DUMMYFUNCTION("""COMPUTED_VALUE"""),1.0)</f>
        <v>1</v>
      </c>
      <c r="P152" s="16">
        <f>IFERROR(__xludf.DUMMYFUNCTION("""COMPUTED_VALUE"""),1.0)</f>
        <v>1</v>
      </c>
      <c r="Q152" s="16">
        <f>IFERROR(__xludf.DUMMYFUNCTION("""COMPUTED_VALUE"""),0.0)</f>
        <v>0</v>
      </c>
      <c r="R152" s="16">
        <f>IFERROR(__xludf.DUMMYFUNCTION("""COMPUTED_VALUE"""),0.0)</f>
        <v>0</v>
      </c>
      <c r="S152" s="16">
        <f>IFERROR(__xludf.DUMMYFUNCTION("""COMPUTED_VALUE"""),980.0)</f>
        <v>980</v>
      </c>
      <c r="T152" s="16">
        <f>IFERROR(__xludf.DUMMYFUNCTION("""COMPUTED_VALUE"""),0.0)</f>
        <v>0</v>
      </c>
      <c r="U152" s="16">
        <f>IFERROR(__xludf.DUMMYFUNCTION("""COMPUTED_VALUE"""),0.0)</f>
        <v>0</v>
      </c>
      <c r="V152" s="16">
        <f>IFERROR(__xludf.DUMMYFUNCTION("""COMPUTED_VALUE"""),0.0)</f>
        <v>0</v>
      </c>
      <c r="W152" s="16">
        <f>IFERROR(__xludf.DUMMYFUNCTION("""COMPUTED_VALUE"""),0.0)</f>
        <v>0</v>
      </c>
      <c r="X152" s="16" t="b">
        <f>IFERROR(__xludf.DUMMYFUNCTION("""COMPUTED_VALUE"""),TRUE)</f>
        <v>1</v>
      </c>
      <c r="Y152" s="16"/>
      <c r="Z152" s="16"/>
    </row>
    <row r="153">
      <c r="A153" s="16" t="str">
        <f>IFERROR(__xludf.DUMMYFUNCTION("""COMPUTED_VALUE"""),"Nearmap US, Inc.")</f>
        <v>Nearmap US, Inc.</v>
      </c>
      <c r="B153" s="16" t="str">
        <f>IFERROR(__xludf.DUMMYFUNCTION("""COMPUTED_VALUE"""),"Advantage")</f>
        <v>Advantage</v>
      </c>
      <c r="C153" s="26" t="str">
        <f>IFERROR(__xludf.DUMMYFUNCTION("""COMPUTED_VALUE"""),"APAC, NAM")</f>
        <v>APAC, NAM</v>
      </c>
      <c r="D153" s="16" t="str">
        <f>IFERROR(__xludf.DUMMYFUNCTION("""COMPUTED_VALUE"""),"Aaron Shaw")</f>
        <v>Aaron Shaw</v>
      </c>
      <c r="E153" s="26" t="str">
        <f>IFERROR(__xludf.DUMMYFUNCTION("""COMPUTED_VALUE"""),"Australia New Zealand, United States")</f>
        <v>Australia New Zealand, United States</v>
      </c>
      <c r="F153" s="26" t="str">
        <f>IFERROR(__xludf.DUMMYFUNCTION("""COMPUTED_VALUE"""),"ClaimCenter, PolicyCenter, InsuranceNow")</f>
        <v>ClaimCenter, PolicyCenter, InsuranceNow</v>
      </c>
      <c r="G153" s="20">
        <f>IFERROR(__xludf.DUMMYFUNCTION("""COMPUTED_VALUE"""),44936.0)</f>
        <v>44936</v>
      </c>
      <c r="H153" s="16"/>
      <c r="I153" s="20">
        <f>IFERROR(__xludf.DUMMYFUNCTION("""COMPUTED_VALUE"""),44936.0)</f>
        <v>44936</v>
      </c>
      <c r="J153" s="16"/>
      <c r="K153" s="20">
        <f>IFERROR(__xludf.DUMMYFUNCTION("""COMPUTED_VALUE"""),43384.0)</f>
        <v>43384</v>
      </c>
      <c r="L153" s="16" t="str">
        <f>IFERROR(__xludf.DUMMYFUNCTION("""COMPUTED_VALUE"""),"High")</f>
        <v>High</v>
      </c>
      <c r="M153" s="26" t="str">
        <f>IFERROR(__xludf.DUMMYFUNCTION("""COMPUTED_VALUE"""),"PartnerConnect  Technology")</f>
        <v>PartnerConnect  Technology</v>
      </c>
      <c r="N153" s="16" t="str">
        <f>IFERROR(__xludf.DUMMYFUNCTION("""COMPUTED_VALUE"""),"FY23 - Q2")</f>
        <v>FY23 - Q2</v>
      </c>
      <c r="O153" s="16">
        <f>IFERROR(__xludf.DUMMYFUNCTION("""COMPUTED_VALUE"""),3.0)</f>
        <v>3</v>
      </c>
      <c r="P153" s="16">
        <f>IFERROR(__xludf.DUMMYFUNCTION("""COMPUTED_VALUE"""),3.0)</f>
        <v>3</v>
      </c>
      <c r="Q153" s="16">
        <f>IFERROR(__xludf.DUMMYFUNCTION("""COMPUTED_VALUE"""),62.0)</f>
        <v>62</v>
      </c>
      <c r="R153" s="16">
        <f>IFERROR(__xludf.DUMMYFUNCTION("""COMPUTED_VALUE"""),27.0)</f>
        <v>27</v>
      </c>
      <c r="S153" s="16">
        <f>IFERROR(__xludf.DUMMYFUNCTION("""COMPUTED_VALUE"""),22060.0)</f>
        <v>22060</v>
      </c>
      <c r="T153" s="16">
        <f>IFERROR(__xludf.DUMMYFUNCTION("""COMPUTED_VALUE"""),39.0)</f>
        <v>39</v>
      </c>
      <c r="U153" s="16">
        <f>IFERROR(__xludf.DUMMYFUNCTION("""COMPUTED_VALUE"""),6.0)</f>
        <v>6</v>
      </c>
      <c r="V153" s="16">
        <f>IFERROR(__xludf.DUMMYFUNCTION("""COMPUTED_VALUE"""),6.0)</f>
        <v>6</v>
      </c>
      <c r="W153" s="16">
        <f>IFERROR(__xludf.DUMMYFUNCTION("""COMPUTED_VALUE"""),0.0)</f>
        <v>0</v>
      </c>
      <c r="X153" s="16" t="b">
        <f>IFERROR(__xludf.DUMMYFUNCTION("""COMPUTED_VALUE"""),TRUE)</f>
        <v>1</v>
      </c>
      <c r="Y153" s="16"/>
      <c r="Z153" s="16"/>
    </row>
    <row r="154">
      <c r="A154" s="16" t="str">
        <f>IFERROR(__xludf.DUMMYFUNCTION("""COMPUTED_VALUE"""),"Newgen Software Inc.")</f>
        <v>Newgen Software Inc.</v>
      </c>
      <c r="B154" s="16" t="str">
        <f>IFERROR(__xludf.DUMMYFUNCTION("""COMPUTED_VALUE"""),"Advantage")</f>
        <v>Advantage</v>
      </c>
      <c r="C154" s="26" t="str">
        <f>IFERROR(__xludf.DUMMYFUNCTION("""COMPUTED_VALUE"""),"APAC, EMEA, NAM, LatAm")</f>
        <v>APAC, EMEA, NAM, LatAm</v>
      </c>
      <c r="D154" s="16" t="str">
        <f>IFERROR(__xludf.DUMMYFUNCTION("""COMPUTED_VALUE"""),"Tim Kennedy")</f>
        <v>Tim Kennedy</v>
      </c>
      <c r="E154" s="26" t="str">
        <f>IFERROR(__xludf.DUMMYFUNCTION("""COMPUTED_VALUE"""),"Australia New Zealand, Canada, India, Israel, Russia, South America, Turkey, UK, United States")</f>
        <v>Australia New Zealand, Canada, India, Israel, Russia, South America, Turkey, UK, United States</v>
      </c>
      <c r="F154" s="26" t="str">
        <f>IFERROR(__xludf.DUMMYFUNCTION("""COMPUTED_VALUE"""),"ClaimCenter, PolicyCenter, BillingCenter")</f>
        <v>ClaimCenter, PolicyCenter, BillingCenter</v>
      </c>
      <c r="G154" s="20">
        <f>IFERROR(__xludf.DUMMYFUNCTION("""COMPUTED_VALUE"""),44696.0)</f>
        <v>44696</v>
      </c>
      <c r="H154" s="20">
        <f>IFERROR(__xludf.DUMMYFUNCTION("""COMPUTED_VALUE"""),45426.0)</f>
        <v>45426</v>
      </c>
      <c r="I154" s="20">
        <f>IFERROR(__xludf.DUMMYFUNCTION("""COMPUTED_VALUE"""),44696.0)</f>
        <v>44696</v>
      </c>
      <c r="J154" s="16"/>
      <c r="K154" s="20">
        <f>IFERROR(__xludf.DUMMYFUNCTION("""COMPUTED_VALUE"""),45042.0)</f>
        <v>45042</v>
      </c>
      <c r="L154" s="16" t="str">
        <f>IFERROR(__xludf.DUMMYFUNCTION("""COMPUTED_VALUE"""),"High")</f>
        <v>High</v>
      </c>
      <c r="M154" s="26" t="str">
        <f>IFERROR(__xludf.DUMMYFUNCTION("""COMPUTED_VALUE"""),"PartnerConnect  Technology")</f>
        <v>PartnerConnect  Technology</v>
      </c>
      <c r="N154" s="16" t="str">
        <f>IFERROR(__xludf.DUMMYFUNCTION("""COMPUTED_VALUE"""),"FY22 - Q3")</f>
        <v>FY22 - Q3</v>
      </c>
      <c r="O154" s="16">
        <f>IFERROR(__xludf.DUMMYFUNCTION("""COMPUTED_VALUE"""),5.0)</f>
        <v>5</v>
      </c>
      <c r="P154" s="16">
        <f>IFERROR(__xludf.DUMMYFUNCTION("""COMPUTED_VALUE"""),5.0)</f>
        <v>5</v>
      </c>
      <c r="Q154" s="16">
        <f>IFERROR(__xludf.DUMMYFUNCTION("""COMPUTED_VALUE"""),53.0)</f>
        <v>53</v>
      </c>
      <c r="R154" s="16">
        <f>IFERROR(__xludf.DUMMYFUNCTION("""COMPUTED_VALUE"""),45.0)</f>
        <v>45</v>
      </c>
      <c r="S154" s="16">
        <f>IFERROR(__xludf.DUMMYFUNCTION("""COMPUTED_VALUE"""),27528.0)</f>
        <v>27528</v>
      </c>
      <c r="T154" s="16">
        <f>IFERROR(__xludf.DUMMYFUNCTION("""COMPUTED_VALUE"""),20.0)</f>
        <v>20</v>
      </c>
      <c r="U154" s="16">
        <f>IFERROR(__xludf.DUMMYFUNCTION("""COMPUTED_VALUE"""),37.0)</f>
        <v>37</v>
      </c>
      <c r="V154" s="16">
        <f>IFERROR(__xludf.DUMMYFUNCTION("""COMPUTED_VALUE"""),37.0)</f>
        <v>37</v>
      </c>
      <c r="W154" s="16">
        <f>IFERROR(__xludf.DUMMYFUNCTION("""COMPUTED_VALUE"""),0.0)</f>
        <v>0</v>
      </c>
      <c r="X154" s="16" t="b">
        <f>IFERROR(__xludf.DUMMYFUNCTION("""COMPUTED_VALUE"""),FALSE)</f>
        <v>0</v>
      </c>
      <c r="Y154" s="16"/>
      <c r="Z154" s="16"/>
    </row>
    <row r="155">
      <c r="A155" s="16" t="str">
        <f>IFERROR(__xludf.DUMMYFUNCTION("""COMPUTED_VALUE"""),"OCTO TELEMATICS")</f>
        <v>OCTO TELEMATICS</v>
      </c>
      <c r="B155" s="16" t="str">
        <f>IFERROR(__xludf.DUMMYFUNCTION("""COMPUTED_VALUE"""),"Growth")</f>
        <v>Growth</v>
      </c>
      <c r="C155" s="26" t="str">
        <f>IFERROR(__xludf.DUMMYFUNCTION("""COMPUTED_VALUE"""),"APAC, EMEA, NAM, LatAm")</f>
        <v>APAC, EMEA, NAM, LatAm</v>
      </c>
      <c r="D155" s="16" t="str">
        <f>IFERROR(__xludf.DUMMYFUNCTION("""COMPUTED_VALUE"""),"Tim Kennedy")</f>
        <v>Tim Kennedy</v>
      </c>
      <c r="E155" s="26" t="str">
        <f>IFERROR(__xludf.DUMMYFUNCTION("""COMPUTED_VALUE"""),"United States")</f>
        <v>United States</v>
      </c>
      <c r="F155" s="26" t="str">
        <f>IFERROR(__xludf.DUMMYFUNCTION("""COMPUTED_VALUE"""),"ClaimCenter, PolicyCenter")</f>
        <v>ClaimCenter, PolicyCenter</v>
      </c>
      <c r="G155" s="20">
        <f>IFERROR(__xludf.DUMMYFUNCTION("""COMPUTED_VALUE"""),42465.0)</f>
        <v>42465</v>
      </c>
      <c r="H155" s="20"/>
      <c r="I155" s="20">
        <f>IFERROR(__xludf.DUMMYFUNCTION("""COMPUTED_VALUE"""),42465.0)</f>
        <v>42465</v>
      </c>
      <c r="J155" s="20"/>
      <c r="K155" s="20">
        <f>IFERROR(__xludf.DUMMYFUNCTION("""COMPUTED_VALUE"""),42779.0)</f>
        <v>42779</v>
      </c>
      <c r="L155" s="16" t="str">
        <f>IFERROR(__xludf.DUMMYFUNCTION("""COMPUTED_VALUE"""),"Medium")</f>
        <v>Medium</v>
      </c>
      <c r="M155" s="26" t="str">
        <f>IFERROR(__xludf.DUMMYFUNCTION("""COMPUTED_VALUE"""),"PartnerConnect  Technology")</f>
        <v>PartnerConnect  Technology</v>
      </c>
      <c r="N155" s="16" t="str">
        <f>IFERROR(__xludf.DUMMYFUNCTION("""COMPUTED_VALUE"""),"FY16 - Q3")</f>
        <v>FY16 - Q3</v>
      </c>
      <c r="O155" s="16">
        <f>IFERROR(__xludf.DUMMYFUNCTION("""COMPUTED_VALUE"""),1.0)</f>
        <v>1</v>
      </c>
      <c r="P155" s="16">
        <f>IFERROR(__xludf.DUMMYFUNCTION("""COMPUTED_VALUE"""),1.0)</f>
        <v>1</v>
      </c>
      <c r="Q155" s="16">
        <f>IFERROR(__xludf.DUMMYFUNCTION("""COMPUTED_VALUE"""),11.0)</f>
        <v>11</v>
      </c>
      <c r="R155" s="16">
        <f>IFERROR(__xludf.DUMMYFUNCTION("""COMPUTED_VALUE"""),1.0)</f>
        <v>1</v>
      </c>
      <c r="S155" s="16">
        <f>IFERROR(__xludf.DUMMYFUNCTION("""COMPUTED_VALUE"""),13033.0)</f>
        <v>13033</v>
      </c>
      <c r="T155" s="16">
        <f>IFERROR(__xludf.DUMMYFUNCTION("""COMPUTED_VALUE"""),8.0)</f>
        <v>8</v>
      </c>
      <c r="U155" s="16">
        <f>IFERROR(__xludf.DUMMYFUNCTION("""COMPUTED_VALUE"""),0.0)</f>
        <v>0</v>
      </c>
      <c r="V155" s="16">
        <f>IFERROR(__xludf.DUMMYFUNCTION("""COMPUTED_VALUE"""),0.0)</f>
        <v>0</v>
      </c>
      <c r="W155" s="16">
        <f>IFERROR(__xludf.DUMMYFUNCTION("""COMPUTED_VALUE"""),0.0)</f>
        <v>0</v>
      </c>
      <c r="X155" s="16" t="b">
        <f>IFERROR(__xludf.DUMMYFUNCTION("""COMPUTED_VALUE"""),TRUE)</f>
        <v>1</v>
      </c>
      <c r="Y155" s="16"/>
      <c r="Z155" s="16"/>
    </row>
    <row r="156">
      <c r="A156" s="16" t="str">
        <f>IFERROR(__xludf.DUMMYFUNCTION("""COMPUTED_VALUE"""),"ODG by MCG Health")</f>
        <v>ODG by MCG Health</v>
      </c>
      <c r="B156" s="16" t="str">
        <f>IFERROR(__xludf.DUMMYFUNCTION("""COMPUTED_VALUE"""),"Growth")</f>
        <v>Growth</v>
      </c>
      <c r="C156" s="26" t="str">
        <f>IFERROR(__xludf.DUMMYFUNCTION("""COMPUTED_VALUE"""),"NAM")</f>
        <v>NAM</v>
      </c>
      <c r="D156" s="16" t="str">
        <f>IFERROR(__xludf.DUMMYFUNCTION("""COMPUTED_VALUE"""),"Eric Apse")</f>
        <v>Eric Apse</v>
      </c>
      <c r="E156" s="26" t="str">
        <f>IFERROR(__xludf.DUMMYFUNCTION("""COMPUTED_VALUE"""),"Australia New Zealand, Canada, United States")</f>
        <v>Australia New Zealand, Canada, United States</v>
      </c>
      <c r="F156" s="26" t="str">
        <f>IFERROR(__xludf.DUMMYFUNCTION("""COMPUTED_VALUE"""),"ClaimCenter")</f>
        <v>ClaimCenter</v>
      </c>
      <c r="G156" s="20">
        <f>IFERROR(__xludf.DUMMYFUNCTION("""COMPUTED_VALUE"""),42206.0)</f>
        <v>42206</v>
      </c>
      <c r="H156" s="16"/>
      <c r="I156" s="20">
        <f>IFERROR(__xludf.DUMMYFUNCTION("""COMPUTED_VALUE"""),44071.0)</f>
        <v>44071</v>
      </c>
      <c r="J156" s="16"/>
      <c r="K156" s="20">
        <f>IFERROR(__xludf.DUMMYFUNCTION("""COMPUTED_VALUE"""),42292.0)</f>
        <v>42292</v>
      </c>
      <c r="L156" s="16" t="str">
        <f>IFERROR(__xludf.DUMMYFUNCTION("""COMPUTED_VALUE"""),"Medium")</f>
        <v>Medium</v>
      </c>
      <c r="M156" s="26" t="str">
        <f>IFERROR(__xludf.DUMMYFUNCTION("""COMPUTED_VALUE"""),"PartnerConnect  Technology")</f>
        <v>PartnerConnect  Technology</v>
      </c>
      <c r="N156" s="16" t="str">
        <f>IFERROR(__xludf.DUMMYFUNCTION("""COMPUTED_VALUE"""),"FY15 - Q4")</f>
        <v>FY15 - Q4</v>
      </c>
      <c r="O156" s="16">
        <f>IFERROR(__xludf.DUMMYFUNCTION("""COMPUTED_VALUE"""),1.0)</f>
        <v>1</v>
      </c>
      <c r="P156" s="16">
        <f>IFERROR(__xludf.DUMMYFUNCTION("""COMPUTED_VALUE"""),1.0)</f>
        <v>1</v>
      </c>
      <c r="Q156" s="16">
        <f>IFERROR(__xludf.DUMMYFUNCTION("""COMPUTED_VALUE"""),21.0)</f>
        <v>21</v>
      </c>
      <c r="R156" s="16">
        <f>IFERROR(__xludf.DUMMYFUNCTION("""COMPUTED_VALUE"""),21.0)</f>
        <v>21</v>
      </c>
      <c r="S156" s="16">
        <f>IFERROR(__xludf.DUMMYFUNCTION("""COMPUTED_VALUE"""),29148.0)</f>
        <v>29148</v>
      </c>
      <c r="T156" s="16">
        <f>IFERROR(__xludf.DUMMYFUNCTION("""COMPUTED_VALUE"""),14.0)</f>
        <v>14</v>
      </c>
      <c r="U156" s="16">
        <f>IFERROR(__xludf.DUMMYFUNCTION("""COMPUTED_VALUE"""),21.0)</f>
        <v>21</v>
      </c>
      <c r="V156" s="16">
        <f>IFERROR(__xludf.DUMMYFUNCTION("""COMPUTED_VALUE"""),21.0)</f>
        <v>21</v>
      </c>
      <c r="W156" s="16">
        <f>IFERROR(__xludf.DUMMYFUNCTION("""COMPUTED_VALUE"""),0.0)</f>
        <v>0</v>
      </c>
      <c r="X156" s="16" t="b">
        <f>IFERROR(__xludf.DUMMYFUNCTION("""COMPUTED_VALUE"""),TRUE)</f>
        <v>1</v>
      </c>
      <c r="Y156" s="16"/>
      <c r="Z156" s="16"/>
    </row>
    <row r="157">
      <c r="A157" s="16" t="str">
        <f>IFERROR(__xludf.DUMMYFUNCTION("""COMPUTED_VALUE"""),"OEConnection LLC")</f>
        <v>OEConnection LLC</v>
      </c>
      <c r="B157" s="16" t="str">
        <f>IFERROR(__xludf.DUMMYFUNCTION("""COMPUTED_VALUE"""),"Growth")</f>
        <v>Growth</v>
      </c>
      <c r="C157" s="26" t="str">
        <f>IFERROR(__xludf.DUMMYFUNCTION("""COMPUTED_VALUE"""),"NAM")</f>
        <v>NAM</v>
      </c>
      <c r="D157" s="16" t="str">
        <f>IFERROR(__xludf.DUMMYFUNCTION("""COMPUTED_VALUE"""),"Rod Gowin")</f>
        <v>Rod Gowin</v>
      </c>
      <c r="E157" s="26" t="str">
        <f>IFERROR(__xludf.DUMMYFUNCTION("""COMPUTED_VALUE"""),"Canada, India, Poland, UK, United States")</f>
        <v>Canada, India, Poland, UK, United States</v>
      </c>
      <c r="F157" s="26" t="str">
        <f>IFERROR(__xludf.DUMMYFUNCTION("""COMPUTED_VALUE"""),"ClaimCenter")</f>
        <v>ClaimCenter</v>
      </c>
      <c r="G157" s="20">
        <f>IFERROR(__xludf.DUMMYFUNCTION("""COMPUTED_VALUE"""),45085.0)</f>
        <v>45085</v>
      </c>
      <c r="H157" s="16"/>
      <c r="I157" s="20">
        <f>IFERROR(__xludf.DUMMYFUNCTION("""COMPUTED_VALUE"""),45145.0)</f>
        <v>45145</v>
      </c>
      <c r="J157" s="16"/>
      <c r="K157" s="20"/>
      <c r="L157" s="16" t="str">
        <f>IFERROR(__xludf.DUMMYFUNCTION("""COMPUTED_VALUE"""),"Low")</f>
        <v>Low</v>
      </c>
      <c r="M157" s="26" t="str">
        <f>IFERROR(__xludf.DUMMYFUNCTION("""COMPUTED_VALUE"""),"PartnerConnect  Technology")</f>
        <v>PartnerConnect  Technology</v>
      </c>
      <c r="N157" s="16" t="str">
        <f>IFERROR(__xludf.DUMMYFUNCTION("""COMPUTED_VALUE"""),"FY23 - Q3")</f>
        <v>FY23 - Q3</v>
      </c>
      <c r="O157" s="16">
        <f>IFERROR(__xludf.DUMMYFUNCTION("""COMPUTED_VALUE"""),0.0)</f>
        <v>0</v>
      </c>
      <c r="P157" s="16">
        <f>IFERROR(__xludf.DUMMYFUNCTION("""COMPUTED_VALUE"""),0.0)</f>
        <v>0</v>
      </c>
      <c r="Q157" s="16">
        <f>IFERROR(__xludf.DUMMYFUNCTION("""COMPUTED_VALUE"""),0.0)</f>
        <v>0</v>
      </c>
      <c r="R157" s="16">
        <f>IFERROR(__xludf.DUMMYFUNCTION("""COMPUTED_VALUE"""),0.0)</f>
        <v>0</v>
      </c>
      <c r="S157" s="16">
        <f>IFERROR(__xludf.DUMMYFUNCTION("""COMPUTED_VALUE"""),0.0)</f>
        <v>0</v>
      </c>
      <c r="T157" s="16">
        <f>IFERROR(__xludf.DUMMYFUNCTION("""COMPUTED_VALUE"""),0.0)</f>
        <v>0</v>
      </c>
      <c r="U157" s="16">
        <f>IFERROR(__xludf.DUMMYFUNCTION("""COMPUTED_VALUE"""),0.0)</f>
        <v>0</v>
      </c>
      <c r="V157" s="16">
        <f>IFERROR(__xludf.DUMMYFUNCTION("""COMPUTED_VALUE"""),0.0)</f>
        <v>0</v>
      </c>
      <c r="W157" s="16">
        <f>IFERROR(__xludf.DUMMYFUNCTION("""COMPUTED_VALUE"""),24.0)</f>
        <v>24</v>
      </c>
      <c r="X157" s="16" t="b">
        <f>IFERROR(__xludf.DUMMYFUNCTION("""COMPUTED_VALUE"""),FALSE)</f>
        <v>0</v>
      </c>
      <c r="Y157" s="16"/>
      <c r="Z157" s="16"/>
    </row>
    <row r="158">
      <c r="A158" s="16" t="str">
        <f>IFERROR(__xludf.DUMMYFUNCTION("""COMPUTED_VALUE"""),"One Inc")</f>
        <v>One Inc</v>
      </c>
      <c r="B158" s="16" t="str">
        <f>IFERROR(__xludf.DUMMYFUNCTION("""COMPUTED_VALUE"""),"Premier")</f>
        <v>Premier</v>
      </c>
      <c r="C158" s="26" t="str">
        <f>IFERROR(__xludf.DUMMYFUNCTION("""COMPUTED_VALUE"""),"NAM")</f>
        <v>NAM</v>
      </c>
      <c r="D158" s="16" t="str">
        <f>IFERROR(__xludf.DUMMYFUNCTION("""COMPUTED_VALUE"""),"Kelly Clayton")</f>
        <v>Kelly Clayton</v>
      </c>
      <c r="E158" s="26" t="str">
        <f>IFERROR(__xludf.DUMMYFUNCTION("""COMPUTED_VALUE"""),"United States")</f>
        <v>United States</v>
      </c>
      <c r="F158" s="26" t="str">
        <f>IFERROR(__xludf.DUMMYFUNCTION("""COMPUTED_VALUE"""),"ClaimCenter, PolicyCenter, BillingCenter, InsuranceNow")</f>
        <v>ClaimCenter, PolicyCenter, BillingCenter, InsuranceNow</v>
      </c>
      <c r="G158" s="20">
        <f>IFERROR(__xludf.DUMMYFUNCTION("""COMPUTED_VALUE"""),43819.0)</f>
        <v>43819</v>
      </c>
      <c r="H158" s="20"/>
      <c r="I158" s="20">
        <f>IFERROR(__xludf.DUMMYFUNCTION("""COMPUTED_VALUE"""),43819.0)</f>
        <v>43819</v>
      </c>
      <c r="J158" s="16"/>
      <c r="K158" s="20">
        <f>IFERROR(__xludf.DUMMYFUNCTION("""COMPUTED_VALUE"""),42802.0)</f>
        <v>42802</v>
      </c>
      <c r="L158" s="16" t="str">
        <f>IFERROR(__xludf.DUMMYFUNCTION("""COMPUTED_VALUE"""),"Strategic")</f>
        <v>Strategic</v>
      </c>
      <c r="M158" s="26" t="str">
        <f>IFERROR(__xludf.DUMMYFUNCTION("""COMPUTED_VALUE"""),"PartnerConnect  Technology")</f>
        <v>PartnerConnect  Technology</v>
      </c>
      <c r="N158" s="16" t="str">
        <f>IFERROR(__xludf.DUMMYFUNCTION("""COMPUTED_VALUE"""),"FY19 - Q2")</f>
        <v>FY19 - Q2</v>
      </c>
      <c r="O158" s="16">
        <f>IFERROR(__xludf.DUMMYFUNCTION("""COMPUTED_VALUE"""),10.0)</f>
        <v>10</v>
      </c>
      <c r="P158" s="16">
        <f>IFERROR(__xludf.DUMMYFUNCTION("""COMPUTED_VALUE"""),10.0)</f>
        <v>10</v>
      </c>
      <c r="Q158" s="16">
        <f>IFERROR(__xludf.DUMMYFUNCTION("""COMPUTED_VALUE"""),1234.0)</f>
        <v>1234</v>
      </c>
      <c r="R158" s="16">
        <f>IFERROR(__xludf.DUMMYFUNCTION("""COMPUTED_VALUE"""),719.0)</f>
        <v>719</v>
      </c>
      <c r="S158" s="16">
        <f>IFERROR(__xludf.DUMMYFUNCTION("""COMPUTED_VALUE"""),164159.0)</f>
        <v>164159</v>
      </c>
      <c r="T158" s="16">
        <f>IFERROR(__xludf.DUMMYFUNCTION("""COMPUTED_VALUE"""),134.0)</f>
        <v>134</v>
      </c>
      <c r="U158" s="16">
        <f>IFERROR(__xludf.DUMMYFUNCTION("""COMPUTED_VALUE"""),522.0)</f>
        <v>522</v>
      </c>
      <c r="V158" s="16">
        <f>IFERROR(__xludf.DUMMYFUNCTION("""COMPUTED_VALUE"""),522.0)</f>
        <v>522</v>
      </c>
      <c r="W158" s="16">
        <f>IFERROR(__xludf.DUMMYFUNCTION("""COMPUTED_VALUE"""),0.0)</f>
        <v>0</v>
      </c>
      <c r="X158" s="16" t="b">
        <f>IFERROR(__xludf.DUMMYFUNCTION("""COMPUTED_VALUE"""),TRUE)</f>
        <v>1</v>
      </c>
      <c r="Y158" s="16"/>
      <c r="Z158" s="16"/>
    </row>
    <row r="159">
      <c r="A159" s="16" t="str">
        <f>IFERROR(__xludf.DUMMYFUNCTION("""COMPUTED_VALUE"""),"OneSpan Canada Inc. (VASCO eSignLive)")</f>
        <v>OneSpan Canada Inc. (VASCO eSignLive)</v>
      </c>
      <c r="B159" s="16" t="str">
        <f>IFERROR(__xludf.DUMMYFUNCTION("""COMPUTED_VALUE"""),"Advantage")</f>
        <v>Advantage</v>
      </c>
      <c r="C159" s="26" t="str">
        <f>IFERROR(__xludf.DUMMYFUNCTION("""COMPUTED_VALUE"""),"APAC, EMEA, NAM, LatAm")</f>
        <v>APAC, EMEA, NAM, LatAm</v>
      </c>
      <c r="D159" s="16" t="str">
        <f>IFERROR(__xludf.DUMMYFUNCTION("""COMPUTED_VALUE"""),"Lisa Vingerhoet")</f>
        <v>Lisa Vingerhoet</v>
      </c>
      <c r="E159" s="26" t="str">
        <f>IFERROR(__xludf.DUMMYFUNCTION("""COMPUTED_VALUE"""),"Canada, United States")</f>
        <v>Canada, United States</v>
      </c>
      <c r="F159" s="26" t="str">
        <f>IFERROR(__xludf.DUMMYFUNCTION("""COMPUTED_VALUE"""),"ClaimCenter, PolicyCenter, InsuranceNow")</f>
        <v>ClaimCenter, PolicyCenter, InsuranceNow</v>
      </c>
      <c r="G159" s="20">
        <f>IFERROR(__xludf.DUMMYFUNCTION("""COMPUTED_VALUE"""),43257.0)</f>
        <v>43257</v>
      </c>
      <c r="H159" s="20">
        <f>IFERROR(__xludf.DUMMYFUNCTION("""COMPUTED_VALUE"""),43988.0)</f>
        <v>43988</v>
      </c>
      <c r="I159" s="20">
        <f>IFERROR(__xludf.DUMMYFUNCTION("""COMPUTED_VALUE"""),43257.0)</f>
        <v>43257</v>
      </c>
      <c r="J159" s="16"/>
      <c r="K159" s="20">
        <f>IFERROR(__xludf.DUMMYFUNCTION("""COMPUTED_VALUE"""),43790.0)</f>
        <v>43790</v>
      </c>
      <c r="L159" s="16" t="str">
        <f>IFERROR(__xludf.DUMMYFUNCTION("""COMPUTED_VALUE"""),"Medium")</f>
        <v>Medium</v>
      </c>
      <c r="M159" s="26" t="str">
        <f>IFERROR(__xludf.DUMMYFUNCTION("""COMPUTED_VALUE"""),"PartnerConnect  Technology")</f>
        <v>PartnerConnect  Technology</v>
      </c>
      <c r="N159" s="16" t="str">
        <f>IFERROR(__xludf.DUMMYFUNCTION("""COMPUTED_VALUE"""),"FY18 - Q3")</f>
        <v>FY18 - Q3</v>
      </c>
      <c r="O159" s="16">
        <f>IFERROR(__xludf.DUMMYFUNCTION("""COMPUTED_VALUE"""),5.0)</f>
        <v>5</v>
      </c>
      <c r="P159" s="16">
        <f>IFERROR(__xludf.DUMMYFUNCTION("""COMPUTED_VALUE"""),5.0)</f>
        <v>5</v>
      </c>
      <c r="Q159" s="16">
        <f>IFERROR(__xludf.DUMMYFUNCTION("""COMPUTED_VALUE"""),55.0)</f>
        <v>55</v>
      </c>
      <c r="R159" s="16">
        <f>IFERROR(__xludf.DUMMYFUNCTION("""COMPUTED_VALUE"""),17.0)</f>
        <v>17</v>
      </c>
      <c r="S159" s="16">
        <f>IFERROR(__xludf.DUMMYFUNCTION("""COMPUTED_VALUE"""),36498.0)</f>
        <v>36498</v>
      </c>
      <c r="T159" s="16">
        <f>IFERROR(__xludf.DUMMYFUNCTION("""COMPUTED_VALUE"""),27.0)</f>
        <v>27</v>
      </c>
      <c r="U159" s="16">
        <f>IFERROR(__xludf.DUMMYFUNCTION("""COMPUTED_VALUE"""),17.0)</f>
        <v>17</v>
      </c>
      <c r="V159" s="16">
        <f>IFERROR(__xludf.DUMMYFUNCTION("""COMPUTED_VALUE"""),17.0)</f>
        <v>17</v>
      </c>
      <c r="W159" s="16">
        <f>IFERROR(__xludf.DUMMYFUNCTION("""COMPUTED_VALUE"""),0.0)</f>
        <v>0</v>
      </c>
      <c r="X159" s="16" t="b">
        <f>IFERROR(__xludf.DUMMYFUNCTION("""COMPUTED_VALUE"""),TRUE)</f>
        <v>1</v>
      </c>
      <c r="Y159" s="16"/>
      <c r="Z159" s="16"/>
    </row>
    <row r="160">
      <c r="A160" s="16" t="str">
        <f>IFERROR(__xludf.DUMMYFUNCTION("""COMPUTED_VALUE"""),"Ontellus")</f>
        <v>Ontellus</v>
      </c>
      <c r="B160" s="16" t="str">
        <f>IFERROR(__xludf.DUMMYFUNCTION("""COMPUTED_VALUE"""),"Growth")</f>
        <v>Growth</v>
      </c>
      <c r="C160" s="26" t="str">
        <f>IFERROR(__xludf.DUMMYFUNCTION("""COMPUTED_VALUE"""),"NAM")</f>
        <v>NAM</v>
      </c>
      <c r="D160" s="16" t="str">
        <f>IFERROR(__xludf.DUMMYFUNCTION("""COMPUTED_VALUE"""),"Eric Apse")</f>
        <v>Eric Apse</v>
      </c>
      <c r="E160" s="26" t="str">
        <f>IFERROR(__xludf.DUMMYFUNCTION("""COMPUTED_VALUE"""),"United States")</f>
        <v>United States</v>
      </c>
      <c r="F160" s="16" t="str">
        <f>IFERROR(__xludf.DUMMYFUNCTION("""COMPUTED_VALUE"""),"ClaimCenter")</f>
        <v>ClaimCenter</v>
      </c>
      <c r="G160" s="20">
        <f>IFERROR(__xludf.DUMMYFUNCTION("""COMPUTED_VALUE"""),43476.0)</f>
        <v>43476</v>
      </c>
      <c r="H160" s="13">
        <f>IFERROR(__xludf.DUMMYFUNCTION("""COMPUTED_VALUE"""),44207.0)</f>
        <v>44207</v>
      </c>
      <c r="I160" s="13">
        <f>IFERROR(__xludf.DUMMYFUNCTION("""COMPUTED_VALUE"""),44334.0)</f>
        <v>44334</v>
      </c>
      <c r="J160" s="13">
        <f>IFERROR(__xludf.DUMMYFUNCTION("""COMPUTED_VALUE"""),44698.0)</f>
        <v>44698</v>
      </c>
      <c r="K160" s="13">
        <f>IFERROR(__xludf.DUMMYFUNCTION("""COMPUTED_VALUE"""),43668.0)</f>
        <v>43668</v>
      </c>
      <c r="L160" s="16" t="str">
        <f>IFERROR(__xludf.DUMMYFUNCTION("""COMPUTED_VALUE"""),"Medium")</f>
        <v>Medium</v>
      </c>
      <c r="M160" s="26" t="str">
        <f>IFERROR(__xludf.DUMMYFUNCTION("""COMPUTED_VALUE"""),"PartnerConnect  Technology")</f>
        <v>PartnerConnect  Technology</v>
      </c>
      <c r="N160" s="16" t="str">
        <f>IFERROR(__xludf.DUMMYFUNCTION("""COMPUTED_VALUE"""),"FY19 - Q2")</f>
        <v>FY19 - Q2</v>
      </c>
      <c r="O160" s="16">
        <f>IFERROR(__xludf.DUMMYFUNCTION("""COMPUTED_VALUE"""),1.0)</f>
        <v>1</v>
      </c>
      <c r="P160" s="16">
        <f>IFERROR(__xludf.DUMMYFUNCTION("""COMPUTED_VALUE"""),1.0)</f>
        <v>1</v>
      </c>
      <c r="Q160" s="16">
        <f>IFERROR(__xludf.DUMMYFUNCTION("""COMPUTED_VALUE"""),0.0)</f>
        <v>0</v>
      </c>
      <c r="R160" s="16">
        <f>IFERROR(__xludf.DUMMYFUNCTION("""COMPUTED_VALUE"""),0.0)</f>
        <v>0</v>
      </c>
      <c r="S160" s="16">
        <f>IFERROR(__xludf.DUMMYFUNCTION("""COMPUTED_VALUE"""),0.0)</f>
        <v>0</v>
      </c>
      <c r="T160" s="16">
        <f>IFERROR(__xludf.DUMMYFUNCTION("""COMPUTED_VALUE"""),0.0)</f>
        <v>0</v>
      </c>
      <c r="U160" s="16">
        <f>IFERROR(__xludf.DUMMYFUNCTION("""COMPUTED_VALUE"""),0.0)</f>
        <v>0</v>
      </c>
      <c r="V160" s="16">
        <f>IFERROR(__xludf.DUMMYFUNCTION("""COMPUTED_VALUE"""),0.0)</f>
        <v>0</v>
      </c>
      <c r="W160" s="16">
        <f>IFERROR(__xludf.DUMMYFUNCTION("""COMPUTED_VALUE"""),0.0)</f>
        <v>0</v>
      </c>
      <c r="X160" s="16" t="b">
        <f>IFERROR(__xludf.DUMMYFUNCTION("""COMPUTED_VALUE"""),FALSE)</f>
        <v>0</v>
      </c>
      <c r="Y160" s="16"/>
      <c r="Z160" s="16"/>
    </row>
    <row r="161">
      <c r="A161" s="16" t="str">
        <f>IFERROR(__xludf.DUMMYFUNCTION("""COMPUTED_VALUE"""),"Open Text Corporation")</f>
        <v>Open Text Corporation</v>
      </c>
      <c r="B161" s="16" t="str">
        <f>IFERROR(__xludf.DUMMYFUNCTION("""COMPUTED_VALUE"""),"Premier")</f>
        <v>Premier</v>
      </c>
      <c r="C161" s="26" t="str">
        <f>IFERROR(__xludf.DUMMYFUNCTION("""COMPUTED_VALUE"""),"APAC, EMEA, NAM")</f>
        <v>APAC, EMEA, NAM</v>
      </c>
      <c r="D161" s="16" t="str">
        <f>IFERROR(__xludf.DUMMYFUNCTION("""COMPUTED_VALUE"""),"Tim Kennedy")</f>
        <v>Tim Kennedy</v>
      </c>
      <c r="E161" s="16" t="str">
        <f>IFERROR(__xludf.DUMMYFUNCTION("""COMPUTED_VALUE"""),"Australia New Zealand, Benelux, Czech Republic, France, Germany, India, Ireland, Sweden, Switzerland, Turkey, UK, United States")</f>
        <v>Australia New Zealand, Benelux, Czech Republic, France, Germany, India, Ireland, Sweden, Switzerland, Turkey, UK, United States</v>
      </c>
      <c r="F161" s="26" t="str">
        <f>IFERROR(__xludf.DUMMYFUNCTION("""COMPUTED_VALUE"""),"ClaimCenter, PolicyCenter, BillingCenter")</f>
        <v>ClaimCenter, PolicyCenter, BillingCenter</v>
      </c>
      <c r="G161" s="20">
        <f>IFERROR(__xludf.DUMMYFUNCTION("""COMPUTED_VALUE"""),43022.0)</f>
        <v>43022</v>
      </c>
      <c r="H161" s="16"/>
      <c r="I161" s="13">
        <f>IFERROR(__xludf.DUMMYFUNCTION("""COMPUTED_VALUE"""),42846.0)</f>
        <v>42846</v>
      </c>
      <c r="J161" s="16"/>
      <c r="K161" s="13">
        <f>IFERROR(__xludf.DUMMYFUNCTION("""COMPUTED_VALUE"""),40695.0)</f>
        <v>40695</v>
      </c>
      <c r="L161" s="16" t="str">
        <f>IFERROR(__xludf.DUMMYFUNCTION("""COMPUTED_VALUE"""),"High")</f>
        <v>High</v>
      </c>
      <c r="M161" s="26" t="str">
        <f>IFERROR(__xludf.DUMMYFUNCTION("""COMPUTED_VALUE"""),"PartnerConnect  Technology")</f>
        <v>PartnerConnect  Technology</v>
      </c>
      <c r="N161" s="16" t="str">
        <f>IFERROR(__xludf.DUMMYFUNCTION("""COMPUTED_VALUE"""),"FY17 - Q1")</f>
        <v>FY17 - Q1</v>
      </c>
      <c r="O161" s="16">
        <f>IFERROR(__xludf.DUMMYFUNCTION("""COMPUTED_VALUE"""),7.0)</f>
        <v>7</v>
      </c>
      <c r="P161" s="16">
        <f>IFERROR(__xludf.DUMMYFUNCTION("""COMPUTED_VALUE"""),7.0)</f>
        <v>7</v>
      </c>
      <c r="Q161" s="16">
        <f>IFERROR(__xludf.DUMMYFUNCTION("""COMPUTED_VALUE"""),122.0)</f>
        <v>122</v>
      </c>
      <c r="R161" s="16">
        <f>IFERROR(__xludf.DUMMYFUNCTION("""COMPUTED_VALUE"""),77.0)</f>
        <v>77</v>
      </c>
      <c r="S161" s="16">
        <f>IFERROR(__xludf.DUMMYFUNCTION("""COMPUTED_VALUE"""),31175.0)</f>
        <v>31175</v>
      </c>
      <c r="T161" s="16">
        <f>IFERROR(__xludf.DUMMYFUNCTION("""COMPUTED_VALUE"""),44.0)</f>
        <v>44</v>
      </c>
      <c r="U161" s="16">
        <f>IFERROR(__xludf.DUMMYFUNCTION("""COMPUTED_VALUE"""),63.0)</f>
        <v>63</v>
      </c>
      <c r="V161" s="16">
        <f>IFERROR(__xludf.DUMMYFUNCTION("""COMPUTED_VALUE"""),63.0)</f>
        <v>63</v>
      </c>
      <c r="W161" s="16">
        <f>IFERROR(__xludf.DUMMYFUNCTION("""COMPUTED_VALUE"""),0.0)</f>
        <v>0</v>
      </c>
      <c r="X161" s="16" t="b">
        <f>IFERROR(__xludf.DUMMYFUNCTION("""COMPUTED_VALUE"""),FALSE)</f>
        <v>0</v>
      </c>
      <c r="Y161" s="16"/>
      <c r="Z161" s="16"/>
    </row>
    <row r="162">
      <c r="A162" s="16" t="str">
        <f>IFERROR(__xludf.DUMMYFUNCTION("""COMPUTED_VALUE"""),"Opta Information Intelligence")</f>
        <v>Opta Information Intelligence</v>
      </c>
      <c r="B162" s="16"/>
      <c r="C162" s="26" t="str">
        <f>IFERROR(__xludf.DUMMYFUNCTION("""COMPUTED_VALUE"""),"NAM")</f>
        <v>NAM</v>
      </c>
      <c r="D162" s="16" t="str">
        <f>IFERROR(__xludf.DUMMYFUNCTION("""COMPUTED_VALUE"""),"Tim Kennedy")</f>
        <v>Tim Kennedy</v>
      </c>
      <c r="E162" s="26" t="str">
        <f>IFERROR(__xludf.DUMMYFUNCTION("""COMPUTED_VALUE"""),"Canada")</f>
        <v>Canada</v>
      </c>
      <c r="F162" s="26" t="str">
        <f>IFERROR(__xludf.DUMMYFUNCTION("""COMPUTED_VALUE"""),"PolicyCenter")</f>
        <v>PolicyCenter</v>
      </c>
      <c r="G162" s="20">
        <f>IFERROR(__xludf.DUMMYFUNCTION("""COMPUTED_VALUE"""),43132.0)</f>
        <v>43132</v>
      </c>
      <c r="H162" s="20"/>
      <c r="I162" s="20">
        <f>IFERROR(__xludf.DUMMYFUNCTION("""COMPUTED_VALUE"""),43132.0)</f>
        <v>43132</v>
      </c>
      <c r="J162" s="16"/>
      <c r="K162" s="13">
        <f>IFERROR(__xludf.DUMMYFUNCTION("""COMPUTED_VALUE"""),43355.0)</f>
        <v>43355</v>
      </c>
      <c r="L162" s="16" t="str">
        <f>IFERROR(__xludf.DUMMYFUNCTION("""COMPUTED_VALUE"""),"Medium")</f>
        <v>Medium</v>
      </c>
      <c r="M162" s="26" t="str">
        <f>IFERROR(__xludf.DUMMYFUNCTION("""COMPUTED_VALUE"""),"PartnerConnect  Technology")</f>
        <v>PartnerConnect  Technology</v>
      </c>
      <c r="N162" s="16" t="str">
        <f>IFERROR(__xludf.DUMMYFUNCTION("""COMPUTED_VALUE"""),"FY18 - Q2")</f>
        <v>FY18 - Q2</v>
      </c>
      <c r="O162" s="16">
        <f>IFERROR(__xludf.DUMMYFUNCTION("""COMPUTED_VALUE"""),0.0)</f>
        <v>0</v>
      </c>
      <c r="P162" s="16">
        <f>IFERROR(__xludf.DUMMYFUNCTION("""COMPUTED_VALUE"""),0.0)</f>
        <v>0</v>
      </c>
      <c r="Q162" s="16">
        <f>IFERROR(__xludf.DUMMYFUNCTION("""COMPUTED_VALUE"""),0.0)</f>
        <v>0</v>
      </c>
      <c r="R162" s="16">
        <f>IFERROR(__xludf.DUMMYFUNCTION("""COMPUTED_VALUE"""),0.0)</f>
        <v>0</v>
      </c>
      <c r="S162" s="16">
        <f>IFERROR(__xludf.DUMMYFUNCTION("""COMPUTED_VALUE"""),0.0)</f>
        <v>0</v>
      </c>
      <c r="T162" s="16">
        <f>IFERROR(__xludf.DUMMYFUNCTION("""COMPUTED_VALUE"""),0.0)</f>
        <v>0</v>
      </c>
      <c r="U162" s="16">
        <f>IFERROR(__xludf.DUMMYFUNCTION("""COMPUTED_VALUE"""),0.0)</f>
        <v>0</v>
      </c>
      <c r="V162" s="16">
        <f>IFERROR(__xludf.DUMMYFUNCTION("""COMPUTED_VALUE"""),0.0)</f>
        <v>0</v>
      </c>
      <c r="W162" s="16">
        <f>IFERROR(__xludf.DUMMYFUNCTION("""COMPUTED_VALUE"""),0.0)</f>
        <v>0</v>
      </c>
      <c r="X162" s="16" t="b">
        <f>IFERROR(__xludf.DUMMYFUNCTION("""COMPUTED_VALUE"""),FALSE)</f>
        <v>0</v>
      </c>
      <c r="Y162" s="16"/>
      <c r="Z162" s="16"/>
    </row>
    <row r="163">
      <c r="A163" s="16" t="str">
        <f>IFERROR(__xludf.DUMMYFUNCTION("""COMPUTED_VALUE"""),"Optum Financial")</f>
        <v>Optum Financial</v>
      </c>
      <c r="B163" s="16" t="str">
        <f>IFERROR(__xludf.DUMMYFUNCTION("""COMPUTED_VALUE"""),"Growth")</f>
        <v>Growth</v>
      </c>
      <c r="C163" s="26" t="str">
        <f>IFERROR(__xludf.DUMMYFUNCTION("""COMPUTED_VALUE"""),"NAM")</f>
        <v>NAM</v>
      </c>
      <c r="D163" s="16" t="str">
        <f>IFERROR(__xludf.DUMMYFUNCTION("""COMPUTED_VALUE"""),"Aaron Shaw")</f>
        <v>Aaron Shaw</v>
      </c>
      <c r="E163" s="16" t="str">
        <f>IFERROR(__xludf.DUMMYFUNCTION("""COMPUTED_VALUE"""),"United States")</f>
        <v>United States</v>
      </c>
      <c r="F163" s="26" t="str">
        <f>IFERROR(__xludf.DUMMYFUNCTION("""COMPUTED_VALUE"""),"ClaimCenter")</f>
        <v>ClaimCenter</v>
      </c>
      <c r="G163" s="20">
        <f>IFERROR(__xludf.DUMMYFUNCTION("""COMPUTED_VALUE"""),43891.0)</f>
        <v>43891</v>
      </c>
      <c r="H163" s="20">
        <f>IFERROR(__xludf.DUMMYFUNCTION("""COMPUTED_VALUE"""),44621.0)</f>
        <v>44621</v>
      </c>
      <c r="I163" s="20">
        <f>IFERROR(__xludf.DUMMYFUNCTION("""COMPUTED_VALUE"""),43891.0)</f>
        <v>43891</v>
      </c>
      <c r="J163" s="20"/>
      <c r="K163" s="13">
        <f>IFERROR(__xludf.DUMMYFUNCTION("""COMPUTED_VALUE"""),44168.0)</f>
        <v>44168</v>
      </c>
      <c r="L163" s="16" t="str">
        <f>IFERROR(__xludf.DUMMYFUNCTION("""COMPUTED_VALUE"""),"Medium")</f>
        <v>Medium</v>
      </c>
      <c r="M163" s="26" t="str">
        <f>IFERROR(__xludf.DUMMYFUNCTION("""COMPUTED_VALUE"""),"PartnerConnect  Technology")</f>
        <v>PartnerConnect  Technology</v>
      </c>
      <c r="N163" s="16" t="str">
        <f>IFERROR(__xludf.DUMMYFUNCTION("""COMPUTED_VALUE"""),"FY20 - Q2")</f>
        <v>FY20 - Q2</v>
      </c>
      <c r="O163" s="16">
        <f>IFERROR(__xludf.DUMMYFUNCTION("""COMPUTED_VALUE"""),1.0)</f>
        <v>1</v>
      </c>
      <c r="P163" s="16">
        <f>IFERROR(__xludf.DUMMYFUNCTION("""COMPUTED_VALUE"""),1.0)</f>
        <v>1</v>
      </c>
      <c r="Q163" s="16">
        <f>IFERROR(__xludf.DUMMYFUNCTION("""COMPUTED_VALUE"""),0.0)</f>
        <v>0</v>
      </c>
      <c r="R163" s="16">
        <f>IFERROR(__xludf.DUMMYFUNCTION("""COMPUTED_VALUE"""),0.0)</f>
        <v>0</v>
      </c>
      <c r="S163" s="16">
        <f>IFERROR(__xludf.DUMMYFUNCTION("""COMPUTED_VALUE"""),17484.0)</f>
        <v>17484</v>
      </c>
      <c r="T163" s="16">
        <f>IFERROR(__xludf.DUMMYFUNCTION("""COMPUTED_VALUE"""),0.0)</f>
        <v>0</v>
      </c>
      <c r="U163" s="16">
        <f>IFERROR(__xludf.DUMMYFUNCTION("""COMPUTED_VALUE"""),0.0)</f>
        <v>0</v>
      </c>
      <c r="V163" s="16">
        <f>IFERROR(__xludf.DUMMYFUNCTION("""COMPUTED_VALUE"""),0.0)</f>
        <v>0</v>
      </c>
      <c r="W163" s="16">
        <f>IFERROR(__xludf.DUMMYFUNCTION("""COMPUTED_VALUE"""),0.0)</f>
        <v>0</v>
      </c>
      <c r="X163" s="16" t="b">
        <f>IFERROR(__xludf.DUMMYFUNCTION("""COMPUTED_VALUE"""),TRUE)</f>
        <v>1</v>
      </c>
      <c r="Y163" s="16"/>
      <c r="Z163" s="16"/>
    </row>
    <row r="164">
      <c r="A164" s="16" t="str">
        <f>IFERROR(__xludf.DUMMYFUNCTION("""COMPUTED_VALUE"""),"Paymentus")</f>
        <v>Paymentus</v>
      </c>
      <c r="B164" s="16" t="str">
        <f>IFERROR(__xludf.DUMMYFUNCTION("""COMPUTED_VALUE"""),"Advantage")</f>
        <v>Advantage</v>
      </c>
      <c r="C164" s="26" t="str">
        <f>IFERROR(__xludf.DUMMYFUNCTION("""COMPUTED_VALUE"""),"APAC, EMEA, NAM")</f>
        <v>APAC, EMEA, NAM</v>
      </c>
      <c r="D164" s="16" t="str">
        <f>IFERROR(__xludf.DUMMYFUNCTION("""COMPUTED_VALUE"""),"Shannon Spies")</f>
        <v>Shannon Spies</v>
      </c>
      <c r="E164" s="26" t="str">
        <f>IFERROR(__xludf.DUMMYFUNCTION("""COMPUTED_VALUE"""),"Canada, United States")</f>
        <v>Canada, United States</v>
      </c>
      <c r="F164" s="26" t="str">
        <f>IFERROR(__xludf.DUMMYFUNCTION("""COMPUTED_VALUE"""),"ClaimCenter, PolicyCenter, BillingCenter")</f>
        <v>ClaimCenter, PolicyCenter, BillingCenter</v>
      </c>
      <c r="G164" s="20">
        <f>IFERROR(__xludf.DUMMYFUNCTION("""COMPUTED_VALUE"""),44487.0)</f>
        <v>44487</v>
      </c>
      <c r="H164" s="13">
        <f>IFERROR(__xludf.DUMMYFUNCTION("""COMPUTED_VALUE"""),45216.0)</f>
        <v>45216</v>
      </c>
      <c r="I164" s="20">
        <f>IFERROR(__xludf.DUMMYFUNCTION("""COMPUTED_VALUE"""),44487.0)</f>
        <v>44487</v>
      </c>
      <c r="J164" s="16"/>
      <c r="K164" s="13">
        <f>IFERROR(__xludf.DUMMYFUNCTION("""COMPUTED_VALUE"""),45048.0)</f>
        <v>45048</v>
      </c>
      <c r="L164" s="16" t="str">
        <f>IFERROR(__xludf.DUMMYFUNCTION("""COMPUTED_VALUE"""),"Medium")</f>
        <v>Medium</v>
      </c>
      <c r="M164" s="26" t="str">
        <f>IFERROR(__xludf.DUMMYFUNCTION("""COMPUTED_VALUE"""),"PartnerConnect  Technology")</f>
        <v>PartnerConnect  Technology</v>
      </c>
      <c r="N164" s="16" t="str">
        <f>IFERROR(__xludf.DUMMYFUNCTION("""COMPUTED_VALUE"""),"FY21 - Q1")</f>
        <v>FY21 - Q1</v>
      </c>
      <c r="O164" s="16">
        <f>IFERROR(__xludf.DUMMYFUNCTION("""COMPUTED_VALUE"""),4.0)</f>
        <v>4</v>
      </c>
      <c r="P164" s="16">
        <f>IFERROR(__xludf.DUMMYFUNCTION("""COMPUTED_VALUE"""),4.0)</f>
        <v>4</v>
      </c>
      <c r="Q164" s="16">
        <f>IFERROR(__xludf.DUMMYFUNCTION("""COMPUTED_VALUE"""),88.0)</f>
        <v>88</v>
      </c>
      <c r="R164" s="16">
        <f>IFERROR(__xludf.DUMMYFUNCTION("""COMPUTED_VALUE"""),62.0)</f>
        <v>62</v>
      </c>
      <c r="S164" s="16">
        <f>IFERROR(__xludf.DUMMYFUNCTION("""COMPUTED_VALUE"""),65754.0)</f>
        <v>65754</v>
      </c>
      <c r="T164" s="16">
        <f>IFERROR(__xludf.DUMMYFUNCTION("""COMPUTED_VALUE"""),36.0)</f>
        <v>36</v>
      </c>
      <c r="U164" s="16">
        <f>IFERROR(__xludf.DUMMYFUNCTION("""COMPUTED_VALUE"""),44.0)</f>
        <v>44</v>
      </c>
      <c r="V164" s="16">
        <f>IFERROR(__xludf.DUMMYFUNCTION("""COMPUTED_VALUE"""),44.0)</f>
        <v>44</v>
      </c>
      <c r="W164" s="16">
        <f>IFERROR(__xludf.DUMMYFUNCTION("""COMPUTED_VALUE"""),0.0)</f>
        <v>0</v>
      </c>
      <c r="X164" s="16" t="b">
        <f>IFERROR(__xludf.DUMMYFUNCTION("""COMPUTED_VALUE"""),TRUE)</f>
        <v>1</v>
      </c>
      <c r="Y164" s="16"/>
      <c r="Z164" s="16"/>
    </row>
    <row r="165">
      <c r="A165" s="16" t="str">
        <f>IFERROR(__xludf.DUMMYFUNCTION("""COMPUTED_VALUE"""),"Perforce Software, Inc.")</f>
        <v>Perforce Software, Inc.</v>
      </c>
      <c r="B165" s="16" t="str">
        <f>IFERROR(__xludf.DUMMYFUNCTION("""COMPUTED_VALUE"""),"Growth")</f>
        <v>Growth</v>
      </c>
      <c r="C165" s="26" t="str">
        <f>IFERROR(__xludf.DUMMYFUNCTION("""COMPUTED_VALUE"""),"NAM")</f>
        <v>NAM</v>
      </c>
      <c r="D165" s="16" t="str">
        <f>IFERROR(__xludf.DUMMYFUNCTION("""COMPUTED_VALUE"""),"Tim Kennedy")</f>
        <v>Tim Kennedy</v>
      </c>
      <c r="E165" s="26" t="str">
        <f>IFERROR(__xludf.DUMMYFUNCTION("""COMPUTED_VALUE"""),"Australia New Zealand,Austria,Benelux,Canada,Croatia,Czech Republic,Denmark,Finland,France,Germany,Hungary,India,Ireland,Israel,Italy,Japan,Norway,Poland,Russia,Slovakia,South America,Spain,Sweden,Switzerland,Turkey,UK,United States")</f>
        <v>Australia New Zealand,Austria,Benelux,Canada,Croatia,Czech Republic,Denmark,Finland,France,Germany,Hungary,India,Ireland,Israel,Italy,Japan,Norway,Poland,Russia,Slovakia,South America,Spain,Sweden,Switzerland,Turkey,UK,United States</v>
      </c>
      <c r="F165" s="26"/>
      <c r="G165" s="20">
        <f>IFERROR(__xludf.DUMMYFUNCTION("""COMPUTED_VALUE"""),45611.0)</f>
        <v>45611</v>
      </c>
      <c r="H165" s="20"/>
      <c r="I165" s="20"/>
      <c r="J165" s="16"/>
      <c r="K165" s="16"/>
      <c r="L165" s="16" t="str">
        <f>IFERROR(__xludf.DUMMYFUNCTION("""COMPUTED_VALUE"""),"Medium")</f>
        <v>Medium</v>
      </c>
      <c r="M165" s="26" t="str">
        <f>IFERROR(__xludf.DUMMYFUNCTION("""COMPUTED_VALUE"""),"PartnerConnect  Technology")</f>
        <v>PartnerConnect  Technology</v>
      </c>
      <c r="N165" s="16" t="str">
        <f>IFERROR(__xludf.DUMMYFUNCTION("""COMPUTED_VALUE"""),"FY24 - Q2")</f>
        <v>FY24 - Q2</v>
      </c>
      <c r="O165" s="16">
        <f>IFERROR(__xludf.DUMMYFUNCTION("""COMPUTED_VALUE"""),0.0)</f>
        <v>0</v>
      </c>
      <c r="P165" s="16">
        <f>IFERROR(__xludf.DUMMYFUNCTION("""COMPUTED_VALUE"""),0.0)</f>
        <v>0</v>
      </c>
      <c r="Q165" s="16">
        <f>IFERROR(__xludf.DUMMYFUNCTION("""COMPUTED_VALUE"""),0.0)</f>
        <v>0</v>
      </c>
      <c r="R165" s="16">
        <f>IFERROR(__xludf.DUMMYFUNCTION("""COMPUTED_VALUE"""),0.0)</f>
        <v>0</v>
      </c>
      <c r="S165" s="16">
        <f>IFERROR(__xludf.DUMMYFUNCTION("""COMPUTED_VALUE"""),0.0)</f>
        <v>0</v>
      </c>
      <c r="T165" s="16">
        <f>IFERROR(__xludf.DUMMYFUNCTION("""COMPUTED_VALUE"""),0.0)</f>
        <v>0</v>
      </c>
      <c r="U165" s="16">
        <f>IFERROR(__xludf.DUMMYFUNCTION("""COMPUTED_VALUE"""),0.0)</f>
        <v>0</v>
      </c>
      <c r="V165" s="16">
        <f>IFERROR(__xludf.DUMMYFUNCTION("""COMPUTED_VALUE"""),0.0)</f>
        <v>0</v>
      </c>
      <c r="W165" s="16">
        <f>IFERROR(__xludf.DUMMYFUNCTION("""COMPUTED_VALUE"""),0.0)</f>
        <v>0</v>
      </c>
      <c r="X165" s="16" t="b">
        <f>IFERROR(__xludf.DUMMYFUNCTION("""COMPUTED_VALUE"""),FALSE)</f>
        <v>0</v>
      </c>
      <c r="Y165" s="16"/>
      <c r="Z165" s="16"/>
    </row>
    <row r="166">
      <c r="A166" s="16" t="str">
        <f>IFERROR(__xludf.DUMMYFUNCTION("""COMPUTED_VALUE"""),"Perr &amp; Knight, Inc.")</f>
        <v>Perr &amp; Knight, Inc.</v>
      </c>
      <c r="B166" s="16" t="str">
        <f>IFERROR(__xludf.DUMMYFUNCTION("""COMPUTED_VALUE"""),"Advantage")</f>
        <v>Advantage</v>
      </c>
      <c r="C166" s="26" t="str">
        <f>IFERROR(__xludf.DUMMYFUNCTION("""COMPUTED_VALUE"""),"NAM")</f>
        <v>NAM</v>
      </c>
      <c r="D166" s="16" t="str">
        <f>IFERROR(__xludf.DUMMYFUNCTION("""COMPUTED_VALUE"""),"Aaron Shaw")</f>
        <v>Aaron Shaw</v>
      </c>
      <c r="E166" s="26"/>
      <c r="F166" s="26" t="str">
        <f>IFERROR(__xludf.DUMMYFUNCTION("""COMPUTED_VALUE"""),"ClaimCenter, PolicyCenter, InsuranceNow")</f>
        <v>ClaimCenter, PolicyCenter, InsuranceNow</v>
      </c>
      <c r="G166" s="20">
        <f>IFERROR(__xludf.DUMMYFUNCTION("""COMPUTED_VALUE"""),41918.0)</f>
        <v>41918</v>
      </c>
      <c r="H166" s="20"/>
      <c r="I166" s="20"/>
      <c r="J166" s="20"/>
      <c r="K166" s="20">
        <f>IFERROR(__xludf.DUMMYFUNCTION("""COMPUTED_VALUE"""),44468.0)</f>
        <v>44468</v>
      </c>
      <c r="L166" s="16" t="str">
        <f>IFERROR(__xludf.DUMMYFUNCTION("""COMPUTED_VALUE"""),"Medium")</f>
        <v>Medium</v>
      </c>
      <c r="M166" s="26" t="str">
        <f>IFERROR(__xludf.DUMMYFUNCTION("""COMPUTED_VALUE"""),"PartnerConnect  Technology")</f>
        <v>PartnerConnect  Technology</v>
      </c>
      <c r="N166" s="16" t="str">
        <f>IFERROR(__xludf.DUMMYFUNCTION("""COMPUTED_VALUE"""),"FY14 - Q1")</f>
        <v>FY14 - Q1</v>
      </c>
      <c r="O166" s="16">
        <f>IFERROR(__xludf.DUMMYFUNCTION("""COMPUTED_VALUE"""),1.0)</f>
        <v>1</v>
      </c>
      <c r="P166" s="16">
        <f>IFERROR(__xludf.DUMMYFUNCTION("""COMPUTED_VALUE"""),1.0)</f>
        <v>1</v>
      </c>
      <c r="Q166" s="16">
        <f>IFERROR(__xludf.DUMMYFUNCTION("""COMPUTED_VALUE"""),0.0)</f>
        <v>0</v>
      </c>
      <c r="R166" s="16">
        <f>IFERROR(__xludf.DUMMYFUNCTION("""COMPUTED_VALUE"""),0.0)</f>
        <v>0</v>
      </c>
      <c r="S166" s="16">
        <f>IFERROR(__xludf.DUMMYFUNCTION("""COMPUTED_VALUE"""),0.0)</f>
        <v>0</v>
      </c>
      <c r="T166" s="16">
        <f>IFERROR(__xludf.DUMMYFUNCTION("""COMPUTED_VALUE"""),0.0)</f>
        <v>0</v>
      </c>
      <c r="U166" s="16">
        <f>IFERROR(__xludf.DUMMYFUNCTION("""COMPUTED_VALUE"""),0.0)</f>
        <v>0</v>
      </c>
      <c r="V166" s="16">
        <f>IFERROR(__xludf.DUMMYFUNCTION("""COMPUTED_VALUE"""),0.0)</f>
        <v>0</v>
      </c>
      <c r="W166" s="16">
        <f>IFERROR(__xludf.DUMMYFUNCTION("""COMPUTED_VALUE"""),0.0)</f>
        <v>0</v>
      </c>
      <c r="X166" s="16" t="b">
        <f>IFERROR(__xludf.DUMMYFUNCTION("""COMPUTED_VALUE"""),FALSE)</f>
        <v>0</v>
      </c>
      <c r="Y166" s="16"/>
      <c r="Z166" s="16"/>
    </row>
    <row r="167">
      <c r="A167" s="16" t="str">
        <f>IFERROR(__xludf.DUMMYFUNCTION("""COMPUTED_VALUE"""),"Photocert")</f>
        <v>Photocert</v>
      </c>
      <c r="B167" s="16" t="str">
        <f>IFERROR(__xludf.DUMMYFUNCTION("""COMPUTED_VALUE"""),"Growth")</f>
        <v>Growth</v>
      </c>
      <c r="C167" s="26" t="str">
        <f>IFERROR(__xludf.DUMMYFUNCTION("""COMPUTED_VALUE"""),"EMEA")</f>
        <v>EMEA</v>
      </c>
      <c r="D167" s="16" t="str">
        <f>IFERROR(__xludf.DUMMYFUNCTION("""COMPUTED_VALUE"""),"Fatima Aoulagha-Bannou")</f>
        <v>Fatima Aoulagha-Bannou</v>
      </c>
      <c r="E167" s="16" t="str">
        <f>IFERROR(__xludf.DUMMYFUNCTION("""COMPUTED_VALUE"""),"UK")</f>
        <v>UK</v>
      </c>
      <c r="F167" s="26" t="str">
        <f>IFERROR(__xludf.DUMMYFUNCTION("""COMPUTED_VALUE"""),"ClaimCenter")</f>
        <v>ClaimCenter</v>
      </c>
      <c r="G167" s="20">
        <f>IFERROR(__xludf.DUMMYFUNCTION("""COMPUTED_VALUE"""),44775.0)</f>
        <v>44775</v>
      </c>
      <c r="H167" s="13">
        <f>IFERROR(__xludf.DUMMYFUNCTION("""COMPUTED_VALUE"""),45505.0)</f>
        <v>45505</v>
      </c>
      <c r="I167" s="20">
        <f>IFERROR(__xludf.DUMMYFUNCTION("""COMPUTED_VALUE"""),44775.0)</f>
        <v>44775</v>
      </c>
      <c r="J167" s="16"/>
      <c r="K167" s="13">
        <f>IFERROR(__xludf.DUMMYFUNCTION("""COMPUTED_VALUE"""),45516.0)</f>
        <v>45516</v>
      </c>
      <c r="L167" s="16" t="str">
        <f>IFERROR(__xludf.DUMMYFUNCTION("""COMPUTED_VALUE"""),"Medium")</f>
        <v>Medium</v>
      </c>
      <c r="M167" s="26" t="str">
        <f>IFERROR(__xludf.DUMMYFUNCTION("""COMPUTED_VALUE"""),"PartnerConnect  Technology")</f>
        <v>PartnerConnect  Technology</v>
      </c>
      <c r="N167" s="16" t="str">
        <f>IFERROR(__xludf.DUMMYFUNCTION("""COMPUTED_VALUE"""),"FY22 - Q1")</f>
        <v>FY22 - Q1</v>
      </c>
      <c r="O167" s="16">
        <f>IFERROR(__xludf.DUMMYFUNCTION("""COMPUTED_VALUE"""),1.0)</f>
        <v>1</v>
      </c>
      <c r="P167" s="16">
        <f>IFERROR(__xludf.DUMMYFUNCTION("""COMPUTED_VALUE"""),1.0)</f>
        <v>1</v>
      </c>
      <c r="Q167" s="16">
        <f>IFERROR(__xludf.DUMMYFUNCTION("""COMPUTED_VALUE"""),11.0)</f>
        <v>11</v>
      </c>
      <c r="R167" s="16">
        <f>IFERROR(__xludf.DUMMYFUNCTION("""COMPUTED_VALUE"""),11.0)</f>
        <v>11</v>
      </c>
      <c r="S167" s="16">
        <f>IFERROR(__xludf.DUMMYFUNCTION("""COMPUTED_VALUE"""),352.0)</f>
        <v>352</v>
      </c>
      <c r="T167" s="16">
        <f>IFERROR(__xludf.DUMMYFUNCTION("""COMPUTED_VALUE"""),10.0)</f>
        <v>10</v>
      </c>
      <c r="U167" s="16">
        <f>IFERROR(__xludf.DUMMYFUNCTION("""COMPUTED_VALUE"""),11.0)</f>
        <v>11</v>
      </c>
      <c r="V167" s="16">
        <f>IFERROR(__xludf.DUMMYFUNCTION("""COMPUTED_VALUE"""),11.0)</f>
        <v>11</v>
      </c>
      <c r="W167" s="16">
        <f>IFERROR(__xludf.DUMMYFUNCTION("""COMPUTED_VALUE"""),0.0)</f>
        <v>0</v>
      </c>
      <c r="X167" s="16" t="b">
        <f>IFERROR(__xludf.DUMMYFUNCTION("""COMPUTED_VALUE"""),FALSE)</f>
        <v>0</v>
      </c>
      <c r="Y167" s="16"/>
      <c r="Z167" s="16"/>
    </row>
    <row r="168">
      <c r="A168" s="16" t="str">
        <f>IFERROR(__xludf.DUMMYFUNCTION("""COMPUTED_VALUE"""),"Pilotbird")</f>
        <v>Pilotbird</v>
      </c>
      <c r="B168" s="16" t="str">
        <f>IFERROR(__xludf.DUMMYFUNCTION("""COMPUTED_VALUE"""),"Growth")</f>
        <v>Growth</v>
      </c>
      <c r="C168" s="26" t="str">
        <f>IFERROR(__xludf.DUMMYFUNCTION("""COMPUTED_VALUE"""),"NAM")</f>
        <v>NAM</v>
      </c>
      <c r="D168" s="16" t="str">
        <f>IFERROR(__xludf.DUMMYFUNCTION("""COMPUTED_VALUE"""),"Shannon Spies")</f>
        <v>Shannon Spies</v>
      </c>
      <c r="E168" s="26"/>
      <c r="F168" s="16" t="str">
        <f>IFERROR(__xludf.DUMMYFUNCTION("""COMPUTED_VALUE"""),"ClaimCenter")</f>
        <v>ClaimCenter</v>
      </c>
      <c r="G168" s="20">
        <f>IFERROR(__xludf.DUMMYFUNCTION("""COMPUTED_VALUE"""),45359.0)</f>
        <v>45359</v>
      </c>
      <c r="H168" s="13">
        <f>IFERROR(__xludf.DUMMYFUNCTION("""COMPUTED_VALUE"""),46089.0)</f>
        <v>46089</v>
      </c>
      <c r="I168" s="13">
        <f>IFERROR(__xludf.DUMMYFUNCTION("""COMPUTED_VALUE"""),45359.0)</f>
        <v>45359</v>
      </c>
      <c r="J168" s="13">
        <f>IFERROR(__xludf.DUMMYFUNCTION("""COMPUTED_VALUE"""),46089.0)</f>
        <v>46089</v>
      </c>
      <c r="K168" s="16"/>
      <c r="L168" s="16" t="str">
        <f>IFERROR(__xludf.DUMMYFUNCTION("""COMPUTED_VALUE"""),"Low")</f>
        <v>Low</v>
      </c>
      <c r="M168" s="26" t="str">
        <f>IFERROR(__xludf.DUMMYFUNCTION("""COMPUTED_VALUE"""),"PartnerConnect  Technology")</f>
        <v>PartnerConnect  Technology</v>
      </c>
      <c r="N168" s="16" t="str">
        <f>IFERROR(__xludf.DUMMYFUNCTION("""COMPUTED_VALUE"""),"FY24 - Q2")</f>
        <v>FY24 - Q2</v>
      </c>
      <c r="O168" s="16">
        <f>IFERROR(__xludf.DUMMYFUNCTION("""COMPUTED_VALUE"""),0.0)</f>
        <v>0</v>
      </c>
      <c r="P168" s="16">
        <f>IFERROR(__xludf.DUMMYFUNCTION("""COMPUTED_VALUE"""),0.0)</f>
        <v>0</v>
      </c>
      <c r="Q168" s="16">
        <f>IFERROR(__xludf.DUMMYFUNCTION("""COMPUTED_VALUE"""),0.0)</f>
        <v>0</v>
      </c>
      <c r="R168" s="16">
        <f>IFERROR(__xludf.DUMMYFUNCTION("""COMPUTED_VALUE"""),0.0)</f>
        <v>0</v>
      </c>
      <c r="S168" s="16">
        <f>IFERROR(__xludf.DUMMYFUNCTION("""COMPUTED_VALUE"""),0.0)</f>
        <v>0</v>
      </c>
      <c r="T168" s="16">
        <f>IFERROR(__xludf.DUMMYFUNCTION("""COMPUTED_VALUE"""),0.0)</f>
        <v>0</v>
      </c>
      <c r="U168" s="16">
        <f>IFERROR(__xludf.DUMMYFUNCTION("""COMPUTED_VALUE"""),0.0)</f>
        <v>0</v>
      </c>
      <c r="V168" s="16">
        <f>IFERROR(__xludf.DUMMYFUNCTION("""COMPUTED_VALUE"""),0.0)</f>
        <v>0</v>
      </c>
      <c r="W168" s="16">
        <f>IFERROR(__xludf.DUMMYFUNCTION("""COMPUTED_VALUE"""),0.0)</f>
        <v>0</v>
      </c>
      <c r="X168" s="16" t="b">
        <f>IFERROR(__xludf.DUMMYFUNCTION("""COMPUTED_VALUE"""),FALSE)</f>
        <v>0</v>
      </c>
      <c r="Y168" s="16"/>
      <c r="Z168" s="16"/>
    </row>
    <row r="169">
      <c r="A169" s="16" t="str">
        <f>IFERROR(__xludf.DUMMYFUNCTION("""COMPUTED_VALUE"""),"Postex Nederland bv")</f>
        <v>Postex Nederland bv</v>
      </c>
      <c r="B169" s="16" t="str">
        <f>IFERROR(__xludf.DUMMYFUNCTION("""COMPUTED_VALUE"""),"Growth")</f>
        <v>Growth</v>
      </c>
      <c r="C169" s="26" t="str">
        <f>IFERROR(__xludf.DUMMYFUNCTION("""COMPUTED_VALUE"""),"EMEA")</f>
        <v>EMEA</v>
      </c>
      <c r="D169" s="16" t="str">
        <f>IFERROR(__xludf.DUMMYFUNCTION("""COMPUTED_VALUE"""),"Vivienne Hoary")</f>
        <v>Vivienne Hoary</v>
      </c>
      <c r="E169" s="26" t="str">
        <f>IFERROR(__xludf.DUMMYFUNCTION("""COMPUTED_VALUE"""),"Benelux, France, Germany, Italy")</f>
        <v>Benelux, France, Germany, Italy</v>
      </c>
      <c r="F169" s="26" t="str">
        <f>IFERROR(__xludf.DUMMYFUNCTION("""COMPUTED_VALUE"""),"PolicyCenter")</f>
        <v>PolicyCenter</v>
      </c>
      <c r="G169" s="20">
        <f>IFERROR(__xludf.DUMMYFUNCTION("""COMPUTED_VALUE"""),45834.0)</f>
        <v>45834</v>
      </c>
      <c r="H169" s="20"/>
      <c r="I169" s="20">
        <f>IFERROR(__xludf.DUMMYFUNCTION("""COMPUTED_VALUE"""),45834.0)</f>
        <v>45834</v>
      </c>
      <c r="J169" s="16"/>
      <c r="K169" s="16"/>
      <c r="L169" s="16" t="str">
        <f>IFERROR(__xludf.DUMMYFUNCTION("""COMPUTED_VALUE"""),"Medium")</f>
        <v>Medium</v>
      </c>
      <c r="M169" s="26" t="str">
        <f>IFERROR(__xludf.DUMMYFUNCTION("""COMPUTED_VALUE"""),"PartnerConnect  Technology")</f>
        <v>PartnerConnect  Technology</v>
      </c>
      <c r="N169" s="16" t="str">
        <f>IFERROR(__xludf.DUMMYFUNCTION("""COMPUTED_VALUE"""),"FY25 - Q3")</f>
        <v>FY25 - Q3</v>
      </c>
      <c r="O169" s="16">
        <f>IFERROR(__xludf.DUMMYFUNCTION("""COMPUTED_VALUE"""),0.0)</f>
        <v>0</v>
      </c>
      <c r="P169" s="16">
        <f>IFERROR(__xludf.DUMMYFUNCTION("""COMPUTED_VALUE"""),0.0)</f>
        <v>0</v>
      </c>
      <c r="Q169" s="16">
        <f>IFERROR(__xludf.DUMMYFUNCTION("""COMPUTED_VALUE"""),0.0)</f>
        <v>0</v>
      </c>
      <c r="R169" s="16">
        <f>IFERROR(__xludf.DUMMYFUNCTION("""COMPUTED_VALUE"""),0.0)</f>
        <v>0</v>
      </c>
      <c r="S169" s="16">
        <f>IFERROR(__xludf.DUMMYFUNCTION("""COMPUTED_VALUE"""),0.0)</f>
        <v>0</v>
      </c>
      <c r="T169" s="16">
        <f>IFERROR(__xludf.DUMMYFUNCTION("""COMPUTED_VALUE"""),0.0)</f>
        <v>0</v>
      </c>
      <c r="U169" s="16">
        <f>IFERROR(__xludf.DUMMYFUNCTION("""COMPUTED_VALUE"""),0.0)</f>
        <v>0</v>
      </c>
      <c r="V169" s="16">
        <f>IFERROR(__xludf.DUMMYFUNCTION("""COMPUTED_VALUE"""),0.0)</f>
        <v>0</v>
      </c>
      <c r="W169" s="16">
        <f>IFERROR(__xludf.DUMMYFUNCTION("""COMPUTED_VALUE"""),20.0)</f>
        <v>20</v>
      </c>
      <c r="X169" s="16" t="b">
        <f>IFERROR(__xludf.DUMMYFUNCTION("""COMPUTED_VALUE"""),FALSE)</f>
        <v>0</v>
      </c>
      <c r="Y169" s="16"/>
      <c r="Z169" s="16"/>
    </row>
    <row r="170">
      <c r="A170" s="16" t="str">
        <f>IFERROR(__xludf.DUMMYFUNCTION("""COMPUTED_VALUE"""),"Precisely Software")</f>
        <v>Precisely Software</v>
      </c>
      <c r="B170" s="16" t="str">
        <f>IFERROR(__xludf.DUMMYFUNCTION("""COMPUTED_VALUE"""),"Growth")</f>
        <v>Growth</v>
      </c>
      <c r="C170" s="26" t="str">
        <f>IFERROR(__xludf.DUMMYFUNCTION("""COMPUTED_VALUE"""),"APAC, EMEA, NAM, LatAm")</f>
        <v>APAC, EMEA, NAM, LatAm</v>
      </c>
      <c r="D170" s="16" t="str">
        <f>IFERROR(__xludf.DUMMYFUNCTION("""COMPUTED_VALUE"""),"Tim Kennedy")</f>
        <v>Tim Kennedy</v>
      </c>
      <c r="E170" s="26" t="str">
        <f>IFERROR(__xludf.DUMMYFUNCTION("""COMPUTED_VALUE"""),"United States")</f>
        <v>United States</v>
      </c>
      <c r="F170" s="26" t="str">
        <f>IFERROR(__xludf.DUMMYFUNCTION("""COMPUTED_VALUE"""),"ClaimCenter, PolicyCenter")</f>
        <v>ClaimCenter, PolicyCenter</v>
      </c>
      <c r="G170" s="20">
        <f>IFERROR(__xludf.DUMMYFUNCTION("""COMPUTED_VALUE"""),44935.0)</f>
        <v>44935</v>
      </c>
      <c r="H170" s="20">
        <f>IFERROR(__xludf.DUMMYFUNCTION("""COMPUTED_VALUE"""),45665.0)</f>
        <v>45665</v>
      </c>
      <c r="I170" s="20">
        <f>IFERROR(__xludf.DUMMYFUNCTION("""COMPUTED_VALUE"""),44935.0)</f>
        <v>44935</v>
      </c>
      <c r="J170" s="16"/>
      <c r="K170" s="13">
        <f>IFERROR(__xludf.DUMMYFUNCTION("""COMPUTED_VALUE"""),45939.0)</f>
        <v>45939</v>
      </c>
      <c r="L170" s="16" t="str">
        <f>IFERROR(__xludf.DUMMYFUNCTION("""COMPUTED_VALUE"""),"Medium")</f>
        <v>Medium</v>
      </c>
      <c r="M170" s="26" t="str">
        <f>IFERROR(__xludf.DUMMYFUNCTION("""COMPUTED_VALUE"""),"PartnerConnect  Technology")</f>
        <v>PartnerConnect  Technology</v>
      </c>
      <c r="N170" s="16" t="str">
        <f>IFERROR(__xludf.DUMMYFUNCTION("""COMPUTED_VALUE"""),"FY23 - Q2")</f>
        <v>FY23 - Q2</v>
      </c>
      <c r="O170" s="16">
        <f>IFERROR(__xludf.DUMMYFUNCTION("""COMPUTED_VALUE"""),2.0)</f>
        <v>2</v>
      </c>
      <c r="P170" s="16">
        <f>IFERROR(__xludf.DUMMYFUNCTION("""COMPUTED_VALUE"""),2.0)</f>
        <v>2</v>
      </c>
      <c r="Q170" s="16">
        <f>IFERROR(__xludf.DUMMYFUNCTION("""COMPUTED_VALUE"""),5.0)</f>
        <v>5</v>
      </c>
      <c r="R170" s="16">
        <f>IFERROR(__xludf.DUMMYFUNCTION("""COMPUTED_VALUE"""),5.0)</f>
        <v>5</v>
      </c>
      <c r="S170" s="16">
        <f>IFERROR(__xludf.DUMMYFUNCTION("""COMPUTED_VALUE"""),1326.0)</f>
        <v>1326</v>
      </c>
      <c r="T170" s="16">
        <f>IFERROR(__xludf.DUMMYFUNCTION("""COMPUTED_VALUE"""),3.0)</f>
        <v>3</v>
      </c>
      <c r="U170" s="16">
        <f>IFERROR(__xludf.DUMMYFUNCTION("""COMPUTED_VALUE"""),5.0)</f>
        <v>5</v>
      </c>
      <c r="V170" s="16">
        <f>IFERROR(__xludf.DUMMYFUNCTION("""COMPUTED_VALUE"""),5.0)</f>
        <v>5</v>
      </c>
      <c r="W170" s="16">
        <f>IFERROR(__xludf.DUMMYFUNCTION("""COMPUTED_VALUE"""),0.0)</f>
        <v>0</v>
      </c>
      <c r="X170" s="16" t="b">
        <f>IFERROR(__xludf.DUMMYFUNCTION("""COMPUTED_VALUE"""),TRUE)</f>
        <v>1</v>
      </c>
      <c r="Y170" s="16"/>
      <c r="Z170" s="16"/>
    </row>
    <row r="171">
      <c r="A171" s="16" t="str">
        <f>IFERROR(__xludf.DUMMYFUNCTION("""COMPUTED_VALUE"""),"Progi")</f>
        <v>Progi</v>
      </c>
      <c r="B171" s="16" t="str">
        <f>IFERROR(__xludf.DUMMYFUNCTION("""COMPUTED_VALUE"""),"Growth")</f>
        <v>Growth</v>
      </c>
      <c r="C171" s="26" t="str">
        <f>IFERROR(__xludf.DUMMYFUNCTION("""COMPUTED_VALUE"""),"NAM")</f>
        <v>NAM</v>
      </c>
      <c r="D171" s="16" t="str">
        <f>IFERROR(__xludf.DUMMYFUNCTION("""COMPUTED_VALUE"""),"Shannon Spies")</f>
        <v>Shannon Spies</v>
      </c>
      <c r="E171" s="26" t="str">
        <f>IFERROR(__xludf.DUMMYFUNCTION("""COMPUTED_VALUE"""),"Canada")</f>
        <v>Canada</v>
      </c>
      <c r="F171" s="26" t="str">
        <f>IFERROR(__xludf.DUMMYFUNCTION("""COMPUTED_VALUE"""),"ClaimCenter")</f>
        <v>ClaimCenter</v>
      </c>
      <c r="G171" s="20">
        <f>IFERROR(__xludf.DUMMYFUNCTION("""COMPUTED_VALUE"""),45021.0)</f>
        <v>45021</v>
      </c>
      <c r="H171" s="13">
        <f>IFERROR(__xludf.DUMMYFUNCTION("""COMPUTED_VALUE"""),45752.0)</f>
        <v>45752</v>
      </c>
      <c r="I171" s="20">
        <f>IFERROR(__xludf.DUMMYFUNCTION("""COMPUTED_VALUE"""),45021.0)</f>
        <v>45021</v>
      </c>
      <c r="J171" s="13">
        <f>IFERROR(__xludf.DUMMYFUNCTION("""COMPUTED_VALUE"""),45752.0)</f>
        <v>45752</v>
      </c>
      <c r="K171" s="20">
        <f>IFERROR(__xludf.DUMMYFUNCTION("""COMPUTED_VALUE"""),45322.0)</f>
        <v>45322</v>
      </c>
      <c r="L171" s="16" t="str">
        <f>IFERROR(__xludf.DUMMYFUNCTION("""COMPUTED_VALUE"""),"Medium")</f>
        <v>Medium</v>
      </c>
      <c r="M171" s="26" t="str">
        <f>IFERROR(__xludf.DUMMYFUNCTION("""COMPUTED_VALUE"""),"PartnerConnect  Technology")</f>
        <v>PartnerConnect  Technology</v>
      </c>
      <c r="N171" s="16" t="str">
        <f>IFERROR(__xludf.DUMMYFUNCTION("""COMPUTED_VALUE"""),"FY23 - Q3")</f>
        <v>FY23 - Q3</v>
      </c>
      <c r="O171" s="16">
        <f>IFERROR(__xludf.DUMMYFUNCTION("""COMPUTED_VALUE"""),2.0)</f>
        <v>2</v>
      </c>
      <c r="P171" s="16">
        <f>IFERROR(__xludf.DUMMYFUNCTION("""COMPUTED_VALUE"""),2.0)</f>
        <v>2</v>
      </c>
      <c r="Q171" s="16">
        <f>IFERROR(__xludf.DUMMYFUNCTION("""COMPUTED_VALUE"""),12.0)</f>
        <v>12</v>
      </c>
      <c r="R171" s="16">
        <f>IFERROR(__xludf.DUMMYFUNCTION("""COMPUTED_VALUE"""),12.0)</f>
        <v>12</v>
      </c>
      <c r="S171" s="16">
        <f>IFERROR(__xludf.DUMMYFUNCTION("""COMPUTED_VALUE"""),17514.0)</f>
        <v>17514</v>
      </c>
      <c r="T171" s="16">
        <f>IFERROR(__xludf.DUMMYFUNCTION("""COMPUTED_VALUE"""),5.0)</f>
        <v>5</v>
      </c>
      <c r="U171" s="16">
        <f>IFERROR(__xludf.DUMMYFUNCTION("""COMPUTED_VALUE"""),8.0)</f>
        <v>8</v>
      </c>
      <c r="V171" s="16">
        <f>IFERROR(__xludf.DUMMYFUNCTION("""COMPUTED_VALUE"""),8.0)</f>
        <v>8</v>
      </c>
      <c r="W171" s="16">
        <f>IFERROR(__xludf.DUMMYFUNCTION("""COMPUTED_VALUE"""),0.0)</f>
        <v>0</v>
      </c>
      <c r="X171" s="16" t="b">
        <f>IFERROR(__xludf.DUMMYFUNCTION("""COMPUTED_VALUE"""),TRUE)</f>
        <v>1</v>
      </c>
      <c r="Y171" s="16"/>
      <c r="Z171" s="16"/>
    </row>
    <row r="172">
      <c r="A172" s="16" t="str">
        <f>IFERROR(__xludf.DUMMYFUNCTION("""COMPUTED_VALUE"""),"PwC")</f>
        <v>PwC</v>
      </c>
      <c r="B172" s="16" t="str">
        <f>IFERROR(__xludf.DUMMYFUNCTION("""COMPUTED_VALUE"""),"Global Strategic")</f>
        <v>Global Strategic</v>
      </c>
      <c r="C172" s="26" t="str">
        <f>IFERROR(__xludf.DUMMYFUNCTION("""COMPUTED_VALUE"""),"APAC, EMEA, NAM, LatAm")</f>
        <v>APAC, EMEA, NAM, LatAm</v>
      </c>
      <c r="D172" s="16" t="str">
        <f>IFERROR(__xludf.DUMMYFUNCTION("""COMPUTED_VALUE"""),"Regina Kean")</f>
        <v>Regina Kean</v>
      </c>
      <c r="E172" s="26" t="str">
        <f>IFERROR(__xludf.DUMMYFUNCTION("""COMPUTED_VALUE"""),"Denmark, Finland, Norway")</f>
        <v>Denmark, Finland, Norway</v>
      </c>
      <c r="F172" s="26"/>
      <c r="G172" s="20">
        <f>IFERROR(__xludf.DUMMYFUNCTION("""COMPUTED_VALUE"""),41956.0)</f>
        <v>41956</v>
      </c>
      <c r="H172" s="20"/>
      <c r="I172" s="16"/>
      <c r="J172" s="16"/>
      <c r="K172" s="16"/>
      <c r="L172" s="16"/>
      <c r="M172" s="26" t="str">
        <f>IFERROR(__xludf.DUMMYFUNCTION("""COMPUTED_VALUE"""),"PartnerConnect  Consulting")</f>
        <v>PartnerConnect  Consulting</v>
      </c>
      <c r="N172" s="16" t="str">
        <f>IFERROR(__xludf.DUMMYFUNCTION("""COMPUTED_VALUE"""),"FY14 - Q2")</f>
        <v>FY14 - Q2</v>
      </c>
      <c r="O172" s="16">
        <f>IFERROR(__xludf.DUMMYFUNCTION("""COMPUTED_VALUE"""),20.0)</f>
        <v>20</v>
      </c>
      <c r="P172" s="16">
        <f>IFERROR(__xludf.DUMMYFUNCTION("""COMPUTED_VALUE"""),20.0)</f>
        <v>20</v>
      </c>
      <c r="Q172" s="16">
        <f>IFERROR(__xludf.DUMMYFUNCTION("""COMPUTED_VALUE"""),1.0)</f>
        <v>1</v>
      </c>
      <c r="R172" s="16">
        <f>IFERROR(__xludf.DUMMYFUNCTION("""COMPUTED_VALUE"""),1.0)</f>
        <v>1</v>
      </c>
      <c r="S172" s="16">
        <f>IFERROR(__xludf.DUMMYFUNCTION("""COMPUTED_VALUE"""),63784.0)</f>
        <v>63784</v>
      </c>
      <c r="T172" s="16">
        <f>IFERROR(__xludf.DUMMYFUNCTION("""COMPUTED_VALUE"""),1.0)</f>
        <v>1</v>
      </c>
      <c r="U172" s="16">
        <f>IFERROR(__xludf.DUMMYFUNCTION("""COMPUTED_VALUE"""),1.0)</f>
        <v>1</v>
      </c>
      <c r="V172" s="16">
        <f>IFERROR(__xludf.DUMMYFUNCTION("""COMPUTED_VALUE"""),1.0)</f>
        <v>1</v>
      </c>
      <c r="W172" s="16">
        <f>IFERROR(__xludf.DUMMYFUNCTION("""COMPUTED_VALUE"""),0.0)</f>
        <v>0</v>
      </c>
      <c r="X172" s="16" t="b">
        <f>IFERROR(__xludf.DUMMYFUNCTION("""COMPUTED_VALUE"""),TRUE)</f>
        <v>1</v>
      </c>
      <c r="Y172" s="16"/>
      <c r="Z172" s="16"/>
    </row>
    <row r="173">
      <c r="A173" s="16" t="str">
        <f>IFERROR(__xludf.DUMMYFUNCTION("""COMPUTED_VALUE"""),"Pypestream")</f>
        <v>Pypestream</v>
      </c>
      <c r="B173" s="16" t="str">
        <f>IFERROR(__xludf.DUMMYFUNCTION("""COMPUTED_VALUE"""),"Access")</f>
        <v>Access</v>
      </c>
      <c r="C173" s="26" t="str">
        <f>IFERROR(__xludf.DUMMYFUNCTION("""COMPUTED_VALUE"""),"NAM")</f>
        <v>NAM</v>
      </c>
      <c r="D173" s="16" t="str">
        <f>IFERROR(__xludf.DUMMYFUNCTION("""COMPUTED_VALUE"""),"Aaron Shaw")</f>
        <v>Aaron Shaw</v>
      </c>
      <c r="E173" s="26" t="str">
        <f>IFERROR(__xludf.DUMMYFUNCTION("""COMPUTED_VALUE"""),"Canada, South America, UK, United States")</f>
        <v>Canada, South America, UK, United States</v>
      </c>
      <c r="F173" s="26" t="str">
        <f>IFERROR(__xludf.DUMMYFUNCTION("""COMPUTED_VALUE"""),"PolicyCenter")</f>
        <v>PolicyCenter</v>
      </c>
      <c r="G173" s="20">
        <f>IFERROR(__xludf.DUMMYFUNCTION("""COMPUTED_VALUE"""),44841.0)</f>
        <v>44841</v>
      </c>
      <c r="H173" s="20">
        <f>IFERROR(__xludf.DUMMYFUNCTION("""COMPUTED_VALUE"""),45571.0)</f>
        <v>45571</v>
      </c>
      <c r="I173" s="20">
        <f>IFERROR(__xludf.DUMMYFUNCTION("""COMPUTED_VALUE"""),44841.0)</f>
        <v>44841</v>
      </c>
      <c r="J173" s="16"/>
      <c r="K173" s="16"/>
      <c r="L173" s="16" t="str">
        <f>IFERROR(__xludf.DUMMYFUNCTION("""COMPUTED_VALUE"""),"Low")</f>
        <v>Low</v>
      </c>
      <c r="M173" s="26" t="str">
        <f>IFERROR(__xludf.DUMMYFUNCTION("""COMPUTED_VALUE"""),"PartnerConnect  Technology")</f>
        <v>PartnerConnect  Technology</v>
      </c>
      <c r="N173" s="16" t="str">
        <f>IFERROR(__xludf.DUMMYFUNCTION("""COMPUTED_VALUE"""),"FY22 - Q1")</f>
        <v>FY22 - Q1</v>
      </c>
      <c r="O173" s="16">
        <f>IFERROR(__xludf.DUMMYFUNCTION("""COMPUTED_VALUE"""),0.0)</f>
        <v>0</v>
      </c>
      <c r="P173" s="16">
        <f>IFERROR(__xludf.DUMMYFUNCTION("""COMPUTED_VALUE"""),0.0)</f>
        <v>0</v>
      </c>
      <c r="Q173" s="16">
        <f>IFERROR(__xludf.DUMMYFUNCTION("""COMPUTED_VALUE"""),0.0)</f>
        <v>0</v>
      </c>
      <c r="R173" s="16">
        <f>IFERROR(__xludf.DUMMYFUNCTION("""COMPUTED_VALUE"""),0.0)</f>
        <v>0</v>
      </c>
      <c r="S173" s="16">
        <f>IFERROR(__xludf.DUMMYFUNCTION("""COMPUTED_VALUE"""),0.0)</f>
        <v>0</v>
      </c>
      <c r="T173" s="16">
        <f>IFERROR(__xludf.DUMMYFUNCTION("""COMPUTED_VALUE"""),0.0)</f>
        <v>0</v>
      </c>
      <c r="U173" s="16">
        <f>IFERROR(__xludf.DUMMYFUNCTION("""COMPUTED_VALUE"""),0.0)</f>
        <v>0</v>
      </c>
      <c r="V173" s="16">
        <f>IFERROR(__xludf.DUMMYFUNCTION("""COMPUTED_VALUE"""),0.0)</f>
        <v>0</v>
      </c>
      <c r="W173" s="16">
        <f>IFERROR(__xludf.DUMMYFUNCTION("""COMPUTED_VALUE"""),0.0)</f>
        <v>0</v>
      </c>
      <c r="X173" s="16" t="b">
        <f>IFERROR(__xludf.DUMMYFUNCTION("""COMPUTED_VALUE"""),FALSE)</f>
        <v>0</v>
      </c>
      <c r="Y173" s="16"/>
      <c r="Z173" s="16"/>
    </row>
    <row r="174">
      <c r="A174" s="16" t="str">
        <f>IFERROR(__xludf.DUMMYFUNCTION("""COMPUTED_VALUE"""),"Qidenus Group GmbH")</f>
        <v>Qidenus Group GmbH</v>
      </c>
      <c r="B174" s="16" t="str">
        <f>IFERROR(__xludf.DUMMYFUNCTION("""COMPUTED_VALUE"""),"Growth")</f>
        <v>Growth</v>
      </c>
      <c r="C174" s="26" t="str">
        <f>IFERROR(__xludf.DUMMYFUNCTION("""COMPUTED_VALUE"""),"EMEA, NAM")</f>
        <v>EMEA, NAM</v>
      </c>
      <c r="D174" s="16" t="str">
        <f>IFERROR(__xludf.DUMMYFUNCTION("""COMPUTED_VALUE"""),"Vivienne Hoary")</f>
        <v>Vivienne Hoary</v>
      </c>
      <c r="E174" s="26" t="str">
        <f>IFERROR(__xludf.DUMMYFUNCTION("""COMPUTED_VALUE"""),"France")</f>
        <v>France</v>
      </c>
      <c r="F174" s="26" t="str">
        <f>IFERROR(__xludf.DUMMYFUNCTION("""COMPUTED_VALUE"""),"ClaimCenter")</f>
        <v>ClaimCenter</v>
      </c>
      <c r="G174" s="20">
        <f>IFERROR(__xludf.DUMMYFUNCTION("""COMPUTED_VALUE"""),44456.0)</f>
        <v>44456</v>
      </c>
      <c r="H174" s="13">
        <f>IFERROR(__xludf.DUMMYFUNCTION("""COMPUTED_VALUE"""),45185.0)</f>
        <v>45185</v>
      </c>
      <c r="I174" s="13">
        <f>IFERROR(__xludf.DUMMYFUNCTION("""COMPUTED_VALUE"""),44456.0)</f>
        <v>44456</v>
      </c>
      <c r="J174" s="16"/>
      <c r="K174" s="16"/>
      <c r="L174" s="16" t="str">
        <f>IFERROR(__xludf.DUMMYFUNCTION("""COMPUTED_VALUE"""),"Medium")</f>
        <v>Medium</v>
      </c>
      <c r="M174" s="26" t="str">
        <f>IFERROR(__xludf.DUMMYFUNCTION("""COMPUTED_VALUE"""),"PartnerConnect  Technology")</f>
        <v>PartnerConnect  Technology</v>
      </c>
      <c r="N174" s="16" t="str">
        <f>IFERROR(__xludf.DUMMYFUNCTION("""COMPUTED_VALUE"""),"FY21 - Q1")</f>
        <v>FY21 - Q1</v>
      </c>
      <c r="O174" s="16">
        <f>IFERROR(__xludf.DUMMYFUNCTION("""COMPUTED_VALUE"""),0.0)</f>
        <v>0</v>
      </c>
      <c r="P174" s="16">
        <f>IFERROR(__xludf.DUMMYFUNCTION("""COMPUTED_VALUE"""),0.0)</f>
        <v>0</v>
      </c>
      <c r="Q174" s="16">
        <f>IFERROR(__xludf.DUMMYFUNCTION("""COMPUTED_VALUE"""),0.0)</f>
        <v>0</v>
      </c>
      <c r="R174" s="16">
        <f>IFERROR(__xludf.DUMMYFUNCTION("""COMPUTED_VALUE"""),0.0)</f>
        <v>0</v>
      </c>
      <c r="S174" s="16">
        <f>IFERROR(__xludf.DUMMYFUNCTION("""COMPUTED_VALUE"""),0.0)</f>
        <v>0</v>
      </c>
      <c r="T174" s="16">
        <f>IFERROR(__xludf.DUMMYFUNCTION("""COMPUTED_VALUE"""),0.0)</f>
        <v>0</v>
      </c>
      <c r="U174" s="16">
        <f>IFERROR(__xludf.DUMMYFUNCTION("""COMPUTED_VALUE"""),0.0)</f>
        <v>0</v>
      </c>
      <c r="V174" s="16">
        <f>IFERROR(__xludf.DUMMYFUNCTION("""COMPUTED_VALUE"""),0.0)</f>
        <v>0</v>
      </c>
      <c r="W174" s="16">
        <f>IFERROR(__xludf.DUMMYFUNCTION("""COMPUTED_VALUE"""),0.0)</f>
        <v>0</v>
      </c>
      <c r="X174" s="16" t="b">
        <f>IFERROR(__xludf.DUMMYFUNCTION("""COMPUTED_VALUE"""),FALSE)</f>
        <v>0</v>
      </c>
      <c r="Y174" s="16"/>
      <c r="Z174" s="16"/>
    </row>
    <row r="175">
      <c r="A175" s="16" t="str">
        <f>IFERROR(__xludf.DUMMYFUNCTION("""COMPUTED_VALUE"""),"Quadient")</f>
        <v>Quadient</v>
      </c>
      <c r="B175" s="16" t="str">
        <f>IFERROR(__xludf.DUMMYFUNCTION("""COMPUTED_VALUE"""),"Premier")</f>
        <v>Premier</v>
      </c>
      <c r="C175" s="26" t="str">
        <f>IFERROR(__xludf.DUMMYFUNCTION("""COMPUTED_VALUE"""),"APAC, EMEA, NAM, LatAm")</f>
        <v>APAC, EMEA, NAM, LatAm</v>
      </c>
      <c r="D175" s="16" t="str">
        <f>IFERROR(__xludf.DUMMYFUNCTION("""COMPUTED_VALUE"""),"Eric Apse")</f>
        <v>Eric Apse</v>
      </c>
      <c r="E175" s="26" t="str">
        <f>IFERROR(__xludf.DUMMYFUNCTION("""COMPUTED_VALUE"""),"Canada, Czech Republic, Denmark, France, Germany, Hungary, India, Italy, Poland, South America, Spain, Switzerland, UK, United States")</f>
        <v>Canada, Czech Republic, Denmark, France, Germany, Hungary, India, Italy, Poland, South America, Spain, Switzerland, UK, United States</v>
      </c>
      <c r="F175" s="26" t="str">
        <f>IFERROR(__xludf.DUMMYFUNCTION("""COMPUTED_VALUE"""),"ClaimCenter, PolicyCenter, BillingCenter")</f>
        <v>ClaimCenter, PolicyCenter, BillingCenter</v>
      </c>
      <c r="G175" s="20">
        <f>IFERROR(__xludf.DUMMYFUNCTION("""COMPUTED_VALUE"""),42151.0)</f>
        <v>42151</v>
      </c>
      <c r="H175" s="16"/>
      <c r="I175" s="20">
        <f>IFERROR(__xludf.DUMMYFUNCTION("""COMPUTED_VALUE"""),42198.0)</f>
        <v>42198</v>
      </c>
      <c r="J175" s="16"/>
      <c r="K175" s="13">
        <f>IFERROR(__xludf.DUMMYFUNCTION("""COMPUTED_VALUE"""),42262.0)</f>
        <v>42262</v>
      </c>
      <c r="L175" s="16" t="str">
        <f>IFERROR(__xludf.DUMMYFUNCTION("""COMPUTED_VALUE"""),"Medium")</f>
        <v>Medium</v>
      </c>
      <c r="M175" s="26" t="str">
        <f>IFERROR(__xludf.DUMMYFUNCTION("""COMPUTED_VALUE"""),"PartnerConnect  Technology")</f>
        <v>PartnerConnect  Technology</v>
      </c>
      <c r="N175" s="16" t="str">
        <f>IFERROR(__xludf.DUMMYFUNCTION("""COMPUTED_VALUE"""),"FY15 - Q3")</f>
        <v>FY15 - Q3</v>
      </c>
      <c r="O175" s="16">
        <f>IFERROR(__xludf.DUMMYFUNCTION("""COMPUTED_VALUE"""),2.0)</f>
        <v>2</v>
      </c>
      <c r="P175" s="16">
        <f>IFERROR(__xludf.DUMMYFUNCTION("""COMPUTED_VALUE"""),2.0)</f>
        <v>2</v>
      </c>
      <c r="Q175" s="16">
        <f>IFERROR(__xludf.DUMMYFUNCTION("""COMPUTED_VALUE"""),52.0)</f>
        <v>52</v>
      </c>
      <c r="R175" s="16">
        <f>IFERROR(__xludf.DUMMYFUNCTION("""COMPUTED_VALUE"""),11.0)</f>
        <v>11</v>
      </c>
      <c r="S175" s="16">
        <f>IFERROR(__xludf.DUMMYFUNCTION("""COMPUTED_VALUE"""),20643.0)</f>
        <v>20643</v>
      </c>
      <c r="T175" s="16">
        <f>IFERROR(__xludf.DUMMYFUNCTION("""COMPUTED_VALUE"""),34.0)</f>
        <v>34</v>
      </c>
      <c r="U175" s="16">
        <f>IFERROR(__xludf.DUMMYFUNCTION("""COMPUTED_VALUE"""),0.0)</f>
        <v>0</v>
      </c>
      <c r="V175" s="16">
        <f>IFERROR(__xludf.DUMMYFUNCTION("""COMPUTED_VALUE"""),0.0)</f>
        <v>0</v>
      </c>
      <c r="W175" s="16">
        <f>IFERROR(__xludf.DUMMYFUNCTION("""COMPUTED_VALUE"""),35.0)</f>
        <v>35</v>
      </c>
      <c r="X175" s="16" t="b">
        <f>IFERROR(__xludf.DUMMYFUNCTION("""COMPUTED_VALUE"""),FALSE)</f>
        <v>0</v>
      </c>
      <c r="Y175" s="16"/>
      <c r="Z175" s="16"/>
    </row>
    <row r="176">
      <c r="A176" s="16" t="str">
        <f>IFERROR(__xludf.DUMMYFUNCTION("""COMPUTED_VALUE"""),"Quantexa Limited")</f>
        <v>Quantexa Limited</v>
      </c>
      <c r="B176" s="16" t="str">
        <f>IFERROR(__xludf.DUMMYFUNCTION("""COMPUTED_VALUE"""),"Growth")</f>
        <v>Growth</v>
      </c>
      <c r="C176" s="26" t="str">
        <f>IFERROR(__xludf.DUMMYFUNCTION("""COMPUTED_VALUE"""),"APAC, EMEA, NAM, LatAm")</f>
        <v>APAC, EMEA, NAM, LatAm</v>
      </c>
      <c r="D176" s="16" t="str">
        <f>IFERROR(__xludf.DUMMYFUNCTION("""COMPUTED_VALUE"""),"Vivienne Hoary")</f>
        <v>Vivienne Hoary</v>
      </c>
      <c r="E176" s="26" t="str">
        <f>IFERROR(__xludf.DUMMYFUNCTION("""COMPUTED_VALUE"""),"Australia New Zealand, Canada, UK, United States")</f>
        <v>Australia New Zealand, Canada, UK, United States</v>
      </c>
      <c r="F176" s="26" t="str">
        <f>IFERROR(__xludf.DUMMYFUNCTION("""COMPUTED_VALUE"""),"ClaimCenter, PolicyCenter")</f>
        <v>ClaimCenter, PolicyCenter</v>
      </c>
      <c r="G176" s="20">
        <f>IFERROR(__xludf.DUMMYFUNCTION("""COMPUTED_VALUE"""),45614.0)</f>
        <v>45614</v>
      </c>
      <c r="H176" s="13">
        <f>IFERROR(__xludf.DUMMYFUNCTION("""COMPUTED_VALUE"""),46344.0)</f>
        <v>46344</v>
      </c>
      <c r="I176" s="20">
        <f>IFERROR(__xludf.DUMMYFUNCTION("""COMPUTED_VALUE"""),45874.0)</f>
        <v>45874</v>
      </c>
      <c r="J176" s="16"/>
      <c r="K176" s="13">
        <f>IFERROR(__xludf.DUMMYFUNCTION("""COMPUTED_VALUE"""),46003.0)</f>
        <v>46003</v>
      </c>
      <c r="L176" s="16" t="str">
        <f>IFERROR(__xludf.DUMMYFUNCTION("""COMPUTED_VALUE"""),"Medium")</f>
        <v>Medium</v>
      </c>
      <c r="M176" s="26" t="str">
        <f>IFERROR(__xludf.DUMMYFUNCTION("""COMPUTED_VALUE"""),"PartnerConnect  Technology")</f>
        <v>PartnerConnect  Technology</v>
      </c>
      <c r="N176" s="16" t="str">
        <f>IFERROR(__xludf.DUMMYFUNCTION("""COMPUTED_VALUE"""),"FY24 - Q2")</f>
        <v>FY24 - Q2</v>
      </c>
      <c r="O176" s="16">
        <f>IFERROR(__xludf.DUMMYFUNCTION("""COMPUTED_VALUE"""),1.0)</f>
        <v>1</v>
      </c>
      <c r="P176" s="16">
        <f>IFERROR(__xludf.DUMMYFUNCTION("""COMPUTED_VALUE"""),1.0)</f>
        <v>1</v>
      </c>
      <c r="Q176" s="16">
        <f>IFERROR(__xludf.DUMMYFUNCTION("""COMPUTED_VALUE"""),0.0)</f>
        <v>0</v>
      </c>
      <c r="R176" s="16">
        <f>IFERROR(__xludf.DUMMYFUNCTION("""COMPUTED_VALUE"""),0.0)</f>
        <v>0</v>
      </c>
      <c r="S176" s="16">
        <f>IFERROR(__xludf.DUMMYFUNCTION("""COMPUTED_VALUE"""),498.0)</f>
        <v>498</v>
      </c>
      <c r="T176" s="16">
        <f>IFERROR(__xludf.DUMMYFUNCTION("""COMPUTED_VALUE"""),0.0)</f>
        <v>0</v>
      </c>
      <c r="U176" s="16">
        <f>IFERROR(__xludf.DUMMYFUNCTION("""COMPUTED_VALUE"""),0.0)</f>
        <v>0</v>
      </c>
      <c r="V176" s="16">
        <f>IFERROR(__xludf.DUMMYFUNCTION("""COMPUTED_VALUE"""),0.0)</f>
        <v>0</v>
      </c>
      <c r="W176" s="16">
        <f>IFERROR(__xludf.DUMMYFUNCTION("""COMPUTED_VALUE"""),11.0)</f>
        <v>11</v>
      </c>
      <c r="X176" s="16" t="b">
        <f>IFERROR(__xludf.DUMMYFUNCTION("""COMPUTED_VALUE"""),TRUE)</f>
        <v>1</v>
      </c>
      <c r="Y176" s="16"/>
      <c r="Z176" s="16"/>
    </row>
    <row r="177">
      <c r="A177" s="16" t="str">
        <f>IFERROR(__xludf.DUMMYFUNCTION("""COMPUTED_VALUE"""),"RegEd Inc.")</f>
        <v>RegEd Inc.</v>
      </c>
      <c r="B177" s="16" t="str">
        <f>IFERROR(__xludf.DUMMYFUNCTION("""COMPUTED_VALUE"""),"Growth")</f>
        <v>Growth</v>
      </c>
      <c r="C177" s="26" t="str">
        <f>IFERROR(__xludf.DUMMYFUNCTION("""COMPUTED_VALUE"""),"NAM")</f>
        <v>NAM</v>
      </c>
      <c r="D177" s="16" t="str">
        <f>IFERROR(__xludf.DUMMYFUNCTION("""COMPUTED_VALUE"""),"Shannon Spies")</f>
        <v>Shannon Spies</v>
      </c>
      <c r="E177" s="26" t="str">
        <f>IFERROR(__xludf.DUMMYFUNCTION("""COMPUTED_VALUE"""),"Canada")</f>
        <v>Canada</v>
      </c>
      <c r="F177" s="26" t="str">
        <f>IFERROR(__xludf.DUMMYFUNCTION("""COMPUTED_VALUE"""),"PolicyCenter")</f>
        <v>PolicyCenter</v>
      </c>
      <c r="G177" s="20">
        <f>IFERROR(__xludf.DUMMYFUNCTION("""COMPUTED_VALUE"""),45187.0)</f>
        <v>45187</v>
      </c>
      <c r="H177" s="16"/>
      <c r="I177" s="20"/>
      <c r="J177" s="16"/>
      <c r="K177" s="16"/>
      <c r="L177" s="16" t="str">
        <f>IFERROR(__xludf.DUMMYFUNCTION("""COMPUTED_VALUE"""),"Low")</f>
        <v>Low</v>
      </c>
      <c r="M177" s="26" t="str">
        <f>IFERROR(__xludf.DUMMYFUNCTION("""COMPUTED_VALUE"""),"PartnerConnect  Technology")</f>
        <v>PartnerConnect  Technology</v>
      </c>
      <c r="N177" s="16" t="str">
        <f>IFERROR(__xludf.DUMMYFUNCTION("""COMPUTED_VALUE"""),"FY23 - Q1")</f>
        <v>FY23 - Q1</v>
      </c>
      <c r="O177" s="16">
        <f>IFERROR(__xludf.DUMMYFUNCTION("""COMPUTED_VALUE"""),0.0)</f>
        <v>0</v>
      </c>
      <c r="P177" s="16">
        <f>IFERROR(__xludf.DUMMYFUNCTION("""COMPUTED_VALUE"""),0.0)</f>
        <v>0</v>
      </c>
      <c r="Q177" s="16">
        <f>IFERROR(__xludf.DUMMYFUNCTION("""COMPUTED_VALUE"""),0.0)</f>
        <v>0</v>
      </c>
      <c r="R177" s="16">
        <f>IFERROR(__xludf.DUMMYFUNCTION("""COMPUTED_VALUE"""),0.0)</f>
        <v>0</v>
      </c>
      <c r="S177" s="16">
        <f>IFERROR(__xludf.DUMMYFUNCTION("""COMPUTED_VALUE"""),0.0)</f>
        <v>0</v>
      </c>
      <c r="T177" s="16">
        <f>IFERROR(__xludf.DUMMYFUNCTION("""COMPUTED_VALUE"""),0.0)</f>
        <v>0</v>
      </c>
      <c r="U177" s="16">
        <f>IFERROR(__xludf.DUMMYFUNCTION("""COMPUTED_VALUE"""),0.0)</f>
        <v>0</v>
      </c>
      <c r="V177" s="16">
        <f>IFERROR(__xludf.DUMMYFUNCTION("""COMPUTED_VALUE"""),0.0)</f>
        <v>0</v>
      </c>
      <c r="W177" s="16">
        <f>IFERROR(__xludf.DUMMYFUNCTION("""COMPUTED_VALUE"""),10.0)</f>
        <v>10</v>
      </c>
      <c r="X177" s="16" t="b">
        <f>IFERROR(__xludf.DUMMYFUNCTION("""COMPUTED_VALUE"""),FALSE)</f>
        <v>0</v>
      </c>
      <c r="Y177" s="16"/>
      <c r="Z177" s="16"/>
    </row>
    <row r="178">
      <c r="A178" s="16" t="str">
        <f>IFERROR(__xludf.DUMMYFUNCTION("""COMPUTED_VALUE"""),"Replicant Solutions, Inc.")</f>
        <v>Replicant Solutions, Inc.</v>
      </c>
      <c r="B178" s="16" t="str">
        <f>IFERROR(__xludf.DUMMYFUNCTION("""COMPUTED_VALUE"""),"Growth")</f>
        <v>Growth</v>
      </c>
      <c r="C178" s="26" t="str">
        <f>IFERROR(__xludf.DUMMYFUNCTION("""COMPUTED_VALUE"""),"EMEA, NAM")</f>
        <v>EMEA, NAM</v>
      </c>
      <c r="D178" s="16" t="str">
        <f>IFERROR(__xludf.DUMMYFUNCTION("""COMPUTED_VALUE"""),"Rod Gowin")</f>
        <v>Rod Gowin</v>
      </c>
      <c r="E178" s="26" t="str">
        <f>IFERROR(__xludf.DUMMYFUNCTION("""COMPUTED_VALUE"""),"Australia New Zealand, Austria, Benelux, Canada, Croatia, Czech Republic, Denmark, Finland, France, Germany, Hungary, India, Ireland, Israel, Italy, Norway, Poland, Russia, Slovakia, South America, Spain, Sweden, Switzerland, Turkey, UK, United States")</f>
        <v>Australia New Zealand, Austria, Benelux, Canada, Croatia, Czech Republic, Denmark, Finland, France, Germany, Hungary, India, Ireland, Israel, Italy, Norway, Poland, Russia, Slovakia, South America, Spain, Sweden, Switzerland, Turkey, UK, United States</v>
      </c>
      <c r="F178" s="26" t="str">
        <f>IFERROR(__xludf.DUMMYFUNCTION("""COMPUTED_VALUE"""),"ClaimCenter")</f>
        <v>ClaimCenter</v>
      </c>
      <c r="G178" s="20">
        <f>IFERROR(__xludf.DUMMYFUNCTION("""COMPUTED_VALUE"""),45643.0)</f>
        <v>45643</v>
      </c>
      <c r="H178" s="16"/>
      <c r="I178" s="20">
        <f>IFERROR(__xludf.DUMMYFUNCTION("""COMPUTED_VALUE"""),45643.0)</f>
        <v>45643</v>
      </c>
      <c r="J178" s="16"/>
      <c r="K178" s="20"/>
      <c r="L178" s="16" t="str">
        <f>IFERROR(__xludf.DUMMYFUNCTION("""COMPUTED_VALUE"""),"Medium")</f>
        <v>Medium</v>
      </c>
      <c r="M178" s="26" t="str">
        <f>IFERROR(__xludf.DUMMYFUNCTION("""COMPUTED_VALUE"""),"PartnerConnect  Technology")</f>
        <v>PartnerConnect  Technology</v>
      </c>
      <c r="N178" s="16" t="str">
        <f>IFERROR(__xludf.DUMMYFUNCTION("""COMPUTED_VALUE"""),"FY24 - Q2")</f>
        <v>FY24 - Q2</v>
      </c>
      <c r="O178" s="16">
        <f>IFERROR(__xludf.DUMMYFUNCTION("""COMPUTED_VALUE"""),1.0)</f>
        <v>1</v>
      </c>
      <c r="P178" s="16">
        <f>IFERROR(__xludf.DUMMYFUNCTION("""COMPUTED_VALUE"""),1.0)</f>
        <v>1</v>
      </c>
      <c r="Q178" s="16">
        <f>IFERROR(__xludf.DUMMYFUNCTION("""COMPUTED_VALUE"""),0.0)</f>
        <v>0</v>
      </c>
      <c r="R178" s="16">
        <f>IFERROR(__xludf.DUMMYFUNCTION("""COMPUTED_VALUE"""),0.0)</f>
        <v>0</v>
      </c>
      <c r="S178" s="16">
        <f>IFERROR(__xludf.DUMMYFUNCTION("""COMPUTED_VALUE"""),0.0)</f>
        <v>0</v>
      </c>
      <c r="T178" s="16">
        <f>IFERROR(__xludf.DUMMYFUNCTION("""COMPUTED_VALUE"""),0.0)</f>
        <v>0</v>
      </c>
      <c r="U178" s="16">
        <f>IFERROR(__xludf.DUMMYFUNCTION("""COMPUTED_VALUE"""),0.0)</f>
        <v>0</v>
      </c>
      <c r="V178" s="16">
        <f>IFERROR(__xludf.DUMMYFUNCTION("""COMPUTED_VALUE"""),0.0)</f>
        <v>0</v>
      </c>
      <c r="W178" s="16">
        <f>IFERROR(__xludf.DUMMYFUNCTION("""COMPUTED_VALUE"""),0.0)</f>
        <v>0</v>
      </c>
      <c r="X178" s="16" t="b">
        <f>IFERROR(__xludf.DUMMYFUNCTION("""COMPUTED_VALUE"""),FALSE)</f>
        <v>0</v>
      </c>
      <c r="Y178" s="16"/>
      <c r="Z178" s="16"/>
    </row>
    <row r="179">
      <c r="A179" s="16" t="str">
        <f>IFERROR(__xludf.DUMMYFUNCTION("""COMPUTED_VALUE"""),"Ridge Top Aerial Technologies")</f>
        <v>Ridge Top Aerial Technologies</v>
      </c>
      <c r="B179" s="16" t="str">
        <f>IFERROR(__xludf.DUMMYFUNCTION("""COMPUTED_VALUE"""),"Growth")</f>
        <v>Growth</v>
      </c>
      <c r="C179" s="26" t="str">
        <f>IFERROR(__xludf.DUMMYFUNCTION("""COMPUTED_VALUE"""),"NAM")</f>
        <v>NAM</v>
      </c>
      <c r="D179" s="16" t="str">
        <f>IFERROR(__xludf.DUMMYFUNCTION("""COMPUTED_VALUE"""),"Rod Gowin")</f>
        <v>Rod Gowin</v>
      </c>
      <c r="E179" s="26" t="str">
        <f>IFERROR(__xludf.DUMMYFUNCTION("""COMPUTED_VALUE"""),"United States")</f>
        <v>United States</v>
      </c>
      <c r="F179" s="26" t="str">
        <f>IFERROR(__xludf.DUMMYFUNCTION("""COMPUTED_VALUE"""),"ClaimCenter")</f>
        <v>ClaimCenter</v>
      </c>
      <c r="G179" s="20">
        <f>IFERROR(__xludf.DUMMYFUNCTION("""COMPUTED_VALUE"""),45231.0)</f>
        <v>45231</v>
      </c>
      <c r="H179" s="16"/>
      <c r="I179" s="20">
        <f>IFERROR(__xludf.DUMMYFUNCTION("""COMPUTED_VALUE"""),45231.0)</f>
        <v>45231</v>
      </c>
      <c r="J179" s="16"/>
      <c r="K179" s="16"/>
      <c r="L179" s="16" t="str">
        <f>IFERROR(__xludf.DUMMYFUNCTION("""COMPUTED_VALUE"""),"Low")</f>
        <v>Low</v>
      </c>
      <c r="M179" s="26" t="str">
        <f>IFERROR(__xludf.DUMMYFUNCTION("""COMPUTED_VALUE"""),"PartnerConnect  Technology")</f>
        <v>PartnerConnect  Technology</v>
      </c>
      <c r="N179" s="16" t="str">
        <f>IFERROR(__xludf.DUMMYFUNCTION("""COMPUTED_VALUE"""),"FY23 - Q2")</f>
        <v>FY23 - Q2</v>
      </c>
      <c r="O179" s="16">
        <f>IFERROR(__xludf.DUMMYFUNCTION("""COMPUTED_VALUE"""),0.0)</f>
        <v>0</v>
      </c>
      <c r="P179" s="16">
        <f>IFERROR(__xludf.DUMMYFUNCTION("""COMPUTED_VALUE"""),0.0)</f>
        <v>0</v>
      </c>
      <c r="Q179" s="16">
        <f>IFERROR(__xludf.DUMMYFUNCTION("""COMPUTED_VALUE"""),0.0)</f>
        <v>0</v>
      </c>
      <c r="R179" s="16">
        <f>IFERROR(__xludf.DUMMYFUNCTION("""COMPUTED_VALUE"""),0.0)</f>
        <v>0</v>
      </c>
      <c r="S179" s="16">
        <f>IFERROR(__xludf.DUMMYFUNCTION("""COMPUTED_VALUE"""),0.0)</f>
        <v>0</v>
      </c>
      <c r="T179" s="16">
        <f>IFERROR(__xludf.DUMMYFUNCTION("""COMPUTED_VALUE"""),0.0)</f>
        <v>0</v>
      </c>
      <c r="U179" s="16">
        <f>IFERROR(__xludf.DUMMYFUNCTION("""COMPUTED_VALUE"""),0.0)</f>
        <v>0</v>
      </c>
      <c r="V179" s="16">
        <f>IFERROR(__xludf.DUMMYFUNCTION("""COMPUTED_VALUE"""),0.0)</f>
        <v>0</v>
      </c>
      <c r="W179" s="16">
        <f>IFERROR(__xludf.DUMMYFUNCTION("""COMPUTED_VALUE"""),0.0)</f>
        <v>0</v>
      </c>
      <c r="X179" s="16" t="b">
        <f>IFERROR(__xludf.DUMMYFUNCTION("""COMPUTED_VALUE"""),FALSE)</f>
        <v>0</v>
      </c>
      <c r="Y179" s="16"/>
      <c r="Z179" s="16"/>
    </row>
    <row r="180">
      <c r="A180" s="16" t="str">
        <f>IFERROR(__xludf.DUMMYFUNCTION("""COMPUTED_VALUE"""),"Rising Medical Solutions, LLC")</f>
        <v>Rising Medical Solutions, LLC</v>
      </c>
      <c r="B180" s="16" t="str">
        <f>IFERROR(__xludf.DUMMYFUNCTION("""COMPUTED_VALUE"""),"Growth")</f>
        <v>Growth</v>
      </c>
      <c r="C180" s="26" t="str">
        <f>IFERROR(__xludf.DUMMYFUNCTION("""COMPUTED_VALUE"""),"NAM")</f>
        <v>NAM</v>
      </c>
      <c r="D180" s="16" t="str">
        <f>IFERROR(__xludf.DUMMYFUNCTION("""COMPUTED_VALUE"""),"Shannon Spies")</f>
        <v>Shannon Spies</v>
      </c>
      <c r="E180" s="26" t="str">
        <f>IFERROR(__xludf.DUMMYFUNCTION("""COMPUTED_VALUE"""),"United States")</f>
        <v>United States</v>
      </c>
      <c r="F180" s="26" t="str">
        <f>IFERROR(__xludf.DUMMYFUNCTION("""COMPUTED_VALUE"""),"ClaimCenter")</f>
        <v>ClaimCenter</v>
      </c>
      <c r="G180" s="20">
        <f>IFERROR(__xludf.DUMMYFUNCTION("""COMPUTED_VALUE"""),45645.0)</f>
        <v>45645</v>
      </c>
      <c r="H180" s="16"/>
      <c r="I180" s="20">
        <f>IFERROR(__xludf.DUMMYFUNCTION("""COMPUTED_VALUE"""),45645.0)</f>
        <v>45645</v>
      </c>
      <c r="J180" s="16"/>
      <c r="K180" s="16"/>
      <c r="L180" s="16" t="str">
        <f>IFERROR(__xludf.DUMMYFUNCTION("""COMPUTED_VALUE"""),"Medium")</f>
        <v>Medium</v>
      </c>
      <c r="M180" s="26" t="str">
        <f>IFERROR(__xludf.DUMMYFUNCTION("""COMPUTED_VALUE"""),"PartnerConnect  Technology")</f>
        <v>PartnerConnect  Technology</v>
      </c>
      <c r="N180" s="16" t="str">
        <f>IFERROR(__xludf.DUMMYFUNCTION("""COMPUTED_VALUE"""),"FY24 - Q2")</f>
        <v>FY24 - Q2</v>
      </c>
      <c r="O180" s="16">
        <f>IFERROR(__xludf.DUMMYFUNCTION("""COMPUTED_VALUE"""),1.0)</f>
        <v>1</v>
      </c>
      <c r="P180" s="16">
        <f>IFERROR(__xludf.DUMMYFUNCTION("""COMPUTED_VALUE"""),1.0)</f>
        <v>1</v>
      </c>
      <c r="Q180" s="16">
        <f>IFERROR(__xludf.DUMMYFUNCTION("""COMPUTED_VALUE"""),0.0)</f>
        <v>0</v>
      </c>
      <c r="R180" s="16">
        <f>IFERROR(__xludf.DUMMYFUNCTION("""COMPUTED_VALUE"""),0.0)</f>
        <v>0</v>
      </c>
      <c r="S180" s="16">
        <f>IFERROR(__xludf.DUMMYFUNCTION("""COMPUTED_VALUE"""),0.0)</f>
        <v>0</v>
      </c>
      <c r="T180" s="16">
        <f>IFERROR(__xludf.DUMMYFUNCTION("""COMPUTED_VALUE"""),0.0)</f>
        <v>0</v>
      </c>
      <c r="U180" s="16">
        <f>IFERROR(__xludf.DUMMYFUNCTION("""COMPUTED_VALUE"""),0.0)</f>
        <v>0</v>
      </c>
      <c r="V180" s="16">
        <f>IFERROR(__xludf.DUMMYFUNCTION("""COMPUTED_VALUE"""),0.0)</f>
        <v>0</v>
      </c>
      <c r="W180" s="16">
        <f>IFERROR(__xludf.DUMMYFUNCTION("""COMPUTED_VALUE"""),0.0)</f>
        <v>0</v>
      </c>
      <c r="X180" s="16" t="b">
        <f>IFERROR(__xludf.DUMMYFUNCTION("""COMPUTED_VALUE"""),FALSE)</f>
        <v>0</v>
      </c>
      <c r="Y180" s="16"/>
      <c r="Z180" s="16"/>
    </row>
    <row r="181">
      <c r="A181" s="16" t="str">
        <f>IFERROR(__xludf.DUMMYFUNCTION("""COMPUTED_VALUE"""),"Risk Control Technologies Inc.")</f>
        <v>Risk Control Technologies Inc.</v>
      </c>
      <c r="B181" s="16" t="str">
        <f>IFERROR(__xludf.DUMMYFUNCTION("""COMPUTED_VALUE"""),"Advantage")</f>
        <v>Advantage</v>
      </c>
      <c r="C181" s="26" t="str">
        <f>IFERROR(__xludf.DUMMYFUNCTION("""COMPUTED_VALUE"""),"APAC, NAM")</f>
        <v>APAC, NAM</v>
      </c>
      <c r="D181" s="16" t="str">
        <f>IFERROR(__xludf.DUMMYFUNCTION("""COMPUTED_VALUE"""),"Rod Gowin")</f>
        <v>Rod Gowin</v>
      </c>
      <c r="E181" s="16" t="str">
        <f>IFERROR(__xludf.DUMMYFUNCTION("""COMPUTED_VALUE"""),"Canada, United States")</f>
        <v>Canada, United States</v>
      </c>
      <c r="F181" s="26" t="str">
        <f>IFERROR(__xludf.DUMMYFUNCTION("""COMPUTED_VALUE"""),"PolicyCenter")</f>
        <v>PolicyCenter</v>
      </c>
      <c r="G181" s="20">
        <f>IFERROR(__xludf.DUMMYFUNCTION("""COMPUTED_VALUE"""),42969.0)</f>
        <v>42969</v>
      </c>
      <c r="H181" s="16"/>
      <c r="I181" s="20">
        <f>IFERROR(__xludf.DUMMYFUNCTION("""COMPUTED_VALUE"""),42969.0)</f>
        <v>42969</v>
      </c>
      <c r="J181" s="16"/>
      <c r="K181" s="20">
        <f>IFERROR(__xludf.DUMMYFUNCTION("""COMPUTED_VALUE"""),44539.0)</f>
        <v>44539</v>
      </c>
      <c r="L181" s="16" t="str">
        <f>IFERROR(__xludf.DUMMYFUNCTION("""COMPUTED_VALUE"""),"Medium")</f>
        <v>Medium</v>
      </c>
      <c r="M181" s="26" t="str">
        <f>IFERROR(__xludf.DUMMYFUNCTION("""COMPUTED_VALUE"""),"PartnerConnect  Technology")</f>
        <v>PartnerConnect  Technology</v>
      </c>
      <c r="N181" s="16" t="str">
        <f>IFERROR(__xludf.DUMMYFUNCTION("""COMPUTED_VALUE"""),"FY17 - Q1")</f>
        <v>FY17 - Q1</v>
      </c>
      <c r="O181" s="16">
        <f>IFERROR(__xludf.DUMMYFUNCTION("""COMPUTED_VALUE"""),2.0)</f>
        <v>2</v>
      </c>
      <c r="P181" s="16">
        <f>IFERROR(__xludf.DUMMYFUNCTION("""COMPUTED_VALUE"""),2.0)</f>
        <v>2</v>
      </c>
      <c r="Q181" s="16">
        <f>IFERROR(__xludf.DUMMYFUNCTION("""COMPUTED_VALUE"""),80.0)</f>
        <v>80</v>
      </c>
      <c r="R181" s="16">
        <f>IFERROR(__xludf.DUMMYFUNCTION("""COMPUTED_VALUE"""),56.0)</f>
        <v>56</v>
      </c>
      <c r="S181" s="16">
        <f>IFERROR(__xludf.DUMMYFUNCTION("""COMPUTED_VALUE"""),19508.0)</f>
        <v>19508</v>
      </c>
      <c r="T181" s="16">
        <f>IFERROR(__xludf.DUMMYFUNCTION("""COMPUTED_VALUE"""),29.0)</f>
        <v>29</v>
      </c>
      <c r="U181" s="16">
        <f>IFERROR(__xludf.DUMMYFUNCTION("""COMPUTED_VALUE"""),37.0)</f>
        <v>37</v>
      </c>
      <c r="V181" s="16">
        <f>IFERROR(__xludf.DUMMYFUNCTION("""COMPUTED_VALUE"""),37.0)</f>
        <v>37</v>
      </c>
      <c r="W181" s="16"/>
      <c r="X181" s="16" t="b">
        <f>IFERROR(__xludf.DUMMYFUNCTION("""COMPUTED_VALUE"""),TRUE)</f>
        <v>1</v>
      </c>
      <c r="Y181" s="16"/>
      <c r="Z181" s="16"/>
    </row>
    <row r="182">
      <c r="A182" s="16" t="str">
        <f>IFERROR(__xludf.DUMMYFUNCTION("""COMPUTED_VALUE"""),"RiskJockey, Inc.")</f>
        <v>RiskJockey, Inc.</v>
      </c>
      <c r="B182" s="16" t="str">
        <f>IFERROR(__xludf.DUMMYFUNCTION("""COMPUTED_VALUE"""),"Growth")</f>
        <v>Growth</v>
      </c>
      <c r="C182" s="26" t="str">
        <f>IFERROR(__xludf.DUMMYFUNCTION("""COMPUTED_VALUE"""),"NAM")</f>
        <v>NAM</v>
      </c>
      <c r="D182" s="16" t="str">
        <f>IFERROR(__xludf.DUMMYFUNCTION("""COMPUTED_VALUE"""),"Rod Gowin")</f>
        <v>Rod Gowin</v>
      </c>
      <c r="E182" s="26" t="str">
        <f>IFERROR(__xludf.DUMMYFUNCTION("""COMPUTED_VALUE"""),"United States")</f>
        <v>United States</v>
      </c>
      <c r="F182" s="26" t="str">
        <f>IFERROR(__xludf.DUMMYFUNCTION("""COMPUTED_VALUE"""),"ClaimCenter")</f>
        <v>ClaimCenter</v>
      </c>
      <c r="G182" s="20">
        <f>IFERROR(__xludf.DUMMYFUNCTION("""COMPUTED_VALUE"""),45646.0)</f>
        <v>45646</v>
      </c>
      <c r="H182" s="20"/>
      <c r="I182" s="20">
        <f>IFERROR(__xludf.DUMMYFUNCTION("""COMPUTED_VALUE"""),45646.0)</f>
        <v>45646</v>
      </c>
      <c r="J182" s="16"/>
      <c r="K182" s="16"/>
      <c r="L182" s="16" t="str">
        <f>IFERROR(__xludf.DUMMYFUNCTION("""COMPUTED_VALUE"""),"Medium")</f>
        <v>Medium</v>
      </c>
      <c r="M182" s="26" t="str">
        <f>IFERROR(__xludf.DUMMYFUNCTION("""COMPUTED_VALUE"""),"PartnerConnect  Technology")</f>
        <v>PartnerConnect  Technology</v>
      </c>
      <c r="N182" s="16" t="str">
        <f>IFERROR(__xludf.DUMMYFUNCTION("""COMPUTED_VALUE"""),"FY24 - Q2")</f>
        <v>FY24 - Q2</v>
      </c>
      <c r="O182" s="16">
        <f>IFERROR(__xludf.DUMMYFUNCTION("""COMPUTED_VALUE"""),1.0)</f>
        <v>1</v>
      </c>
      <c r="P182" s="16">
        <f>IFERROR(__xludf.DUMMYFUNCTION("""COMPUTED_VALUE"""),1.0)</f>
        <v>1</v>
      </c>
      <c r="Q182" s="16">
        <f>IFERROR(__xludf.DUMMYFUNCTION("""COMPUTED_VALUE"""),0.0)</f>
        <v>0</v>
      </c>
      <c r="R182" s="16">
        <f>IFERROR(__xludf.DUMMYFUNCTION("""COMPUTED_VALUE"""),0.0)</f>
        <v>0</v>
      </c>
      <c r="S182" s="16">
        <f>IFERROR(__xludf.DUMMYFUNCTION("""COMPUTED_VALUE"""),0.0)</f>
        <v>0</v>
      </c>
      <c r="T182" s="16">
        <f>IFERROR(__xludf.DUMMYFUNCTION("""COMPUTED_VALUE"""),0.0)</f>
        <v>0</v>
      </c>
      <c r="U182" s="16">
        <f>IFERROR(__xludf.DUMMYFUNCTION("""COMPUTED_VALUE"""),0.0)</f>
        <v>0</v>
      </c>
      <c r="V182" s="16">
        <f>IFERROR(__xludf.DUMMYFUNCTION("""COMPUTED_VALUE"""),0.0)</f>
        <v>0</v>
      </c>
      <c r="W182" s="16"/>
      <c r="X182" s="16" t="b">
        <f>IFERROR(__xludf.DUMMYFUNCTION("""COMPUTED_VALUE"""),FALSE)</f>
        <v>0</v>
      </c>
      <c r="Y182" s="16"/>
      <c r="Z182" s="16"/>
    </row>
    <row r="183">
      <c r="A183" s="16" t="str">
        <f>IFERROR(__xludf.DUMMYFUNCTION("""COMPUTED_VALUE"""),"Roots Automation, Inc.")</f>
        <v>Roots Automation, Inc.</v>
      </c>
      <c r="B183" s="16" t="str">
        <f>IFERROR(__xludf.DUMMYFUNCTION("""COMPUTED_VALUE"""),"Growth")</f>
        <v>Growth</v>
      </c>
      <c r="C183" s="26" t="str">
        <f>IFERROR(__xludf.DUMMYFUNCTION("""COMPUTED_VALUE"""),"APAC, EMEA, NAM, LatAm")</f>
        <v>APAC, EMEA, NAM, LatAm</v>
      </c>
      <c r="D183" s="16" t="str">
        <f>IFERROR(__xludf.DUMMYFUNCTION("""COMPUTED_VALUE"""),"Aaron Shaw")</f>
        <v>Aaron Shaw</v>
      </c>
      <c r="E183" s="16" t="str">
        <f>IFERROR(__xludf.DUMMYFUNCTION("""COMPUTED_VALUE"""),"Canada, UK, United States")</f>
        <v>Canada, UK, United States</v>
      </c>
      <c r="F183" s="16" t="str">
        <f>IFERROR(__xludf.DUMMYFUNCTION("""COMPUTED_VALUE"""),"ClaimCenter")</f>
        <v>ClaimCenter</v>
      </c>
      <c r="G183" s="20">
        <f>IFERROR(__xludf.DUMMYFUNCTION("""COMPUTED_VALUE"""),45814.0)</f>
        <v>45814</v>
      </c>
      <c r="H183" s="16"/>
      <c r="I183" s="13">
        <f>IFERROR(__xludf.DUMMYFUNCTION("""COMPUTED_VALUE"""),45814.0)</f>
        <v>45814</v>
      </c>
      <c r="J183" s="16"/>
      <c r="K183" s="13">
        <f>IFERROR(__xludf.DUMMYFUNCTION("""COMPUTED_VALUE"""),45945.0)</f>
        <v>45945</v>
      </c>
      <c r="L183" s="16" t="str">
        <f>IFERROR(__xludf.DUMMYFUNCTION("""COMPUTED_VALUE"""),"Medium")</f>
        <v>Medium</v>
      </c>
      <c r="M183" s="26" t="str">
        <f>IFERROR(__xludf.DUMMYFUNCTION("""COMPUTED_VALUE"""),"PartnerConnect  Technology")</f>
        <v>PartnerConnect  Technology</v>
      </c>
      <c r="N183" s="16" t="str">
        <f>IFERROR(__xludf.DUMMYFUNCTION("""COMPUTED_VALUE"""),"FY25 - Q3")</f>
        <v>FY25 - Q3</v>
      </c>
      <c r="O183" s="16">
        <f>IFERROR(__xludf.DUMMYFUNCTION("""COMPUTED_VALUE"""),1.0)</f>
        <v>1</v>
      </c>
      <c r="P183" s="16">
        <f>IFERROR(__xludf.DUMMYFUNCTION("""COMPUTED_VALUE"""),1.0)</f>
        <v>1</v>
      </c>
      <c r="Q183" s="16">
        <f>IFERROR(__xludf.DUMMYFUNCTION("""COMPUTED_VALUE"""),6.0)</f>
        <v>6</v>
      </c>
      <c r="R183" s="16">
        <f>IFERROR(__xludf.DUMMYFUNCTION("""COMPUTED_VALUE"""),6.0)</f>
        <v>6</v>
      </c>
      <c r="S183" s="16">
        <f>IFERROR(__xludf.DUMMYFUNCTION("""COMPUTED_VALUE"""),2104.0)</f>
        <v>2104</v>
      </c>
      <c r="T183" s="16">
        <f>IFERROR(__xludf.DUMMYFUNCTION("""COMPUTED_VALUE"""),4.0)</f>
        <v>4</v>
      </c>
      <c r="U183" s="16">
        <f>IFERROR(__xludf.DUMMYFUNCTION("""COMPUTED_VALUE"""),6.0)</f>
        <v>6</v>
      </c>
      <c r="V183" s="16">
        <f>IFERROR(__xludf.DUMMYFUNCTION("""COMPUTED_VALUE"""),6.0)</f>
        <v>6</v>
      </c>
      <c r="W183" s="16"/>
      <c r="X183" s="16" t="b">
        <f>IFERROR(__xludf.DUMMYFUNCTION("""COMPUTED_VALUE"""),FALSE)</f>
        <v>0</v>
      </c>
      <c r="Y183" s="16"/>
      <c r="Z183" s="16"/>
    </row>
    <row r="184">
      <c r="A184" s="16" t="str">
        <f>IFERROR(__xludf.DUMMYFUNCTION("""COMPUTED_VALUE"""),"Safelite")</f>
        <v>Safelite</v>
      </c>
      <c r="B184" s="16" t="str">
        <f>IFERROR(__xludf.DUMMYFUNCTION("""COMPUTED_VALUE"""),"Growth")</f>
        <v>Growth</v>
      </c>
      <c r="C184" s="26" t="str">
        <f>IFERROR(__xludf.DUMMYFUNCTION("""COMPUTED_VALUE"""),"NAM")</f>
        <v>NAM</v>
      </c>
      <c r="D184" s="16" t="str">
        <f>IFERROR(__xludf.DUMMYFUNCTION("""COMPUTED_VALUE"""),"Eric Apse")</f>
        <v>Eric Apse</v>
      </c>
      <c r="E184" s="26"/>
      <c r="F184" s="26" t="str">
        <f>IFERROR(__xludf.DUMMYFUNCTION("""COMPUTED_VALUE"""),"ClaimCenter, InsuranceNow")</f>
        <v>ClaimCenter, InsuranceNow</v>
      </c>
      <c r="G184" s="20">
        <f>IFERROR(__xludf.DUMMYFUNCTION("""COMPUTED_VALUE"""),42328.0)</f>
        <v>42328</v>
      </c>
      <c r="H184" s="16"/>
      <c r="I184" s="20">
        <f>IFERROR(__xludf.DUMMYFUNCTION("""COMPUTED_VALUE"""),42328.0)</f>
        <v>42328</v>
      </c>
      <c r="J184" s="16"/>
      <c r="K184" s="20">
        <f>IFERROR(__xludf.DUMMYFUNCTION("""COMPUTED_VALUE"""),42720.0)</f>
        <v>42720</v>
      </c>
      <c r="L184" s="16" t="str">
        <f>IFERROR(__xludf.DUMMYFUNCTION("""COMPUTED_VALUE"""),"Medium")</f>
        <v>Medium</v>
      </c>
      <c r="M184" s="26" t="str">
        <f>IFERROR(__xludf.DUMMYFUNCTION("""COMPUTED_VALUE"""),"PartnerConnect  Technology")</f>
        <v>PartnerConnect  Technology</v>
      </c>
      <c r="N184" s="16" t="str">
        <f>IFERROR(__xludf.DUMMYFUNCTION("""COMPUTED_VALUE"""),"FY15 - Q2")</f>
        <v>FY15 - Q2</v>
      </c>
      <c r="O184" s="16">
        <f>IFERROR(__xludf.DUMMYFUNCTION("""COMPUTED_VALUE"""),1.0)</f>
        <v>1</v>
      </c>
      <c r="P184" s="16">
        <f>IFERROR(__xludf.DUMMYFUNCTION("""COMPUTED_VALUE"""),1.0)</f>
        <v>1</v>
      </c>
      <c r="Q184" s="16">
        <f>IFERROR(__xludf.DUMMYFUNCTION("""COMPUTED_VALUE"""),0.0)</f>
        <v>0</v>
      </c>
      <c r="R184" s="16">
        <f>IFERROR(__xludf.DUMMYFUNCTION("""COMPUTED_VALUE"""),0.0)</f>
        <v>0</v>
      </c>
      <c r="S184" s="16">
        <f>IFERROR(__xludf.DUMMYFUNCTION("""COMPUTED_VALUE"""),0.0)</f>
        <v>0</v>
      </c>
      <c r="T184" s="16">
        <f>IFERROR(__xludf.DUMMYFUNCTION("""COMPUTED_VALUE"""),0.0)</f>
        <v>0</v>
      </c>
      <c r="U184" s="16">
        <f>IFERROR(__xludf.DUMMYFUNCTION("""COMPUTED_VALUE"""),0.0)</f>
        <v>0</v>
      </c>
      <c r="V184" s="16">
        <f>IFERROR(__xludf.DUMMYFUNCTION("""COMPUTED_VALUE"""),0.0)</f>
        <v>0</v>
      </c>
      <c r="W184" s="16"/>
      <c r="X184" s="16" t="b">
        <f>IFERROR(__xludf.DUMMYFUNCTION("""COMPUTED_VALUE"""),FALSE)</f>
        <v>0</v>
      </c>
      <c r="Y184" s="16"/>
      <c r="Z184" s="16"/>
    </row>
    <row r="185">
      <c r="A185" s="16" t="str">
        <f>IFERROR(__xludf.DUMMYFUNCTION("""COMPUTED_VALUE"""),"SailPoint Technologies, Inc.")</f>
        <v>SailPoint Technologies, Inc.</v>
      </c>
      <c r="B185" s="16" t="str">
        <f>IFERROR(__xludf.DUMMYFUNCTION("""COMPUTED_VALUE"""),"Growth")</f>
        <v>Growth</v>
      </c>
      <c r="C185" s="26" t="str">
        <f>IFERROR(__xludf.DUMMYFUNCTION("""COMPUTED_VALUE"""),"APAC, EMEA, NAM, LatAm")</f>
        <v>APAC, EMEA, NAM, LatAm</v>
      </c>
      <c r="D185" s="16" t="str">
        <f>IFERROR(__xludf.DUMMYFUNCTION("""COMPUTED_VALUE"""),"Tim Kennedy")</f>
        <v>Tim Kennedy</v>
      </c>
      <c r="E185" s="26" t="str">
        <f>IFERROR(__xludf.DUMMYFUNCTION("""COMPUTED_VALUE"""),"Australia New Zealand, Canada, France, India, Ireland, Israel, Italy, South America, Spain, UK, United States")</f>
        <v>Australia New Zealand, Canada, France, India, Ireland, Israel, Italy, South America, Spain, UK, United States</v>
      </c>
      <c r="F185" s="16" t="str">
        <f>IFERROR(__xludf.DUMMYFUNCTION("""COMPUTED_VALUE"""),"ClaimCenter, PolicyCenter, BillingCenter")</f>
        <v>ClaimCenter, PolicyCenter, BillingCenter</v>
      </c>
      <c r="G185" s="20">
        <f>IFERROR(__xludf.DUMMYFUNCTION("""COMPUTED_VALUE"""),45141.0)</f>
        <v>45141</v>
      </c>
      <c r="H185" s="13">
        <f>IFERROR(__xludf.DUMMYFUNCTION("""COMPUTED_VALUE"""),45871.0)</f>
        <v>45871</v>
      </c>
      <c r="I185" s="13">
        <f>IFERROR(__xludf.DUMMYFUNCTION("""COMPUTED_VALUE"""),45141.0)</f>
        <v>45141</v>
      </c>
      <c r="J185" s="16"/>
      <c r="K185" s="13">
        <f>IFERROR(__xludf.DUMMYFUNCTION("""COMPUTED_VALUE"""),45412.0)</f>
        <v>45412</v>
      </c>
      <c r="L185" s="16" t="str">
        <f>IFERROR(__xludf.DUMMYFUNCTION("""COMPUTED_VALUE"""),"High")</f>
        <v>High</v>
      </c>
      <c r="M185" s="26" t="str">
        <f>IFERROR(__xludf.DUMMYFUNCTION("""COMPUTED_VALUE"""),"PartnerConnect  Technology")</f>
        <v>PartnerConnect  Technology</v>
      </c>
      <c r="N185" s="16" t="str">
        <f>IFERROR(__xludf.DUMMYFUNCTION("""COMPUTED_VALUE"""),"FY23 - Q1")</f>
        <v>FY23 - Q1</v>
      </c>
      <c r="O185" s="16">
        <f>IFERROR(__xludf.DUMMYFUNCTION("""COMPUTED_VALUE"""),4.0)</f>
        <v>4</v>
      </c>
      <c r="P185" s="16">
        <f>IFERROR(__xludf.DUMMYFUNCTION("""COMPUTED_VALUE"""),4.0)</f>
        <v>4</v>
      </c>
      <c r="Q185" s="16">
        <f>IFERROR(__xludf.DUMMYFUNCTION("""COMPUTED_VALUE"""),107.0)</f>
        <v>107</v>
      </c>
      <c r="R185" s="16">
        <f>IFERROR(__xludf.DUMMYFUNCTION("""COMPUTED_VALUE"""),79.0)</f>
        <v>79</v>
      </c>
      <c r="S185" s="16">
        <f>IFERROR(__xludf.DUMMYFUNCTION("""COMPUTED_VALUE"""),130834.0)</f>
        <v>130834</v>
      </c>
      <c r="T185" s="16">
        <f>IFERROR(__xludf.DUMMYFUNCTION("""COMPUTED_VALUE"""),34.0)</f>
        <v>34</v>
      </c>
      <c r="U185" s="16">
        <f>IFERROR(__xludf.DUMMYFUNCTION("""COMPUTED_VALUE"""),79.0)</f>
        <v>79</v>
      </c>
      <c r="V185" s="16">
        <f>IFERROR(__xludf.DUMMYFUNCTION("""COMPUTED_VALUE"""),79.0)</f>
        <v>79</v>
      </c>
      <c r="W185" s="16"/>
      <c r="X185" s="16" t="b">
        <f>IFERROR(__xludf.DUMMYFUNCTION("""COMPUTED_VALUE"""),TRUE)</f>
        <v>1</v>
      </c>
      <c r="Y185" s="16"/>
      <c r="Z185" s="16"/>
    </row>
    <row r="186">
      <c r="A186" s="16" t="str">
        <f>IFERROR(__xludf.DUMMYFUNCTION("""COMPUTED_VALUE"""),"Salesforce")</f>
        <v>Salesforce</v>
      </c>
      <c r="B186" s="16" t="str">
        <f>IFERROR(__xludf.DUMMYFUNCTION("""COMPUTED_VALUE"""),"Advantage")</f>
        <v>Advantage</v>
      </c>
      <c r="C186" s="26" t="str">
        <f>IFERROR(__xludf.DUMMYFUNCTION("""COMPUTED_VALUE"""),"APAC, EMEA, NAM")</f>
        <v>APAC, EMEA, NAM</v>
      </c>
      <c r="D186" s="16" t="str">
        <f>IFERROR(__xludf.DUMMYFUNCTION("""COMPUTED_VALUE"""),"Eric Apse")</f>
        <v>Eric Apse</v>
      </c>
      <c r="E186" s="26"/>
      <c r="F186" s="26"/>
      <c r="G186" s="20">
        <f>IFERROR(__xludf.DUMMYFUNCTION("""COMPUTED_VALUE"""),43046.0)</f>
        <v>43046</v>
      </c>
      <c r="H186" s="20"/>
      <c r="I186" s="20"/>
      <c r="J186" s="20"/>
      <c r="K186" s="16"/>
      <c r="L186" s="16" t="str">
        <f>IFERROR(__xludf.DUMMYFUNCTION("""COMPUTED_VALUE"""),"Medium")</f>
        <v>Medium</v>
      </c>
      <c r="M186" s="26" t="str">
        <f>IFERROR(__xludf.DUMMYFUNCTION("""COMPUTED_VALUE"""),"PartnerConnect  Technology")</f>
        <v>PartnerConnect  Technology</v>
      </c>
      <c r="N186" s="16" t="str">
        <f>IFERROR(__xludf.DUMMYFUNCTION("""COMPUTED_VALUE"""),"FY17 - Q2")</f>
        <v>FY17 - Q2</v>
      </c>
      <c r="O186" s="16">
        <f>IFERROR(__xludf.DUMMYFUNCTION("""COMPUTED_VALUE"""),0.0)</f>
        <v>0</v>
      </c>
      <c r="P186" s="16">
        <f>IFERROR(__xludf.DUMMYFUNCTION("""COMPUTED_VALUE"""),0.0)</f>
        <v>0</v>
      </c>
      <c r="Q186" s="16">
        <f>IFERROR(__xludf.DUMMYFUNCTION("""COMPUTED_VALUE"""),0.0)</f>
        <v>0</v>
      </c>
      <c r="R186" s="16">
        <f>IFERROR(__xludf.DUMMYFUNCTION("""COMPUTED_VALUE"""),0.0)</f>
        <v>0</v>
      </c>
      <c r="S186" s="16">
        <f>IFERROR(__xludf.DUMMYFUNCTION("""COMPUTED_VALUE"""),0.0)</f>
        <v>0</v>
      </c>
      <c r="T186" s="16">
        <f>IFERROR(__xludf.DUMMYFUNCTION("""COMPUTED_VALUE"""),0.0)</f>
        <v>0</v>
      </c>
      <c r="U186" s="16">
        <f>IFERROR(__xludf.DUMMYFUNCTION("""COMPUTED_VALUE"""),0.0)</f>
        <v>0</v>
      </c>
      <c r="V186" s="16">
        <f>IFERROR(__xludf.DUMMYFUNCTION("""COMPUTED_VALUE"""),0.0)</f>
        <v>0</v>
      </c>
      <c r="W186" s="16"/>
      <c r="X186" s="16" t="b">
        <f>IFERROR(__xludf.DUMMYFUNCTION("""COMPUTED_VALUE"""),FALSE)</f>
        <v>0</v>
      </c>
      <c r="Y186" s="16"/>
      <c r="Z186" s="16"/>
    </row>
    <row r="187">
      <c r="A187" s="16" t="str">
        <f>IFERROR(__xludf.DUMMYFUNCTION("""COMPUTED_VALUE"""),"SambaSafety")</f>
        <v>SambaSafety</v>
      </c>
      <c r="B187" s="16" t="str">
        <f>IFERROR(__xludf.DUMMYFUNCTION("""COMPUTED_VALUE"""),"Growth")</f>
        <v>Growth</v>
      </c>
      <c r="C187" s="26" t="str">
        <f>IFERROR(__xludf.DUMMYFUNCTION("""COMPUTED_VALUE"""),"NAM")</f>
        <v>NAM</v>
      </c>
      <c r="D187" s="16" t="str">
        <f>IFERROR(__xludf.DUMMYFUNCTION("""COMPUTED_VALUE"""),"Aaron Shaw")</f>
        <v>Aaron Shaw</v>
      </c>
      <c r="E187" s="16" t="str">
        <f>IFERROR(__xludf.DUMMYFUNCTION("""COMPUTED_VALUE"""),"United States")</f>
        <v>United States</v>
      </c>
      <c r="F187" s="26" t="str">
        <f>IFERROR(__xludf.DUMMYFUNCTION("""COMPUTED_VALUE"""),"PolicyCenter")</f>
        <v>PolicyCenter</v>
      </c>
      <c r="G187" s="20">
        <f>IFERROR(__xludf.DUMMYFUNCTION("""COMPUTED_VALUE"""),43348.0)</f>
        <v>43348</v>
      </c>
      <c r="H187" s="16"/>
      <c r="I187" s="20">
        <f>IFERROR(__xludf.DUMMYFUNCTION("""COMPUTED_VALUE"""),43348.0)</f>
        <v>43348</v>
      </c>
      <c r="J187" s="16"/>
      <c r="K187" s="13">
        <f>IFERROR(__xludf.DUMMYFUNCTION("""COMPUTED_VALUE"""),43607.0)</f>
        <v>43607</v>
      </c>
      <c r="L187" s="16" t="str">
        <f>IFERROR(__xludf.DUMMYFUNCTION("""COMPUTED_VALUE"""),"Low")</f>
        <v>Low</v>
      </c>
      <c r="M187" s="26" t="str">
        <f>IFERROR(__xludf.DUMMYFUNCTION("""COMPUTED_VALUE"""),"PartnerConnect  Technology")</f>
        <v>PartnerConnect  Technology</v>
      </c>
      <c r="N187" s="16" t="str">
        <f>IFERROR(__xludf.DUMMYFUNCTION("""COMPUTED_VALUE"""),"FY18 - Q1")</f>
        <v>FY18 - Q1</v>
      </c>
      <c r="O187" s="16">
        <f>IFERROR(__xludf.DUMMYFUNCTION("""COMPUTED_VALUE"""),0.0)</f>
        <v>0</v>
      </c>
      <c r="P187" s="16">
        <f>IFERROR(__xludf.DUMMYFUNCTION("""COMPUTED_VALUE"""),0.0)</f>
        <v>0</v>
      </c>
      <c r="Q187" s="16">
        <f>IFERROR(__xludf.DUMMYFUNCTION("""COMPUTED_VALUE"""),0.0)</f>
        <v>0</v>
      </c>
      <c r="R187" s="16">
        <f>IFERROR(__xludf.DUMMYFUNCTION("""COMPUTED_VALUE"""),0.0)</f>
        <v>0</v>
      </c>
      <c r="S187" s="16">
        <f>IFERROR(__xludf.DUMMYFUNCTION("""COMPUTED_VALUE"""),0.0)</f>
        <v>0</v>
      </c>
      <c r="T187" s="16">
        <f>IFERROR(__xludf.DUMMYFUNCTION("""COMPUTED_VALUE"""),0.0)</f>
        <v>0</v>
      </c>
      <c r="U187" s="16">
        <f>IFERROR(__xludf.DUMMYFUNCTION("""COMPUTED_VALUE"""),0.0)</f>
        <v>0</v>
      </c>
      <c r="V187" s="16">
        <f>IFERROR(__xludf.DUMMYFUNCTION("""COMPUTED_VALUE"""),0.0)</f>
        <v>0</v>
      </c>
      <c r="W187" s="16"/>
      <c r="X187" s="16" t="b">
        <f>IFERROR(__xludf.DUMMYFUNCTION("""COMPUTED_VALUE"""),FALSE)</f>
        <v>0</v>
      </c>
      <c r="Y187" s="16"/>
      <c r="Z187" s="16"/>
    </row>
    <row r="188">
      <c r="A188" s="16" t="str">
        <f>IFERROR(__xludf.DUMMYFUNCTION("""COMPUTED_VALUE"""),"SAS Institute, Inc.")</f>
        <v>SAS Institute, Inc.</v>
      </c>
      <c r="B188" s="16" t="str">
        <f>IFERROR(__xludf.DUMMYFUNCTION("""COMPUTED_VALUE"""),"Select")</f>
        <v>Select</v>
      </c>
      <c r="C188" s="26" t="str">
        <f>IFERROR(__xludf.DUMMYFUNCTION("""COMPUTED_VALUE"""),"APAC, EMEA, NAM, LatAm")</f>
        <v>APAC, EMEA, NAM, LatAm</v>
      </c>
      <c r="D188" s="16" t="str">
        <f>IFERROR(__xludf.DUMMYFUNCTION("""COMPUTED_VALUE"""),"Eric Apse")</f>
        <v>Eric Apse</v>
      </c>
      <c r="E188" s="26" t="str">
        <f>IFERROR(__xludf.DUMMYFUNCTION("""COMPUTED_VALUE"""),"Australia New Zealand, Austria, Benelux, Canada, Croatia, Czech Republic, Denmark, Finland, France, Germany, Hungary, India, Ireland, Israel, Italy, Norway, Poland, Slovakia, South America, Spain, Sweden, Switzerland, Turkey, UK, United States")</f>
        <v>Australia New Zealand, Austria, Benelux, Canada, Croatia, Czech Republic, Denmark, Finland, France, Germany, Hungary, India, Ireland, Israel, Italy, Norway, Poland, Slovakia, South America, Spain, Sweden, Switzerland, Turkey, UK, United States</v>
      </c>
      <c r="F188" s="26"/>
      <c r="G188" s="20">
        <f>IFERROR(__xludf.DUMMYFUNCTION("""COMPUTED_VALUE"""),44847.0)</f>
        <v>44847</v>
      </c>
      <c r="H188" s="16"/>
      <c r="I188" s="16"/>
      <c r="J188" s="16"/>
      <c r="K188" s="16"/>
      <c r="L188" s="16" t="str">
        <f>IFERROR(__xludf.DUMMYFUNCTION("""COMPUTED_VALUE"""),"Low")</f>
        <v>Low</v>
      </c>
      <c r="M188" s="26" t="str">
        <f>IFERROR(__xludf.DUMMYFUNCTION("""COMPUTED_VALUE"""),"PartnerConnect  Technology")</f>
        <v>PartnerConnect  Technology</v>
      </c>
      <c r="N188" s="16" t="str">
        <f>IFERROR(__xludf.DUMMYFUNCTION("""COMPUTED_VALUE"""),"FY22 - Q1")</f>
        <v>FY22 - Q1</v>
      </c>
      <c r="O188" s="16">
        <f>IFERROR(__xludf.DUMMYFUNCTION("""COMPUTED_VALUE"""),0.0)</f>
        <v>0</v>
      </c>
      <c r="P188" s="16">
        <f>IFERROR(__xludf.DUMMYFUNCTION("""COMPUTED_VALUE"""),0.0)</f>
        <v>0</v>
      </c>
      <c r="Q188" s="16">
        <f>IFERROR(__xludf.DUMMYFUNCTION("""COMPUTED_VALUE"""),0.0)</f>
        <v>0</v>
      </c>
      <c r="R188" s="16">
        <f>IFERROR(__xludf.DUMMYFUNCTION("""COMPUTED_VALUE"""),0.0)</f>
        <v>0</v>
      </c>
      <c r="S188" s="16">
        <f>IFERROR(__xludf.DUMMYFUNCTION("""COMPUTED_VALUE"""),0.0)</f>
        <v>0</v>
      </c>
      <c r="T188" s="16">
        <f>IFERROR(__xludf.DUMMYFUNCTION("""COMPUTED_VALUE"""),0.0)</f>
        <v>0</v>
      </c>
      <c r="U188" s="16">
        <f>IFERROR(__xludf.DUMMYFUNCTION("""COMPUTED_VALUE"""),0.0)</f>
        <v>0</v>
      </c>
      <c r="V188" s="16">
        <f>IFERROR(__xludf.DUMMYFUNCTION("""COMPUTED_VALUE"""),0.0)</f>
        <v>0</v>
      </c>
      <c r="W188" s="16"/>
      <c r="X188" s="16" t="b">
        <f>IFERROR(__xludf.DUMMYFUNCTION("""COMPUTED_VALUE"""),FALSE)</f>
        <v>0</v>
      </c>
      <c r="Y188" s="16"/>
      <c r="Z188" s="16"/>
    </row>
    <row r="189">
      <c r="A189" s="16" t="str">
        <f>IFERROR(__xludf.DUMMYFUNCTION("""COMPUTED_VALUE"""),"SBS Insurance Service Limited")</f>
        <v>SBS Insurance Service Limited</v>
      </c>
      <c r="B189" s="16" t="str">
        <f>IFERROR(__xludf.DUMMYFUNCTION("""COMPUTED_VALUE"""),"Growth")</f>
        <v>Growth</v>
      </c>
      <c r="C189" s="26" t="str">
        <f>IFERROR(__xludf.DUMMYFUNCTION("""COMPUTED_VALUE"""),"EMEA")</f>
        <v>EMEA</v>
      </c>
      <c r="D189" s="16" t="str">
        <f>IFERROR(__xludf.DUMMYFUNCTION("""COMPUTED_VALUE"""),"Vivienne Hoary")</f>
        <v>Vivienne Hoary</v>
      </c>
      <c r="E189" s="26" t="str">
        <f>IFERROR(__xludf.DUMMYFUNCTION("""COMPUTED_VALUE"""),"UK")</f>
        <v>UK</v>
      </c>
      <c r="F189" s="26" t="str">
        <f>IFERROR(__xludf.DUMMYFUNCTION("""COMPUTED_VALUE"""),"ClaimCenter")</f>
        <v>ClaimCenter</v>
      </c>
      <c r="G189" s="20">
        <f>IFERROR(__xludf.DUMMYFUNCTION("""COMPUTED_VALUE"""),44246.0)</f>
        <v>44246</v>
      </c>
      <c r="H189" s="20">
        <f>IFERROR(__xludf.DUMMYFUNCTION("""COMPUTED_VALUE"""),44976.0)</f>
        <v>44976</v>
      </c>
      <c r="I189" s="20">
        <f>IFERROR(__xludf.DUMMYFUNCTION("""COMPUTED_VALUE"""),44246.0)</f>
        <v>44246</v>
      </c>
      <c r="J189" s="13">
        <f>IFERROR(__xludf.DUMMYFUNCTION("""COMPUTED_VALUE"""),44610.0)</f>
        <v>44610</v>
      </c>
      <c r="K189" s="16"/>
      <c r="L189" s="16" t="str">
        <f>IFERROR(__xludf.DUMMYFUNCTION("""COMPUTED_VALUE"""),"Low")</f>
        <v>Low</v>
      </c>
      <c r="M189" s="26" t="str">
        <f>IFERROR(__xludf.DUMMYFUNCTION("""COMPUTED_VALUE"""),"PartnerConnect  Technology")</f>
        <v>PartnerConnect  Technology</v>
      </c>
      <c r="N189" s="16" t="str">
        <f>IFERROR(__xludf.DUMMYFUNCTION("""COMPUTED_VALUE"""),"FY21 - Q2")</f>
        <v>FY21 - Q2</v>
      </c>
      <c r="O189" s="16">
        <f>IFERROR(__xludf.DUMMYFUNCTION("""COMPUTED_VALUE"""),0.0)</f>
        <v>0</v>
      </c>
      <c r="P189" s="16">
        <f>IFERROR(__xludf.DUMMYFUNCTION("""COMPUTED_VALUE"""),0.0)</f>
        <v>0</v>
      </c>
      <c r="Q189" s="16">
        <f>IFERROR(__xludf.DUMMYFUNCTION("""COMPUTED_VALUE"""),0.0)</f>
        <v>0</v>
      </c>
      <c r="R189" s="16">
        <f>IFERROR(__xludf.DUMMYFUNCTION("""COMPUTED_VALUE"""),0.0)</f>
        <v>0</v>
      </c>
      <c r="S189" s="16">
        <f>IFERROR(__xludf.DUMMYFUNCTION("""COMPUTED_VALUE"""),0.0)</f>
        <v>0</v>
      </c>
      <c r="T189" s="16">
        <f>IFERROR(__xludf.DUMMYFUNCTION("""COMPUTED_VALUE"""),0.0)</f>
        <v>0</v>
      </c>
      <c r="U189" s="16">
        <f>IFERROR(__xludf.DUMMYFUNCTION("""COMPUTED_VALUE"""),0.0)</f>
        <v>0</v>
      </c>
      <c r="V189" s="16">
        <f>IFERROR(__xludf.DUMMYFUNCTION("""COMPUTED_VALUE"""),0.0)</f>
        <v>0</v>
      </c>
      <c r="W189" s="16"/>
      <c r="X189" s="16" t="b">
        <f>IFERROR(__xludf.DUMMYFUNCTION("""COMPUTED_VALUE"""),FALSE)</f>
        <v>0</v>
      </c>
      <c r="Y189" s="16"/>
      <c r="Z189" s="16"/>
    </row>
    <row r="190">
      <c r="A190" s="16" t="str">
        <f>IFERROR(__xludf.DUMMYFUNCTION("""COMPUTED_VALUE"""),"Scope Technology")</f>
        <v>Scope Technology</v>
      </c>
      <c r="B190" s="16" t="str">
        <f>IFERROR(__xludf.DUMMYFUNCTION("""COMPUTED_VALUE"""),"Growth")</f>
        <v>Growth</v>
      </c>
      <c r="C190" s="26" t="str">
        <f>IFERROR(__xludf.DUMMYFUNCTION("""COMPUTED_VALUE"""),"APAC, EMEA, LatAm")</f>
        <v>APAC, EMEA, LatAm</v>
      </c>
      <c r="D190" s="16" t="str">
        <f>IFERROR(__xludf.DUMMYFUNCTION("""COMPUTED_VALUE"""),"Tim Kennedy")</f>
        <v>Tim Kennedy</v>
      </c>
      <c r="E190" s="26"/>
      <c r="F190" s="26" t="str">
        <f>IFERROR(__xludf.DUMMYFUNCTION("""COMPUTED_VALUE"""),"PolicyCenter")</f>
        <v>PolicyCenter</v>
      </c>
      <c r="G190" s="20">
        <f>IFERROR(__xludf.DUMMYFUNCTION("""COMPUTED_VALUE"""),44762.0)</f>
        <v>44762</v>
      </c>
      <c r="H190" s="16"/>
      <c r="I190" s="20">
        <f>IFERROR(__xludf.DUMMYFUNCTION("""COMPUTED_VALUE"""),44760.0)</f>
        <v>44760</v>
      </c>
      <c r="J190" s="16"/>
      <c r="K190" s="20"/>
      <c r="L190" s="16" t="str">
        <f>IFERROR(__xludf.DUMMYFUNCTION("""COMPUTED_VALUE"""),"Low")</f>
        <v>Low</v>
      </c>
      <c r="M190" s="26" t="str">
        <f>IFERROR(__xludf.DUMMYFUNCTION("""COMPUTED_VALUE"""),"PartnerConnect  Technology")</f>
        <v>PartnerConnect  Technology</v>
      </c>
      <c r="N190" s="16" t="str">
        <f>IFERROR(__xludf.DUMMYFUNCTION("""COMPUTED_VALUE"""),"FY22 - Q4")</f>
        <v>FY22 - Q4</v>
      </c>
      <c r="O190" s="16">
        <f>IFERROR(__xludf.DUMMYFUNCTION("""COMPUTED_VALUE"""),0.0)</f>
        <v>0</v>
      </c>
      <c r="P190" s="16">
        <f>IFERROR(__xludf.DUMMYFUNCTION("""COMPUTED_VALUE"""),0.0)</f>
        <v>0</v>
      </c>
      <c r="Q190" s="16">
        <f>IFERROR(__xludf.DUMMYFUNCTION("""COMPUTED_VALUE"""),0.0)</f>
        <v>0</v>
      </c>
      <c r="R190" s="16">
        <f>IFERROR(__xludf.DUMMYFUNCTION("""COMPUTED_VALUE"""),0.0)</f>
        <v>0</v>
      </c>
      <c r="S190" s="16">
        <f>IFERROR(__xludf.DUMMYFUNCTION("""COMPUTED_VALUE"""),0.0)</f>
        <v>0</v>
      </c>
      <c r="T190" s="16">
        <f>IFERROR(__xludf.DUMMYFUNCTION("""COMPUTED_VALUE"""),0.0)</f>
        <v>0</v>
      </c>
      <c r="U190" s="16">
        <f>IFERROR(__xludf.DUMMYFUNCTION("""COMPUTED_VALUE"""),0.0)</f>
        <v>0</v>
      </c>
      <c r="V190" s="16">
        <f>IFERROR(__xludf.DUMMYFUNCTION("""COMPUTED_VALUE"""),0.0)</f>
        <v>0</v>
      </c>
      <c r="W190" s="16"/>
      <c r="X190" s="16" t="b">
        <f>IFERROR(__xludf.DUMMYFUNCTION("""COMPUTED_VALUE"""),FALSE)</f>
        <v>0</v>
      </c>
      <c r="Y190" s="16"/>
      <c r="Z190" s="16"/>
    </row>
    <row r="191">
      <c r="A191" s="16" t="str">
        <f>IFERROR(__xludf.DUMMYFUNCTION("""COMPUTED_VALUE"""),"Seiko Solutions Inc.")</f>
        <v>Seiko Solutions Inc.</v>
      </c>
      <c r="B191" s="16" t="str">
        <f>IFERROR(__xludf.DUMMYFUNCTION("""COMPUTED_VALUE"""),"Growth")</f>
        <v>Growth</v>
      </c>
      <c r="C191" s="26" t="str">
        <f>IFERROR(__xludf.DUMMYFUNCTION("""COMPUTED_VALUE"""),"APAC")</f>
        <v>APAC</v>
      </c>
      <c r="D191" s="16" t="str">
        <f>IFERROR(__xludf.DUMMYFUNCTION("""COMPUTED_VALUE"""),"Ketaki Padhye")</f>
        <v>Ketaki Padhye</v>
      </c>
      <c r="E191" s="26" t="str">
        <f>IFERROR(__xludf.DUMMYFUNCTION("""COMPUTED_VALUE"""),"Japan")</f>
        <v>Japan</v>
      </c>
      <c r="F191" s="26" t="str">
        <f>IFERROR(__xludf.DUMMYFUNCTION("""COMPUTED_VALUE"""),"ClaimCenter")</f>
        <v>ClaimCenter</v>
      </c>
      <c r="G191" s="20">
        <f>IFERROR(__xludf.DUMMYFUNCTION("""COMPUTED_VALUE"""),45733.0)</f>
        <v>45733</v>
      </c>
      <c r="H191" s="20"/>
      <c r="I191" s="20"/>
      <c r="J191" s="16"/>
      <c r="K191" s="20"/>
      <c r="L191" s="16" t="str">
        <f>IFERROR(__xludf.DUMMYFUNCTION("""COMPUTED_VALUE"""),"Medium")</f>
        <v>Medium</v>
      </c>
      <c r="M191" s="26" t="str">
        <f>IFERROR(__xludf.DUMMYFUNCTION("""COMPUTED_VALUE"""),"PartnerConnect  Technology")</f>
        <v>PartnerConnect  Technology</v>
      </c>
      <c r="N191" s="16" t="str">
        <f>IFERROR(__xludf.DUMMYFUNCTION("""COMPUTED_VALUE"""),"FY25 - Q2")</f>
        <v>FY25 - Q2</v>
      </c>
      <c r="O191" s="16">
        <f>IFERROR(__xludf.DUMMYFUNCTION("""COMPUTED_VALUE"""),0.0)</f>
        <v>0</v>
      </c>
      <c r="P191" s="16">
        <f>IFERROR(__xludf.DUMMYFUNCTION("""COMPUTED_VALUE"""),0.0)</f>
        <v>0</v>
      </c>
      <c r="Q191" s="16">
        <f>IFERROR(__xludf.DUMMYFUNCTION("""COMPUTED_VALUE"""),0.0)</f>
        <v>0</v>
      </c>
      <c r="R191" s="16">
        <f>IFERROR(__xludf.DUMMYFUNCTION("""COMPUTED_VALUE"""),0.0)</f>
        <v>0</v>
      </c>
      <c r="S191" s="16">
        <f>IFERROR(__xludf.DUMMYFUNCTION("""COMPUTED_VALUE"""),0.0)</f>
        <v>0</v>
      </c>
      <c r="T191" s="16">
        <f>IFERROR(__xludf.DUMMYFUNCTION("""COMPUTED_VALUE"""),0.0)</f>
        <v>0</v>
      </c>
      <c r="U191" s="16">
        <f>IFERROR(__xludf.DUMMYFUNCTION("""COMPUTED_VALUE"""),0.0)</f>
        <v>0</v>
      </c>
      <c r="V191" s="16">
        <f>IFERROR(__xludf.DUMMYFUNCTION("""COMPUTED_VALUE"""),0.0)</f>
        <v>0</v>
      </c>
      <c r="W191" s="16"/>
      <c r="X191" s="16" t="b">
        <f>IFERROR(__xludf.DUMMYFUNCTION("""COMPUTED_VALUE"""),FALSE)</f>
        <v>0</v>
      </c>
      <c r="Y191" s="16"/>
      <c r="Z191" s="16"/>
    </row>
    <row r="192">
      <c r="A192" s="16" t="str">
        <f>IFERROR(__xludf.DUMMYFUNCTION("""COMPUTED_VALUE"""),"ServiceNow")</f>
        <v>ServiceNow</v>
      </c>
      <c r="B192" s="16" t="str">
        <f>IFERROR(__xludf.DUMMYFUNCTION("""COMPUTED_VALUE"""),"Growth")</f>
        <v>Growth</v>
      </c>
      <c r="C192" s="26" t="str">
        <f>IFERROR(__xludf.DUMMYFUNCTION("""COMPUTED_VALUE"""),"NAM")</f>
        <v>NAM</v>
      </c>
      <c r="D192" s="16" t="str">
        <f>IFERROR(__xludf.DUMMYFUNCTION("""COMPUTED_VALUE"""),"Gregg Rabenold")</f>
        <v>Gregg Rabenold</v>
      </c>
      <c r="E192" s="16" t="str">
        <f>IFERROR(__xludf.DUMMYFUNCTION("""COMPUTED_VALUE"""),"United States")</f>
        <v>United States</v>
      </c>
      <c r="F192" s="26" t="str">
        <f>IFERROR(__xludf.DUMMYFUNCTION("""COMPUTED_VALUE"""),"ClaimCenter, PolicyCenter, BillingCenter")</f>
        <v>ClaimCenter, PolicyCenter, BillingCenter</v>
      </c>
      <c r="G192" s="20">
        <f>IFERROR(__xludf.DUMMYFUNCTION("""COMPUTED_VALUE"""),44834.0)</f>
        <v>44834</v>
      </c>
      <c r="H192" s="13">
        <f>IFERROR(__xludf.DUMMYFUNCTION("""COMPUTED_VALUE"""),45564.0)</f>
        <v>45564</v>
      </c>
      <c r="I192" s="20">
        <f>IFERROR(__xludf.DUMMYFUNCTION("""COMPUTED_VALUE"""),44834.0)</f>
        <v>44834</v>
      </c>
      <c r="J192" s="16"/>
      <c r="K192" s="20"/>
      <c r="L192" s="16" t="str">
        <f>IFERROR(__xludf.DUMMYFUNCTION("""COMPUTED_VALUE"""),"Medium")</f>
        <v>Medium</v>
      </c>
      <c r="M192" s="26" t="str">
        <f>IFERROR(__xludf.DUMMYFUNCTION("""COMPUTED_VALUE"""),"PartnerConnect  Technology")</f>
        <v>PartnerConnect  Technology</v>
      </c>
      <c r="N192" s="16" t="str">
        <f>IFERROR(__xludf.DUMMYFUNCTION("""COMPUTED_VALUE"""),"FY22 - Q1")</f>
        <v>FY22 - Q1</v>
      </c>
      <c r="O192" s="16">
        <f>IFERROR(__xludf.DUMMYFUNCTION("""COMPUTED_VALUE"""),0.0)</f>
        <v>0</v>
      </c>
      <c r="P192" s="16">
        <f>IFERROR(__xludf.DUMMYFUNCTION("""COMPUTED_VALUE"""),0.0)</f>
        <v>0</v>
      </c>
      <c r="Q192" s="16">
        <f>IFERROR(__xludf.DUMMYFUNCTION("""COMPUTED_VALUE"""),0.0)</f>
        <v>0</v>
      </c>
      <c r="R192" s="16">
        <f>IFERROR(__xludf.DUMMYFUNCTION("""COMPUTED_VALUE"""),0.0)</f>
        <v>0</v>
      </c>
      <c r="S192" s="16">
        <f>IFERROR(__xludf.DUMMYFUNCTION("""COMPUTED_VALUE"""),0.0)</f>
        <v>0</v>
      </c>
      <c r="T192" s="16">
        <f>IFERROR(__xludf.DUMMYFUNCTION("""COMPUTED_VALUE"""),0.0)</f>
        <v>0</v>
      </c>
      <c r="U192" s="16">
        <f>IFERROR(__xludf.DUMMYFUNCTION("""COMPUTED_VALUE"""),0.0)</f>
        <v>0</v>
      </c>
      <c r="V192" s="16">
        <f>IFERROR(__xludf.DUMMYFUNCTION("""COMPUTED_VALUE"""),0.0)</f>
        <v>0</v>
      </c>
      <c r="W192" s="16"/>
      <c r="X192" s="16" t="b">
        <f>IFERROR(__xludf.DUMMYFUNCTION("""COMPUTED_VALUE"""),FALSE)</f>
        <v>0</v>
      </c>
      <c r="Y192" s="16"/>
      <c r="Z192" s="16"/>
    </row>
    <row r="193">
      <c r="A193" s="16" t="str">
        <f>IFERROR(__xludf.DUMMYFUNCTION("""COMPUTED_VALUE"""),"Shift Technology")</f>
        <v>Shift Technology</v>
      </c>
      <c r="B193" s="16" t="str">
        <f>IFERROR(__xludf.DUMMYFUNCTION("""COMPUTED_VALUE"""),"Advantage")</f>
        <v>Advantage</v>
      </c>
      <c r="C193" s="26" t="str">
        <f>IFERROR(__xludf.DUMMYFUNCTION("""COMPUTED_VALUE"""),"APAC, EMEA, NAM, LatAm")</f>
        <v>APAC, EMEA, NAM, LatAm</v>
      </c>
      <c r="D193" s="16" t="str">
        <f>IFERROR(__xludf.DUMMYFUNCTION("""COMPUTED_VALUE"""),"Fatima Aoulagha-Bannou")</f>
        <v>Fatima Aoulagha-Bannou</v>
      </c>
      <c r="E193" s="16" t="str">
        <f>IFERROR(__xludf.DUMMYFUNCTION("""COMPUTED_VALUE"""),"Australia New Zealand,Austria,Benelux,Canada,Croatia,Czech Republic,Denmark,Finland,France,Germany,Hungary,India,Ireland,Israel,Italy,Japan,Norway,Poland,Russia,Slovakia,South America,Spain,Sweden,Switzerland,Turkey,UK,United States")</f>
        <v>Australia New Zealand,Austria,Benelux,Canada,Croatia,Czech Republic,Denmark,Finland,France,Germany,Hungary,India,Ireland,Israel,Italy,Japan,Norway,Poland,Russia,Slovakia,South America,Spain,Sweden,Switzerland,Turkey,UK,United States</v>
      </c>
      <c r="F193" s="26" t="str">
        <f>IFERROR(__xludf.DUMMYFUNCTION("""COMPUTED_VALUE"""),"ClaimCenter")</f>
        <v>ClaimCenter</v>
      </c>
      <c r="G193" s="20">
        <f>IFERROR(__xludf.DUMMYFUNCTION("""COMPUTED_VALUE"""),43678.0)</f>
        <v>43678</v>
      </c>
      <c r="H193" s="20"/>
      <c r="I193" s="20">
        <f>IFERROR(__xludf.DUMMYFUNCTION("""COMPUTED_VALUE"""),43684.0)</f>
        <v>43684</v>
      </c>
      <c r="J193" s="16"/>
      <c r="K193" s="13">
        <f>IFERROR(__xludf.DUMMYFUNCTION("""COMPUTED_VALUE"""),43889.0)</f>
        <v>43889</v>
      </c>
      <c r="L193" s="16" t="str">
        <f>IFERROR(__xludf.DUMMYFUNCTION("""COMPUTED_VALUE"""),"Strategic")</f>
        <v>Strategic</v>
      </c>
      <c r="M193" s="26" t="str">
        <f>IFERROR(__xludf.DUMMYFUNCTION("""COMPUTED_VALUE"""),"PartnerConnect  Technology")</f>
        <v>PartnerConnect  Technology</v>
      </c>
      <c r="N193" s="16" t="str">
        <f>IFERROR(__xludf.DUMMYFUNCTION("""COMPUTED_VALUE"""),"FY19 - Q1")</f>
        <v>FY19 - Q1</v>
      </c>
      <c r="O193" s="16">
        <f>IFERROR(__xludf.DUMMYFUNCTION("""COMPUTED_VALUE"""),1.0)</f>
        <v>1</v>
      </c>
      <c r="P193" s="16">
        <f>IFERROR(__xludf.DUMMYFUNCTION("""COMPUTED_VALUE"""),1.0)</f>
        <v>1</v>
      </c>
      <c r="Q193" s="16">
        <f>IFERROR(__xludf.DUMMYFUNCTION("""COMPUTED_VALUE"""),66.0)</f>
        <v>66</v>
      </c>
      <c r="R193" s="16">
        <f>IFERROR(__xludf.DUMMYFUNCTION("""COMPUTED_VALUE"""),33.0)</f>
        <v>33</v>
      </c>
      <c r="S193" s="16">
        <f>IFERROR(__xludf.DUMMYFUNCTION("""COMPUTED_VALUE"""),30320.0)</f>
        <v>30320</v>
      </c>
      <c r="T193" s="16">
        <f>IFERROR(__xludf.DUMMYFUNCTION("""COMPUTED_VALUE"""),35.0)</f>
        <v>35</v>
      </c>
      <c r="U193" s="16">
        <f>IFERROR(__xludf.DUMMYFUNCTION("""COMPUTED_VALUE"""),33.0)</f>
        <v>33</v>
      </c>
      <c r="V193" s="16">
        <f>IFERROR(__xludf.DUMMYFUNCTION("""COMPUTED_VALUE"""),33.0)</f>
        <v>33</v>
      </c>
      <c r="W193" s="16"/>
      <c r="X193" s="16" t="b">
        <f>IFERROR(__xludf.DUMMYFUNCTION("""COMPUTED_VALUE"""),TRUE)</f>
        <v>1</v>
      </c>
      <c r="Y193" s="16"/>
      <c r="Z193" s="16"/>
    </row>
    <row r="194">
      <c r="A194" s="16" t="str">
        <f>IFERROR(__xludf.DUMMYFUNCTION("""COMPUTED_VALUE"""),"Skopenow")</f>
        <v>Skopenow</v>
      </c>
      <c r="B194" s="16" t="str">
        <f>IFERROR(__xludf.DUMMYFUNCTION("""COMPUTED_VALUE"""),"Growth")</f>
        <v>Growth</v>
      </c>
      <c r="C194" s="26" t="str">
        <f>IFERROR(__xludf.DUMMYFUNCTION("""COMPUTED_VALUE"""),"APAC, NAM")</f>
        <v>APAC, NAM</v>
      </c>
      <c r="D194" s="16" t="str">
        <f>IFERROR(__xludf.DUMMYFUNCTION("""COMPUTED_VALUE"""),"Aaron Shaw")</f>
        <v>Aaron Shaw</v>
      </c>
      <c r="E194" s="26" t="str">
        <f>IFERROR(__xludf.DUMMYFUNCTION("""COMPUTED_VALUE"""),"United States")</f>
        <v>United States</v>
      </c>
      <c r="F194" s="26" t="str">
        <f>IFERROR(__xludf.DUMMYFUNCTION("""COMPUTED_VALUE"""),"ClaimCenter")</f>
        <v>ClaimCenter</v>
      </c>
      <c r="G194" s="20">
        <f>IFERROR(__xludf.DUMMYFUNCTION("""COMPUTED_VALUE"""),44594.0)</f>
        <v>44594</v>
      </c>
      <c r="H194" s="13">
        <f>IFERROR(__xludf.DUMMYFUNCTION("""COMPUTED_VALUE"""),45324.0)</f>
        <v>45324</v>
      </c>
      <c r="I194" s="13">
        <f>IFERROR(__xludf.DUMMYFUNCTION("""COMPUTED_VALUE"""),44594.0)</f>
        <v>44594</v>
      </c>
      <c r="J194" s="16"/>
      <c r="K194" s="13">
        <f>IFERROR(__xludf.DUMMYFUNCTION("""COMPUTED_VALUE"""),44907.0)</f>
        <v>44907</v>
      </c>
      <c r="L194" s="16" t="str">
        <f>IFERROR(__xludf.DUMMYFUNCTION("""COMPUTED_VALUE"""),"Low")</f>
        <v>Low</v>
      </c>
      <c r="M194" s="26" t="str">
        <f>IFERROR(__xludf.DUMMYFUNCTION("""COMPUTED_VALUE"""),"PartnerConnect  Technology")</f>
        <v>PartnerConnect  Technology</v>
      </c>
      <c r="N194" s="16" t="str">
        <f>IFERROR(__xludf.DUMMYFUNCTION("""COMPUTED_VALUE"""),"FY22 - Q2")</f>
        <v>FY22 - Q2</v>
      </c>
      <c r="O194" s="16">
        <f>IFERROR(__xludf.DUMMYFUNCTION("""COMPUTED_VALUE"""),1.0)</f>
        <v>1</v>
      </c>
      <c r="P194" s="16">
        <f>IFERROR(__xludf.DUMMYFUNCTION("""COMPUTED_VALUE"""),1.0)</f>
        <v>1</v>
      </c>
      <c r="Q194" s="16">
        <f>IFERROR(__xludf.DUMMYFUNCTION("""COMPUTED_VALUE"""),4.0)</f>
        <v>4</v>
      </c>
      <c r="R194" s="16">
        <f>IFERROR(__xludf.DUMMYFUNCTION("""COMPUTED_VALUE"""),0.0)</f>
        <v>0</v>
      </c>
      <c r="S194" s="16">
        <f>IFERROR(__xludf.DUMMYFUNCTION("""COMPUTED_VALUE"""),14491.0)</f>
        <v>14491</v>
      </c>
      <c r="T194" s="16">
        <f>IFERROR(__xludf.DUMMYFUNCTION("""COMPUTED_VALUE"""),3.0)</f>
        <v>3</v>
      </c>
      <c r="U194" s="16">
        <f>IFERROR(__xludf.DUMMYFUNCTION("""COMPUTED_VALUE"""),0.0)</f>
        <v>0</v>
      </c>
      <c r="V194" s="16">
        <f>IFERROR(__xludf.DUMMYFUNCTION("""COMPUTED_VALUE"""),0.0)</f>
        <v>0</v>
      </c>
      <c r="W194" s="16"/>
      <c r="X194" s="16" t="b">
        <f>IFERROR(__xludf.DUMMYFUNCTION("""COMPUTED_VALUE"""),FALSE)</f>
        <v>0</v>
      </c>
      <c r="Y194" s="16"/>
      <c r="Z194" s="16"/>
    </row>
    <row r="195">
      <c r="A195" s="16" t="str">
        <f>IFERROR(__xludf.DUMMYFUNCTION("""COMPUTED_VALUE"""),"SmartComms LLC")</f>
        <v>SmartComms LLC</v>
      </c>
      <c r="B195" s="16" t="str">
        <f>IFERROR(__xludf.DUMMYFUNCTION("""COMPUTED_VALUE"""),"Premier")</f>
        <v>Premier</v>
      </c>
      <c r="C195" s="26" t="str">
        <f>IFERROR(__xludf.DUMMYFUNCTION("""COMPUTED_VALUE"""),"APAC, EMEA, NAM")</f>
        <v>APAC, EMEA, NAM</v>
      </c>
      <c r="D195" s="16" t="str">
        <f>IFERROR(__xludf.DUMMYFUNCTION("""COMPUTED_VALUE"""),"Kelly Clayton")</f>
        <v>Kelly Clayton</v>
      </c>
      <c r="E195" s="26"/>
      <c r="F195" s="26" t="str">
        <f>IFERROR(__xludf.DUMMYFUNCTION("""COMPUTED_VALUE"""),"ClaimCenter, PolicyCenter, BillingCenter")</f>
        <v>ClaimCenter, PolicyCenter, BillingCenter</v>
      </c>
      <c r="G195" s="20">
        <f>IFERROR(__xludf.DUMMYFUNCTION("""COMPUTED_VALUE"""),41933.0)</f>
        <v>41933</v>
      </c>
      <c r="H195" s="20"/>
      <c r="I195" s="20">
        <f>IFERROR(__xludf.DUMMYFUNCTION("""COMPUTED_VALUE"""),44011.0)</f>
        <v>44011</v>
      </c>
      <c r="J195" s="16"/>
      <c r="K195" s="20">
        <f>IFERROR(__xludf.DUMMYFUNCTION("""COMPUTED_VALUE"""),40678.0)</f>
        <v>40678</v>
      </c>
      <c r="L195" s="16" t="str">
        <f>IFERROR(__xludf.DUMMYFUNCTION("""COMPUTED_VALUE"""),"Strategic")</f>
        <v>Strategic</v>
      </c>
      <c r="M195" s="26" t="str">
        <f>IFERROR(__xludf.DUMMYFUNCTION("""COMPUTED_VALUE"""),"PartnerConnect  Technology")</f>
        <v>PartnerConnect  Technology</v>
      </c>
      <c r="N195" s="16" t="str">
        <f>IFERROR(__xludf.DUMMYFUNCTION("""COMPUTED_VALUE"""),"FY14 - Q1")</f>
        <v>FY14 - Q1</v>
      </c>
      <c r="O195" s="16">
        <f>IFERROR(__xludf.DUMMYFUNCTION("""COMPUTED_VALUE"""),6.0)</f>
        <v>6</v>
      </c>
      <c r="P195" s="16">
        <f>IFERROR(__xludf.DUMMYFUNCTION("""COMPUTED_VALUE"""),6.0)</f>
        <v>6</v>
      </c>
      <c r="Q195" s="16">
        <f>IFERROR(__xludf.DUMMYFUNCTION("""COMPUTED_VALUE"""),1060.0)</f>
        <v>1060</v>
      </c>
      <c r="R195" s="16">
        <f>IFERROR(__xludf.DUMMYFUNCTION("""COMPUTED_VALUE"""),620.0)</f>
        <v>620</v>
      </c>
      <c r="S195" s="16">
        <f>IFERROR(__xludf.DUMMYFUNCTION("""COMPUTED_VALUE"""),147446.0)</f>
        <v>147446</v>
      </c>
      <c r="T195" s="16">
        <f>IFERROR(__xludf.DUMMYFUNCTION("""COMPUTED_VALUE"""),151.0)</f>
        <v>151</v>
      </c>
      <c r="U195" s="16">
        <f>IFERROR(__xludf.DUMMYFUNCTION("""COMPUTED_VALUE"""),535.0)</f>
        <v>535</v>
      </c>
      <c r="V195" s="16">
        <f>IFERROR(__xludf.DUMMYFUNCTION("""COMPUTED_VALUE"""),535.0)</f>
        <v>535</v>
      </c>
      <c r="W195" s="16"/>
      <c r="X195" s="16" t="b">
        <f>IFERROR(__xludf.DUMMYFUNCTION("""COMPUTED_VALUE"""),TRUE)</f>
        <v>1</v>
      </c>
      <c r="Y195" s="16"/>
      <c r="Z195" s="16"/>
    </row>
    <row r="196">
      <c r="A196" s="16" t="str">
        <f>IFERROR(__xludf.DUMMYFUNCTION("""COMPUTED_VALUE"""),"Smarty, LLC")</f>
        <v>Smarty, LLC</v>
      </c>
      <c r="B196" s="16" t="str">
        <f>IFERROR(__xludf.DUMMYFUNCTION("""COMPUTED_VALUE"""),"Advantage")</f>
        <v>Advantage</v>
      </c>
      <c r="C196" s="26" t="str">
        <f>IFERROR(__xludf.DUMMYFUNCTION("""COMPUTED_VALUE"""),"NAM")</f>
        <v>NAM</v>
      </c>
      <c r="D196" s="16" t="str">
        <f>IFERROR(__xludf.DUMMYFUNCTION("""COMPUTED_VALUE"""),"Tim Kennedy")</f>
        <v>Tim Kennedy</v>
      </c>
      <c r="E196" s="26"/>
      <c r="F196" s="16" t="str">
        <f>IFERROR(__xludf.DUMMYFUNCTION("""COMPUTED_VALUE"""),"ClaimCenter, PolicyCenter")</f>
        <v>ClaimCenter, PolicyCenter</v>
      </c>
      <c r="G196" s="20">
        <f>IFERROR(__xludf.DUMMYFUNCTION("""COMPUTED_VALUE"""),44964.0)</f>
        <v>44964</v>
      </c>
      <c r="H196" s="20">
        <f>IFERROR(__xludf.DUMMYFUNCTION("""COMPUTED_VALUE"""),45694.0)</f>
        <v>45694</v>
      </c>
      <c r="I196" s="20">
        <f>IFERROR(__xludf.DUMMYFUNCTION("""COMPUTED_VALUE"""),44994.0)</f>
        <v>44994</v>
      </c>
      <c r="J196" s="16"/>
      <c r="K196" s="13">
        <f>IFERROR(__xludf.DUMMYFUNCTION("""COMPUTED_VALUE"""),45016.0)</f>
        <v>45016</v>
      </c>
      <c r="L196" s="16" t="str">
        <f>IFERROR(__xludf.DUMMYFUNCTION("""COMPUTED_VALUE"""),"Medium")</f>
        <v>Medium</v>
      </c>
      <c r="M196" s="26" t="str">
        <f>IFERROR(__xludf.DUMMYFUNCTION("""COMPUTED_VALUE"""),"PartnerConnect  Technology")</f>
        <v>PartnerConnect  Technology</v>
      </c>
      <c r="N196" s="16" t="str">
        <f>IFERROR(__xludf.DUMMYFUNCTION("""COMPUTED_VALUE"""),"FY23 - Q2")</f>
        <v>FY23 - Q2</v>
      </c>
      <c r="O196" s="16">
        <f>IFERROR(__xludf.DUMMYFUNCTION("""COMPUTED_VALUE"""),13.0)</f>
        <v>13</v>
      </c>
      <c r="P196" s="16">
        <f>IFERROR(__xludf.DUMMYFUNCTION("""COMPUTED_VALUE"""),13.0)</f>
        <v>13</v>
      </c>
      <c r="Q196" s="16">
        <f>IFERROR(__xludf.DUMMYFUNCTION("""COMPUTED_VALUE"""),223.0)</f>
        <v>223</v>
      </c>
      <c r="R196" s="16">
        <f>IFERROR(__xludf.DUMMYFUNCTION("""COMPUTED_VALUE"""),157.0)</f>
        <v>157</v>
      </c>
      <c r="S196" s="16">
        <f>IFERROR(__xludf.DUMMYFUNCTION("""COMPUTED_VALUE"""),183744.0)</f>
        <v>183744</v>
      </c>
      <c r="T196" s="16">
        <f>IFERROR(__xludf.DUMMYFUNCTION("""COMPUTED_VALUE"""),58.0)</f>
        <v>58</v>
      </c>
      <c r="U196" s="16">
        <f>IFERROR(__xludf.DUMMYFUNCTION("""COMPUTED_VALUE"""),157.0)</f>
        <v>157</v>
      </c>
      <c r="V196" s="16">
        <f>IFERROR(__xludf.DUMMYFUNCTION("""COMPUTED_VALUE"""),157.0)</f>
        <v>157</v>
      </c>
      <c r="W196" s="16"/>
      <c r="X196" s="16" t="b">
        <f>IFERROR(__xludf.DUMMYFUNCTION("""COMPUTED_VALUE"""),TRUE)</f>
        <v>1</v>
      </c>
      <c r="Y196" s="16"/>
      <c r="Z196" s="16"/>
    </row>
    <row r="197">
      <c r="A197" s="16" t="str">
        <f>IFERROR(__xludf.DUMMYFUNCTION("""COMPUTED_VALUE"""),"Snowflake")</f>
        <v>Snowflake</v>
      </c>
      <c r="B197" s="16" t="str">
        <f>IFERROR(__xludf.DUMMYFUNCTION("""COMPUTED_VALUE"""),"Growth")</f>
        <v>Growth</v>
      </c>
      <c r="C197" s="26" t="str">
        <f>IFERROR(__xludf.DUMMYFUNCTION("""COMPUTED_VALUE"""),"APAC, EMEA, NAM, LatAm")</f>
        <v>APAC, EMEA, NAM, LatAm</v>
      </c>
      <c r="D197" s="16" t="str">
        <f>IFERROR(__xludf.DUMMYFUNCTION("""COMPUTED_VALUE"""),"Paul Harper")</f>
        <v>Paul Harper</v>
      </c>
      <c r="E197" s="26" t="str">
        <f>IFERROR(__xludf.DUMMYFUNCTION("""COMPUTED_VALUE"""),"United States")</f>
        <v>United States</v>
      </c>
      <c r="F197" s="26" t="str">
        <f>IFERROR(__xludf.DUMMYFUNCTION("""COMPUTED_VALUE"""),"Cloud Data Access (CDA)")</f>
        <v>Cloud Data Access (CDA)</v>
      </c>
      <c r="G197" s="20">
        <f>IFERROR(__xludf.DUMMYFUNCTION("""COMPUTED_VALUE"""),45546.0)</f>
        <v>45546</v>
      </c>
      <c r="H197" s="20"/>
      <c r="I197" s="20"/>
      <c r="J197" s="16"/>
      <c r="K197" s="16"/>
      <c r="L197" s="16" t="str">
        <f>IFERROR(__xludf.DUMMYFUNCTION("""COMPUTED_VALUE"""),"High")</f>
        <v>High</v>
      </c>
      <c r="M197" s="26" t="str">
        <f>IFERROR(__xludf.DUMMYFUNCTION("""COMPUTED_VALUE"""),"PartnerConnect  Technology")</f>
        <v>PartnerConnect  Technology</v>
      </c>
      <c r="N197" s="16" t="str">
        <f>IFERROR(__xludf.DUMMYFUNCTION("""COMPUTED_VALUE"""),"FY24 - Q1")</f>
        <v>FY24 - Q1</v>
      </c>
      <c r="O197" s="16">
        <f>IFERROR(__xludf.DUMMYFUNCTION("""COMPUTED_VALUE"""),0.0)</f>
        <v>0</v>
      </c>
      <c r="P197" s="16">
        <f>IFERROR(__xludf.DUMMYFUNCTION("""COMPUTED_VALUE"""),0.0)</f>
        <v>0</v>
      </c>
      <c r="Q197" s="16">
        <f>IFERROR(__xludf.DUMMYFUNCTION("""COMPUTED_VALUE"""),0.0)</f>
        <v>0</v>
      </c>
      <c r="R197" s="16">
        <f>IFERROR(__xludf.DUMMYFUNCTION("""COMPUTED_VALUE"""),0.0)</f>
        <v>0</v>
      </c>
      <c r="S197" s="16">
        <f>IFERROR(__xludf.DUMMYFUNCTION("""COMPUTED_VALUE"""),0.0)</f>
        <v>0</v>
      </c>
      <c r="T197" s="16">
        <f>IFERROR(__xludf.DUMMYFUNCTION("""COMPUTED_VALUE"""),0.0)</f>
        <v>0</v>
      </c>
      <c r="U197" s="16">
        <f>IFERROR(__xludf.DUMMYFUNCTION("""COMPUTED_VALUE"""),0.0)</f>
        <v>0</v>
      </c>
      <c r="V197" s="16">
        <f>IFERROR(__xludf.DUMMYFUNCTION("""COMPUTED_VALUE"""),0.0)</f>
        <v>0</v>
      </c>
      <c r="W197" s="16"/>
      <c r="X197" s="16" t="b">
        <f>IFERROR(__xludf.DUMMYFUNCTION("""COMPUTED_VALUE"""),FALSE)</f>
        <v>0</v>
      </c>
      <c r="Y197" s="16"/>
      <c r="Z197" s="16"/>
    </row>
    <row r="198">
      <c r="A198" s="16" t="str">
        <f>IFERROR(__xludf.DUMMYFUNCTION("""COMPUTED_VALUE"""),"Social Discovery Corp.")</f>
        <v>Social Discovery Corp.</v>
      </c>
      <c r="B198" s="16" t="str">
        <f>IFERROR(__xludf.DUMMYFUNCTION("""COMPUTED_VALUE"""),"Growth")</f>
        <v>Growth</v>
      </c>
      <c r="C198" s="26" t="str">
        <f>IFERROR(__xludf.DUMMYFUNCTION("""COMPUTED_VALUE"""),"APAC, EMEA, NAM")</f>
        <v>APAC, EMEA, NAM</v>
      </c>
      <c r="D198" s="16" t="str">
        <f>IFERROR(__xludf.DUMMYFUNCTION("""COMPUTED_VALUE"""),"Rod Gowin")</f>
        <v>Rod Gowin</v>
      </c>
      <c r="E198" s="26" t="str">
        <f>IFERROR(__xludf.DUMMYFUNCTION("""COMPUTED_VALUE"""),"United States")</f>
        <v>United States</v>
      </c>
      <c r="F198" s="26" t="str">
        <f>IFERROR(__xludf.DUMMYFUNCTION("""COMPUTED_VALUE"""),"ClaimCenter")</f>
        <v>ClaimCenter</v>
      </c>
      <c r="G198" s="20">
        <f>IFERROR(__xludf.DUMMYFUNCTION("""COMPUTED_VALUE"""),43661.0)</f>
        <v>43661</v>
      </c>
      <c r="H198" s="20">
        <f>IFERROR(__xludf.DUMMYFUNCTION("""COMPUTED_VALUE"""),44392.0)</f>
        <v>44392</v>
      </c>
      <c r="I198" s="20">
        <f>IFERROR(__xludf.DUMMYFUNCTION("""COMPUTED_VALUE"""),43662.0)</f>
        <v>43662</v>
      </c>
      <c r="J198" s="16"/>
      <c r="K198" s="13">
        <f>IFERROR(__xludf.DUMMYFUNCTION("""COMPUTED_VALUE"""),43978.0)</f>
        <v>43978</v>
      </c>
      <c r="L198" s="16" t="str">
        <f>IFERROR(__xludf.DUMMYFUNCTION("""COMPUTED_VALUE"""),"Medium")</f>
        <v>Medium</v>
      </c>
      <c r="M198" s="26" t="str">
        <f>IFERROR(__xludf.DUMMYFUNCTION("""COMPUTED_VALUE"""),"PartnerConnect  Technology")</f>
        <v>PartnerConnect  Technology</v>
      </c>
      <c r="N198" s="16" t="str">
        <f>IFERROR(__xludf.DUMMYFUNCTION("""COMPUTED_VALUE"""),"FY19 - Q4")</f>
        <v>FY19 - Q4</v>
      </c>
      <c r="O198" s="16">
        <f>IFERROR(__xludf.DUMMYFUNCTION("""COMPUTED_VALUE"""),1.0)</f>
        <v>1</v>
      </c>
      <c r="P198" s="16">
        <f>IFERROR(__xludf.DUMMYFUNCTION("""COMPUTED_VALUE"""),1.0)</f>
        <v>1</v>
      </c>
      <c r="Q198" s="16">
        <f>IFERROR(__xludf.DUMMYFUNCTION("""COMPUTED_VALUE"""),0.0)</f>
        <v>0</v>
      </c>
      <c r="R198" s="16">
        <f>IFERROR(__xludf.DUMMYFUNCTION("""COMPUTED_VALUE"""),0.0)</f>
        <v>0</v>
      </c>
      <c r="S198" s="16">
        <f>IFERROR(__xludf.DUMMYFUNCTION("""COMPUTED_VALUE"""),0.0)</f>
        <v>0</v>
      </c>
      <c r="T198" s="16">
        <f>IFERROR(__xludf.DUMMYFUNCTION("""COMPUTED_VALUE"""),0.0)</f>
        <v>0</v>
      </c>
      <c r="U198" s="16">
        <f>IFERROR(__xludf.DUMMYFUNCTION("""COMPUTED_VALUE"""),0.0)</f>
        <v>0</v>
      </c>
      <c r="V198" s="16">
        <f>IFERROR(__xludf.DUMMYFUNCTION("""COMPUTED_VALUE"""),0.0)</f>
        <v>0</v>
      </c>
      <c r="W198" s="16"/>
      <c r="X198" s="16" t="b">
        <f>IFERROR(__xludf.DUMMYFUNCTION("""COMPUTED_VALUE"""),TRUE)</f>
        <v>1</v>
      </c>
      <c r="Y198" s="16"/>
      <c r="Z198" s="16"/>
    </row>
    <row r="199">
      <c r="A199" s="16" t="str">
        <f>IFERROR(__xludf.DUMMYFUNCTION("""COMPUTED_VALUE"""),"Solera Home")</f>
        <v>Solera Home</v>
      </c>
      <c r="B199" s="16" t="str">
        <f>IFERROR(__xludf.DUMMYFUNCTION("""COMPUTED_VALUE"""),"Select")</f>
        <v>Select</v>
      </c>
      <c r="C199" s="26" t="str">
        <f>IFERROR(__xludf.DUMMYFUNCTION("""COMPUTED_VALUE"""),"APAC, EMEA")</f>
        <v>APAC, EMEA</v>
      </c>
      <c r="D199" s="16" t="str">
        <f>IFERROR(__xludf.DUMMYFUNCTION("""COMPUTED_VALUE"""),"Fatima Aoulagha-Bannou")</f>
        <v>Fatima Aoulagha-Bannou</v>
      </c>
      <c r="E199" s="26" t="str">
        <f>IFERROR(__xludf.DUMMYFUNCTION("""COMPUTED_VALUE"""),"Benelux, France, Italy, Spain, Switzerland, UK")</f>
        <v>Benelux, France, Italy, Spain, Switzerland, UK</v>
      </c>
      <c r="F199" s="26"/>
      <c r="G199" s="20">
        <f>IFERROR(__xludf.DUMMYFUNCTION("""COMPUTED_VALUE"""),44680.0)</f>
        <v>44680</v>
      </c>
      <c r="H199" s="13">
        <f>IFERROR(__xludf.DUMMYFUNCTION("""COMPUTED_VALUE"""),45410.0)</f>
        <v>45410</v>
      </c>
      <c r="I199" s="20">
        <f>IFERROR(__xludf.DUMMYFUNCTION("""COMPUTED_VALUE"""),44680.0)</f>
        <v>44680</v>
      </c>
      <c r="J199" s="16"/>
      <c r="K199" s="16"/>
      <c r="L199" s="16" t="str">
        <f>IFERROR(__xludf.DUMMYFUNCTION("""COMPUTED_VALUE"""),"Low")</f>
        <v>Low</v>
      </c>
      <c r="M199" s="26" t="str">
        <f>IFERROR(__xludf.DUMMYFUNCTION("""COMPUTED_VALUE"""),"PartnerConnect  Technology")</f>
        <v>PartnerConnect  Technology</v>
      </c>
      <c r="N199" s="16" t="str">
        <f>IFERROR(__xludf.DUMMYFUNCTION("""COMPUTED_VALUE"""),"FY22 - Q3")</f>
        <v>FY22 - Q3</v>
      </c>
      <c r="O199" s="16">
        <f>IFERROR(__xludf.DUMMYFUNCTION("""COMPUTED_VALUE"""),0.0)</f>
        <v>0</v>
      </c>
      <c r="P199" s="16">
        <f>IFERROR(__xludf.DUMMYFUNCTION("""COMPUTED_VALUE"""),0.0)</f>
        <v>0</v>
      </c>
      <c r="Q199" s="16">
        <f>IFERROR(__xludf.DUMMYFUNCTION("""COMPUTED_VALUE"""),0.0)</f>
        <v>0</v>
      </c>
      <c r="R199" s="16">
        <f>IFERROR(__xludf.DUMMYFUNCTION("""COMPUTED_VALUE"""),0.0)</f>
        <v>0</v>
      </c>
      <c r="S199" s="16">
        <f>IFERROR(__xludf.DUMMYFUNCTION("""COMPUTED_VALUE"""),0.0)</f>
        <v>0</v>
      </c>
      <c r="T199" s="16">
        <f>IFERROR(__xludf.DUMMYFUNCTION("""COMPUTED_VALUE"""),0.0)</f>
        <v>0</v>
      </c>
      <c r="U199" s="16">
        <f>IFERROR(__xludf.DUMMYFUNCTION("""COMPUTED_VALUE"""),0.0)</f>
        <v>0</v>
      </c>
      <c r="V199" s="16">
        <f>IFERROR(__xludf.DUMMYFUNCTION("""COMPUTED_VALUE"""),0.0)</f>
        <v>0</v>
      </c>
      <c r="W199" s="16"/>
      <c r="X199" s="16" t="b">
        <f>IFERROR(__xludf.DUMMYFUNCTION("""COMPUTED_VALUE"""),FALSE)</f>
        <v>0</v>
      </c>
      <c r="Y199" s="16"/>
      <c r="Z199" s="16"/>
    </row>
    <row r="200">
      <c r="A200" s="16" t="str">
        <f>IFERROR(__xludf.DUMMYFUNCTION("""COMPUTED_VALUE"""),"Sollers Consulting Sp. z o.o.")</f>
        <v>Sollers Consulting Sp. z o.o.</v>
      </c>
      <c r="B200" s="16" t="str">
        <f>IFERROR(__xludf.DUMMYFUNCTION("""COMPUTED_VALUE"""),"Advantage")</f>
        <v>Advantage</v>
      </c>
      <c r="C200" s="26" t="str">
        <f>IFERROR(__xludf.DUMMYFUNCTION("""COMPUTED_VALUE"""),"APAC, EMEA, NAM")</f>
        <v>APAC, EMEA, NAM</v>
      </c>
      <c r="D200" s="16" t="str">
        <f>IFERROR(__xludf.DUMMYFUNCTION("""COMPUTED_VALUE"""),"Richard Vahlhaus")</f>
        <v>Richard Vahlhaus</v>
      </c>
      <c r="E200" s="26"/>
      <c r="F200" s="26"/>
      <c r="G200" s="20">
        <f>IFERROR(__xludf.DUMMYFUNCTION("""COMPUTED_VALUE"""),42095.0)</f>
        <v>42095</v>
      </c>
      <c r="H200" s="13">
        <f>IFERROR(__xludf.DUMMYFUNCTION("""COMPUTED_VALUE"""),42826.0)</f>
        <v>42826</v>
      </c>
      <c r="I200" s="20"/>
      <c r="J200" s="16"/>
      <c r="K200" s="16"/>
      <c r="L200" s="16"/>
      <c r="M200" s="26" t="str">
        <f>IFERROR(__xludf.DUMMYFUNCTION("""COMPUTED_VALUE"""),"PartnerConnect  Consulting")</f>
        <v>PartnerConnect  Consulting</v>
      </c>
      <c r="N200" s="16" t="str">
        <f>IFERROR(__xludf.DUMMYFUNCTION("""COMPUTED_VALUE"""),"FY15 - Q3")</f>
        <v>FY15 - Q3</v>
      </c>
      <c r="O200" s="16">
        <f>IFERROR(__xludf.DUMMYFUNCTION("""COMPUTED_VALUE"""),1.0)</f>
        <v>1</v>
      </c>
      <c r="P200" s="16">
        <f>IFERROR(__xludf.DUMMYFUNCTION("""COMPUTED_VALUE"""),1.0)</f>
        <v>1</v>
      </c>
      <c r="Q200" s="16">
        <f>IFERROR(__xludf.DUMMYFUNCTION("""COMPUTED_VALUE"""),0.0)</f>
        <v>0</v>
      </c>
      <c r="R200" s="16">
        <f>IFERROR(__xludf.DUMMYFUNCTION("""COMPUTED_VALUE"""),0.0)</f>
        <v>0</v>
      </c>
      <c r="S200" s="16">
        <f>IFERROR(__xludf.DUMMYFUNCTION("""COMPUTED_VALUE"""),672.0)</f>
        <v>672</v>
      </c>
      <c r="T200" s="16">
        <f>IFERROR(__xludf.DUMMYFUNCTION("""COMPUTED_VALUE"""),0.0)</f>
        <v>0</v>
      </c>
      <c r="U200" s="16">
        <f>IFERROR(__xludf.DUMMYFUNCTION("""COMPUTED_VALUE"""),0.0)</f>
        <v>0</v>
      </c>
      <c r="V200" s="16">
        <f>IFERROR(__xludf.DUMMYFUNCTION("""COMPUTED_VALUE"""),0.0)</f>
        <v>0</v>
      </c>
      <c r="W200" s="16"/>
      <c r="X200" s="16" t="b">
        <f>IFERROR(__xludf.DUMMYFUNCTION("""COMPUTED_VALUE"""),FALSE)</f>
        <v>0</v>
      </c>
      <c r="Y200" s="16"/>
      <c r="Z200" s="16"/>
    </row>
    <row r="201">
      <c r="A201" s="27" t="str">
        <f>IFERROR(__xludf.DUMMYFUNCTION("""COMPUTED_VALUE"""),"Sprout.ai")</f>
        <v>Sprout.ai</v>
      </c>
      <c r="B201" s="16" t="str">
        <f>IFERROR(__xludf.DUMMYFUNCTION("""COMPUTED_VALUE"""),"Growth")</f>
        <v>Growth</v>
      </c>
      <c r="C201" s="26" t="str">
        <f>IFERROR(__xludf.DUMMYFUNCTION("""COMPUTED_VALUE"""),"APAC, EMEA, NAM, LatAm")</f>
        <v>APAC, EMEA, NAM, LatAm</v>
      </c>
      <c r="D201" s="16" t="str">
        <f>IFERROR(__xludf.DUMMYFUNCTION("""COMPUTED_VALUE"""),"Vivienne Hoary")</f>
        <v>Vivienne Hoary</v>
      </c>
      <c r="E201" s="26" t="str">
        <f>IFERROR(__xludf.DUMMYFUNCTION("""COMPUTED_VALUE"""),"South America, UK, United States")</f>
        <v>South America, UK, United States</v>
      </c>
      <c r="F201" s="26" t="str">
        <f>IFERROR(__xludf.DUMMYFUNCTION("""COMPUTED_VALUE"""),"ClaimCenter")</f>
        <v>ClaimCenter</v>
      </c>
      <c r="G201" s="20">
        <f>IFERROR(__xludf.DUMMYFUNCTION("""COMPUTED_VALUE"""),44216.0)</f>
        <v>44216</v>
      </c>
      <c r="H201" s="13">
        <f>IFERROR(__xludf.DUMMYFUNCTION("""COMPUTED_VALUE"""),44946.0)</f>
        <v>44946</v>
      </c>
      <c r="I201" s="20">
        <f>IFERROR(__xludf.DUMMYFUNCTION("""COMPUTED_VALUE"""),44216.0)</f>
        <v>44216</v>
      </c>
      <c r="J201" s="16"/>
      <c r="K201" s="16"/>
      <c r="L201" s="16" t="str">
        <f>IFERROR(__xludf.DUMMYFUNCTION("""COMPUTED_VALUE"""),"Medium")</f>
        <v>Medium</v>
      </c>
      <c r="M201" s="26" t="str">
        <f>IFERROR(__xludf.DUMMYFUNCTION("""COMPUTED_VALUE"""),"PartnerConnect  Technology")</f>
        <v>PartnerConnect  Technology</v>
      </c>
      <c r="N201" s="16" t="str">
        <f>IFERROR(__xludf.DUMMYFUNCTION("""COMPUTED_VALUE"""),"FY21 - Q2")</f>
        <v>FY21 - Q2</v>
      </c>
      <c r="O201" s="16">
        <f>IFERROR(__xludf.DUMMYFUNCTION("""COMPUTED_VALUE"""),1.0)</f>
        <v>1</v>
      </c>
      <c r="P201" s="16">
        <f>IFERROR(__xludf.DUMMYFUNCTION("""COMPUTED_VALUE"""),1.0)</f>
        <v>1</v>
      </c>
      <c r="Q201" s="16">
        <f>IFERROR(__xludf.DUMMYFUNCTION("""COMPUTED_VALUE"""),0.0)</f>
        <v>0</v>
      </c>
      <c r="R201" s="16">
        <f>IFERROR(__xludf.DUMMYFUNCTION("""COMPUTED_VALUE"""),0.0)</f>
        <v>0</v>
      </c>
      <c r="S201" s="16">
        <f>IFERROR(__xludf.DUMMYFUNCTION("""COMPUTED_VALUE"""),0.0)</f>
        <v>0</v>
      </c>
      <c r="T201" s="16">
        <f>IFERROR(__xludf.DUMMYFUNCTION("""COMPUTED_VALUE"""),0.0)</f>
        <v>0</v>
      </c>
      <c r="U201" s="16">
        <f>IFERROR(__xludf.DUMMYFUNCTION("""COMPUTED_VALUE"""),0.0)</f>
        <v>0</v>
      </c>
      <c r="V201" s="16">
        <f>IFERROR(__xludf.DUMMYFUNCTION("""COMPUTED_VALUE"""),0.0)</f>
        <v>0</v>
      </c>
      <c r="W201" s="16"/>
      <c r="X201" s="16" t="b">
        <f>IFERROR(__xludf.DUMMYFUNCTION("""COMPUTED_VALUE"""),TRUE)</f>
        <v>1</v>
      </c>
      <c r="Y201" s="16"/>
      <c r="Z201" s="16"/>
    </row>
    <row r="202">
      <c r="A202" s="16" t="str">
        <f>IFERROR(__xludf.DUMMYFUNCTION("""COMPUTED_VALUE"""),"SS&amp;C Blue Prism")</f>
        <v>SS&amp;C Blue Prism</v>
      </c>
      <c r="B202" s="16" t="str">
        <f>IFERROR(__xludf.DUMMYFUNCTION("""COMPUTED_VALUE"""),"Growth")</f>
        <v>Growth</v>
      </c>
      <c r="C202" s="26" t="str">
        <f>IFERROR(__xludf.DUMMYFUNCTION("""COMPUTED_VALUE"""),"APAC, EMEA, NAM, LatAm")</f>
        <v>APAC, EMEA, NAM, LatAm</v>
      </c>
      <c r="D202" s="16" t="str">
        <f>IFERROR(__xludf.DUMMYFUNCTION("""COMPUTED_VALUE"""),"Tim Kennedy")</f>
        <v>Tim Kennedy</v>
      </c>
      <c r="E202" s="16" t="str">
        <f>IFERROR(__xludf.DUMMYFUNCTION("""COMPUTED_VALUE"""),"Australia New Zealand, Austria, Benelux, Canada, Croatia, Czech Republic, Denmark, Finland, France, Germany, Hungary, India, Ireland, Israel, Italy, Norway, Poland, Russia, Slovakia, South America, Spain, Sweden, Switzerland, Turkey, UK, United States, Ja"&amp;"pan, South Africa")</f>
        <v>Australia New Zealand, Austria, Benelux, Canada, Croatia, Czech Republic, Denmark, Finland, France, Germany, Hungary, India, Ireland, Israel, Italy, Norway, Poland, Russia, Slovakia, South America, Spain, Sweden, Switzerland, Turkey, UK, United States, Japan, South Africa</v>
      </c>
      <c r="F202" s="26" t="str">
        <f>IFERROR(__xludf.DUMMYFUNCTION("""COMPUTED_VALUE"""),"ClaimCenter, PolicyCenter, BillingCenter")</f>
        <v>ClaimCenter, PolicyCenter, BillingCenter</v>
      </c>
      <c r="G202" s="20">
        <f>IFERROR(__xludf.DUMMYFUNCTION("""COMPUTED_VALUE"""),44491.0)</f>
        <v>44491</v>
      </c>
      <c r="H202" s="20">
        <f>IFERROR(__xludf.DUMMYFUNCTION("""COMPUTED_VALUE"""),45220.0)</f>
        <v>45220</v>
      </c>
      <c r="I202" s="20">
        <f>IFERROR(__xludf.DUMMYFUNCTION("""COMPUTED_VALUE"""),44896.0)</f>
        <v>44896</v>
      </c>
      <c r="J202" s="16"/>
      <c r="K202" s="13">
        <f>IFERROR(__xludf.DUMMYFUNCTION("""COMPUTED_VALUE"""),45597.0)</f>
        <v>45597</v>
      </c>
      <c r="L202" s="16" t="str">
        <f>IFERROR(__xludf.DUMMYFUNCTION("""COMPUTED_VALUE"""),"Medium")</f>
        <v>Medium</v>
      </c>
      <c r="M202" s="26" t="str">
        <f>IFERROR(__xludf.DUMMYFUNCTION("""COMPUTED_VALUE"""),"PartnerConnect  Technology")</f>
        <v>PartnerConnect  Technology</v>
      </c>
      <c r="N202" s="16" t="str">
        <f>IFERROR(__xludf.DUMMYFUNCTION("""COMPUTED_VALUE"""),"FY21 - Q1")</f>
        <v>FY21 - Q1</v>
      </c>
      <c r="O202" s="16">
        <f>IFERROR(__xludf.DUMMYFUNCTION("""COMPUTED_VALUE"""),1.0)</f>
        <v>1</v>
      </c>
      <c r="P202" s="16">
        <f>IFERROR(__xludf.DUMMYFUNCTION("""COMPUTED_VALUE"""),1.0)</f>
        <v>1</v>
      </c>
      <c r="Q202" s="16">
        <f>IFERROR(__xludf.DUMMYFUNCTION("""COMPUTED_VALUE"""),9.0)</f>
        <v>9</v>
      </c>
      <c r="R202" s="16">
        <f>IFERROR(__xludf.DUMMYFUNCTION("""COMPUTED_VALUE"""),9.0)</f>
        <v>9</v>
      </c>
      <c r="S202" s="16">
        <f>IFERROR(__xludf.DUMMYFUNCTION("""COMPUTED_VALUE"""),77.0)</f>
        <v>77</v>
      </c>
      <c r="T202" s="16">
        <f>IFERROR(__xludf.DUMMYFUNCTION("""COMPUTED_VALUE"""),2.0)</f>
        <v>2</v>
      </c>
      <c r="U202" s="16">
        <f>IFERROR(__xludf.DUMMYFUNCTION("""COMPUTED_VALUE"""),9.0)</f>
        <v>9</v>
      </c>
      <c r="V202" s="16">
        <f>IFERROR(__xludf.DUMMYFUNCTION("""COMPUTED_VALUE"""),9.0)</f>
        <v>9</v>
      </c>
      <c r="W202" s="16"/>
      <c r="X202" s="16" t="b">
        <f>IFERROR(__xludf.DUMMYFUNCTION("""COMPUTED_VALUE"""),TRUE)</f>
        <v>1</v>
      </c>
      <c r="Y202" s="16"/>
      <c r="Z202" s="16"/>
    </row>
    <row r="203">
      <c r="A203" s="16" t="str">
        <f>IFERROR(__xludf.DUMMYFUNCTION("""COMPUTED_VALUE"""),"Stelvio Australia")</f>
        <v>Stelvio Australia</v>
      </c>
      <c r="B203" s="16" t="str">
        <f>IFERROR(__xludf.DUMMYFUNCTION("""COMPUTED_VALUE"""),"Growth")</f>
        <v>Growth</v>
      </c>
      <c r="C203" s="26" t="str">
        <f>IFERROR(__xludf.DUMMYFUNCTION("""COMPUTED_VALUE"""),"APAC")</f>
        <v>APAC</v>
      </c>
      <c r="D203" s="16" t="str">
        <f>IFERROR(__xludf.DUMMYFUNCTION("""COMPUTED_VALUE"""),"Ketaki Padhye")</f>
        <v>Ketaki Padhye</v>
      </c>
      <c r="E203" s="26" t="str">
        <f>IFERROR(__xludf.DUMMYFUNCTION("""COMPUTED_VALUE"""),"Australia New Zealand")</f>
        <v>Australia New Zealand</v>
      </c>
      <c r="F203" s="26" t="str">
        <f>IFERROR(__xludf.DUMMYFUNCTION("""COMPUTED_VALUE"""),"ClaimCenter")</f>
        <v>ClaimCenter</v>
      </c>
      <c r="G203" s="20">
        <f>IFERROR(__xludf.DUMMYFUNCTION("""COMPUTED_VALUE"""),45488.0)</f>
        <v>45488</v>
      </c>
      <c r="H203" s="16"/>
      <c r="I203" s="20">
        <f>IFERROR(__xludf.DUMMYFUNCTION("""COMPUTED_VALUE"""),45698.0)</f>
        <v>45698</v>
      </c>
      <c r="J203" s="16"/>
      <c r="K203" s="16"/>
      <c r="L203" s="16" t="str">
        <f>IFERROR(__xludf.DUMMYFUNCTION("""COMPUTED_VALUE"""),"Medium")</f>
        <v>Medium</v>
      </c>
      <c r="M203" s="26" t="str">
        <f>IFERROR(__xludf.DUMMYFUNCTION("""COMPUTED_VALUE"""),"PartnerConnect  Technology")</f>
        <v>PartnerConnect  Technology</v>
      </c>
      <c r="N203" s="16" t="str">
        <f>IFERROR(__xludf.DUMMYFUNCTION("""COMPUTED_VALUE"""),"FY24 - Q4")</f>
        <v>FY24 - Q4</v>
      </c>
      <c r="O203" s="16">
        <f>IFERROR(__xludf.DUMMYFUNCTION("""COMPUTED_VALUE"""),1.0)</f>
        <v>1</v>
      </c>
      <c r="P203" s="16">
        <f>IFERROR(__xludf.DUMMYFUNCTION("""COMPUTED_VALUE"""),1.0)</f>
        <v>1</v>
      </c>
      <c r="Q203" s="16">
        <f>IFERROR(__xludf.DUMMYFUNCTION("""COMPUTED_VALUE"""),0.0)</f>
        <v>0</v>
      </c>
      <c r="R203" s="16">
        <f>IFERROR(__xludf.DUMMYFUNCTION("""COMPUTED_VALUE"""),0.0)</f>
        <v>0</v>
      </c>
      <c r="S203" s="16">
        <f>IFERROR(__xludf.DUMMYFUNCTION("""COMPUTED_VALUE"""),0.0)</f>
        <v>0</v>
      </c>
      <c r="T203" s="16">
        <f>IFERROR(__xludf.DUMMYFUNCTION("""COMPUTED_VALUE"""),0.0)</f>
        <v>0</v>
      </c>
      <c r="U203" s="16">
        <f>IFERROR(__xludf.DUMMYFUNCTION("""COMPUTED_VALUE"""),0.0)</f>
        <v>0</v>
      </c>
      <c r="V203" s="16">
        <f>IFERROR(__xludf.DUMMYFUNCTION("""COMPUTED_VALUE"""),0.0)</f>
        <v>0</v>
      </c>
      <c r="W203" s="16"/>
      <c r="X203" s="16" t="b">
        <f>IFERROR(__xludf.DUMMYFUNCTION("""COMPUTED_VALUE"""),FALSE)</f>
        <v>0</v>
      </c>
      <c r="Y203" s="16"/>
      <c r="Z203" s="16"/>
    </row>
    <row r="204">
      <c r="A204" s="16" t="str">
        <f>IFERROR(__xludf.DUMMYFUNCTION("""COMPUTED_VALUE"""),"StrataCare Casualty Claims Solutions LLC")</f>
        <v>StrataCare Casualty Claims Solutions LLC</v>
      </c>
      <c r="B204" s="16" t="str">
        <f>IFERROR(__xludf.DUMMYFUNCTION("""COMPUTED_VALUE"""),"Growth")</f>
        <v>Growth</v>
      </c>
      <c r="C204" s="26" t="str">
        <f>IFERROR(__xludf.DUMMYFUNCTION("""COMPUTED_VALUE"""),"NAM")</f>
        <v>NAM</v>
      </c>
      <c r="D204" s="16" t="str">
        <f>IFERROR(__xludf.DUMMYFUNCTION("""COMPUTED_VALUE"""),"Rod Gowin")</f>
        <v>Rod Gowin</v>
      </c>
      <c r="E204" s="26" t="str">
        <f>IFERROR(__xludf.DUMMYFUNCTION("""COMPUTED_VALUE"""),"United States")</f>
        <v>United States</v>
      </c>
      <c r="F204" s="26" t="str">
        <f>IFERROR(__xludf.DUMMYFUNCTION("""COMPUTED_VALUE"""),"ClaimCenter")</f>
        <v>ClaimCenter</v>
      </c>
      <c r="G204" s="20">
        <f>IFERROR(__xludf.DUMMYFUNCTION("""COMPUTED_VALUE"""),45910.0)</f>
        <v>45910</v>
      </c>
      <c r="H204" s="16"/>
      <c r="I204" s="20">
        <f>IFERROR(__xludf.DUMMYFUNCTION("""COMPUTED_VALUE"""),45910.0)</f>
        <v>45910</v>
      </c>
      <c r="J204" s="16"/>
      <c r="K204" s="16"/>
      <c r="L204" s="16" t="str">
        <f>IFERROR(__xludf.DUMMYFUNCTION("""COMPUTED_VALUE"""),"Medium")</f>
        <v>Medium</v>
      </c>
      <c r="M204" s="26" t="str">
        <f>IFERROR(__xludf.DUMMYFUNCTION("""COMPUTED_VALUE"""),"PartnerConnect  Technology")</f>
        <v>PartnerConnect  Technology</v>
      </c>
      <c r="N204" s="16" t="str">
        <f>IFERROR(__xludf.DUMMYFUNCTION("""COMPUTED_VALUE"""),"FY25 - Q1")</f>
        <v>FY25 - Q1</v>
      </c>
      <c r="O204" s="16">
        <f>IFERROR(__xludf.DUMMYFUNCTION("""COMPUTED_VALUE"""),0.0)</f>
        <v>0</v>
      </c>
      <c r="P204" s="16">
        <f>IFERROR(__xludf.DUMMYFUNCTION("""COMPUTED_VALUE"""),0.0)</f>
        <v>0</v>
      </c>
      <c r="Q204" s="16">
        <f>IFERROR(__xludf.DUMMYFUNCTION("""COMPUTED_VALUE"""),0.0)</f>
        <v>0</v>
      </c>
      <c r="R204" s="16">
        <f>IFERROR(__xludf.DUMMYFUNCTION("""COMPUTED_VALUE"""),0.0)</f>
        <v>0</v>
      </c>
      <c r="S204" s="16">
        <f>IFERROR(__xludf.DUMMYFUNCTION("""COMPUTED_VALUE"""),0.0)</f>
        <v>0</v>
      </c>
      <c r="T204" s="16">
        <f>IFERROR(__xludf.DUMMYFUNCTION("""COMPUTED_VALUE"""),0.0)</f>
        <v>0</v>
      </c>
      <c r="U204" s="16">
        <f>IFERROR(__xludf.DUMMYFUNCTION("""COMPUTED_VALUE"""),0.0)</f>
        <v>0</v>
      </c>
      <c r="V204" s="16">
        <f>IFERROR(__xludf.DUMMYFUNCTION("""COMPUTED_VALUE"""),0.0)</f>
        <v>0</v>
      </c>
      <c r="W204" s="16"/>
      <c r="X204" s="16" t="b">
        <f>IFERROR(__xludf.DUMMYFUNCTION("""COMPUTED_VALUE"""),FALSE)</f>
        <v>0</v>
      </c>
      <c r="Y204" s="16"/>
      <c r="Z204" s="16"/>
    </row>
    <row r="205">
      <c r="A205" s="16" t="str">
        <f>IFERROR(__xludf.DUMMYFUNCTION("""COMPUTED_VALUE"""),"Streamline Imaging LLC")</f>
        <v>Streamline Imaging LLC</v>
      </c>
      <c r="B205" s="16" t="str">
        <f>IFERROR(__xludf.DUMMYFUNCTION("""COMPUTED_VALUE"""),"Growth")</f>
        <v>Growth</v>
      </c>
      <c r="C205" s="26" t="str">
        <f>IFERROR(__xludf.DUMMYFUNCTION("""COMPUTED_VALUE"""),"NAM")</f>
        <v>NAM</v>
      </c>
      <c r="D205" s="16" t="str">
        <f>IFERROR(__xludf.DUMMYFUNCTION("""COMPUTED_VALUE"""),"Rod Gowin")</f>
        <v>Rod Gowin</v>
      </c>
      <c r="E205" s="26" t="str">
        <f>IFERROR(__xludf.DUMMYFUNCTION("""COMPUTED_VALUE"""),"United States")</f>
        <v>United States</v>
      </c>
      <c r="F205" s="26" t="str">
        <f>IFERROR(__xludf.DUMMYFUNCTION("""COMPUTED_VALUE"""),"ClaimCenter")</f>
        <v>ClaimCenter</v>
      </c>
      <c r="G205" s="20">
        <f>IFERROR(__xludf.DUMMYFUNCTION("""COMPUTED_VALUE"""),45659.0)</f>
        <v>45659</v>
      </c>
      <c r="H205" s="20"/>
      <c r="I205" s="20">
        <f>IFERROR(__xludf.DUMMYFUNCTION("""COMPUTED_VALUE"""),45659.0)</f>
        <v>45659</v>
      </c>
      <c r="J205" s="16"/>
      <c r="K205" s="20"/>
      <c r="L205" s="16" t="str">
        <f>IFERROR(__xludf.DUMMYFUNCTION("""COMPUTED_VALUE"""),"Medium")</f>
        <v>Medium</v>
      </c>
      <c r="M205" s="26" t="str">
        <f>IFERROR(__xludf.DUMMYFUNCTION("""COMPUTED_VALUE"""),"PartnerConnect  Technology")</f>
        <v>PartnerConnect  Technology</v>
      </c>
      <c r="N205" s="16" t="str">
        <f>IFERROR(__xludf.DUMMYFUNCTION("""COMPUTED_VALUE"""),"FY25 - Q2")</f>
        <v>FY25 - Q2</v>
      </c>
      <c r="O205" s="16">
        <f>IFERROR(__xludf.DUMMYFUNCTION("""COMPUTED_VALUE"""),1.0)</f>
        <v>1</v>
      </c>
      <c r="P205" s="16">
        <f>IFERROR(__xludf.DUMMYFUNCTION("""COMPUTED_VALUE"""),1.0)</f>
        <v>1</v>
      </c>
      <c r="Q205" s="16">
        <f>IFERROR(__xludf.DUMMYFUNCTION("""COMPUTED_VALUE"""),0.0)</f>
        <v>0</v>
      </c>
      <c r="R205" s="16">
        <f>IFERROR(__xludf.DUMMYFUNCTION("""COMPUTED_VALUE"""),0.0)</f>
        <v>0</v>
      </c>
      <c r="S205" s="16">
        <f>IFERROR(__xludf.DUMMYFUNCTION("""COMPUTED_VALUE"""),0.0)</f>
        <v>0</v>
      </c>
      <c r="T205" s="16">
        <f>IFERROR(__xludf.DUMMYFUNCTION("""COMPUTED_VALUE"""),0.0)</f>
        <v>0</v>
      </c>
      <c r="U205" s="16">
        <f>IFERROR(__xludf.DUMMYFUNCTION("""COMPUTED_VALUE"""),0.0)</f>
        <v>0</v>
      </c>
      <c r="V205" s="16">
        <f>IFERROR(__xludf.DUMMYFUNCTION("""COMPUTED_VALUE"""),0.0)</f>
        <v>0</v>
      </c>
      <c r="W205" s="16"/>
      <c r="X205" s="16" t="b">
        <f>IFERROR(__xludf.DUMMYFUNCTION("""COMPUTED_VALUE"""),TRUE)</f>
        <v>1</v>
      </c>
      <c r="Y205" s="16"/>
      <c r="Z205" s="16"/>
    </row>
    <row r="206">
      <c r="A206" s="16" t="str">
        <f>IFERROR(__xludf.DUMMYFUNCTION("""COMPUTED_VALUE"""),"Stripe, Inc.")</f>
        <v>Stripe, Inc.</v>
      </c>
      <c r="B206" s="16" t="str">
        <f>IFERROR(__xludf.DUMMYFUNCTION("""COMPUTED_VALUE"""),"Growth")</f>
        <v>Growth</v>
      </c>
      <c r="C206" s="26" t="str">
        <f>IFERROR(__xludf.DUMMYFUNCTION("""COMPUTED_VALUE"""),"APAC, EMEA, NAM, LatAm")</f>
        <v>APAC, EMEA, NAM, LatAm</v>
      </c>
      <c r="D206" s="16" t="str">
        <f>IFERROR(__xludf.DUMMYFUNCTION("""COMPUTED_VALUE"""),"Fatima Aoulagha-Bannou")</f>
        <v>Fatima Aoulagha-Bannou</v>
      </c>
      <c r="E206" s="26" t="str">
        <f>IFERROR(__xludf.DUMMYFUNCTION("""COMPUTED_VALUE"""),"Australia New Zealand, Canada, UK, United States")</f>
        <v>Australia New Zealand, Canada, UK, United States</v>
      </c>
      <c r="F206" s="26" t="str">
        <f>IFERROR(__xludf.DUMMYFUNCTION("""COMPUTED_VALUE"""),"ClaimCenter, BillingCenter")</f>
        <v>ClaimCenter, BillingCenter</v>
      </c>
      <c r="G206" s="20">
        <f>IFERROR(__xludf.DUMMYFUNCTION("""COMPUTED_VALUE"""),45568.0)</f>
        <v>45568</v>
      </c>
      <c r="H206" s="20"/>
      <c r="I206" s="20">
        <f>IFERROR(__xludf.DUMMYFUNCTION("""COMPUTED_VALUE"""),45772.0)</f>
        <v>45772</v>
      </c>
      <c r="J206" s="16"/>
      <c r="K206" s="13">
        <f>IFERROR(__xludf.DUMMYFUNCTION("""COMPUTED_VALUE"""),45923.0)</f>
        <v>45923</v>
      </c>
      <c r="L206" s="16" t="str">
        <f>IFERROR(__xludf.DUMMYFUNCTION("""COMPUTED_VALUE"""),"High")</f>
        <v>High</v>
      </c>
      <c r="M206" s="26" t="str">
        <f>IFERROR(__xludf.DUMMYFUNCTION("""COMPUTED_VALUE"""),"PartnerConnect  Technology")</f>
        <v>PartnerConnect  Technology</v>
      </c>
      <c r="N206" s="16" t="str">
        <f>IFERROR(__xludf.DUMMYFUNCTION("""COMPUTED_VALUE"""),"FY24 - Q1")</f>
        <v>FY24 - Q1</v>
      </c>
      <c r="O206" s="16">
        <f>IFERROR(__xludf.DUMMYFUNCTION("""COMPUTED_VALUE"""),2.0)</f>
        <v>2</v>
      </c>
      <c r="P206" s="16">
        <f>IFERROR(__xludf.DUMMYFUNCTION("""COMPUTED_VALUE"""),2.0)</f>
        <v>2</v>
      </c>
      <c r="Q206" s="16">
        <f>IFERROR(__xludf.DUMMYFUNCTION("""COMPUTED_VALUE"""),16.0)</f>
        <v>16</v>
      </c>
      <c r="R206" s="16">
        <f>IFERROR(__xludf.DUMMYFUNCTION("""COMPUTED_VALUE"""),16.0)</f>
        <v>16</v>
      </c>
      <c r="S206" s="16">
        <f>IFERROR(__xludf.DUMMYFUNCTION("""COMPUTED_VALUE"""),3984.0)</f>
        <v>3984</v>
      </c>
      <c r="T206" s="16">
        <f>IFERROR(__xludf.DUMMYFUNCTION("""COMPUTED_VALUE"""),10.0)</f>
        <v>10</v>
      </c>
      <c r="U206" s="16">
        <f>IFERROR(__xludf.DUMMYFUNCTION("""COMPUTED_VALUE"""),16.0)</f>
        <v>16</v>
      </c>
      <c r="V206" s="16">
        <f>IFERROR(__xludf.DUMMYFUNCTION("""COMPUTED_VALUE"""),16.0)</f>
        <v>16</v>
      </c>
      <c r="W206" s="16"/>
      <c r="X206" s="16" t="b">
        <f>IFERROR(__xludf.DUMMYFUNCTION("""COMPUTED_VALUE"""),TRUE)</f>
        <v>1</v>
      </c>
      <c r="Y206" s="16"/>
      <c r="Z206" s="16"/>
    </row>
    <row r="207">
      <c r="A207" s="16" t="str">
        <f>IFERROR(__xludf.DUMMYFUNCTION("""COMPUTED_VALUE"""),"Subroclaims")</f>
        <v>Subroclaims</v>
      </c>
      <c r="B207" s="16" t="str">
        <f>IFERROR(__xludf.DUMMYFUNCTION("""COMPUTED_VALUE"""),"Growth")</f>
        <v>Growth</v>
      </c>
      <c r="C207" s="26" t="str">
        <f>IFERROR(__xludf.DUMMYFUNCTION("""COMPUTED_VALUE"""),"NAM")</f>
        <v>NAM</v>
      </c>
      <c r="D207" s="16" t="str">
        <f>IFERROR(__xludf.DUMMYFUNCTION("""COMPUTED_VALUE"""),"Tim Kennedy")</f>
        <v>Tim Kennedy</v>
      </c>
      <c r="E207" s="26"/>
      <c r="F207" s="26" t="str">
        <f>IFERROR(__xludf.DUMMYFUNCTION("""COMPUTED_VALUE"""),"ClaimCenter")</f>
        <v>ClaimCenter</v>
      </c>
      <c r="G207" s="20">
        <f>IFERROR(__xludf.DUMMYFUNCTION("""COMPUTED_VALUE"""),44354.0)</f>
        <v>44354</v>
      </c>
      <c r="H207" s="20">
        <f>IFERROR(__xludf.DUMMYFUNCTION("""COMPUTED_VALUE"""),45083.0)</f>
        <v>45083</v>
      </c>
      <c r="I207" s="20">
        <f>IFERROR(__xludf.DUMMYFUNCTION("""COMPUTED_VALUE"""),44354.0)</f>
        <v>44354</v>
      </c>
      <c r="J207" s="16"/>
      <c r="K207" s="16"/>
      <c r="L207" s="16" t="str">
        <f>IFERROR(__xludf.DUMMYFUNCTION("""COMPUTED_VALUE"""),"Medium")</f>
        <v>Medium</v>
      </c>
      <c r="M207" s="26" t="str">
        <f>IFERROR(__xludf.DUMMYFUNCTION("""COMPUTED_VALUE"""),"PartnerConnect  Technology")</f>
        <v>PartnerConnect  Technology</v>
      </c>
      <c r="N207" s="16" t="str">
        <f>IFERROR(__xludf.DUMMYFUNCTION("""COMPUTED_VALUE"""),"FY21 - Q3")</f>
        <v>FY21 - Q3</v>
      </c>
      <c r="O207" s="16">
        <f>IFERROR(__xludf.DUMMYFUNCTION("""COMPUTED_VALUE"""),0.0)</f>
        <v>0</v>
      </c>
      <c r="P207" s="16">
        <f>IFERROR(__xludf.DUMMYFUNCTION("""COMPUTED_VALUE"""),0.0)</f>
        <v>0</v>
      </c>
      <c r="Q207" s="16">
        <f>IFERROR(__xludf.DUMMYFUNCTION("""COMPUTED_VALUE"""),0.0)</f>
        <v>0</v>
      </c>
      <c r="R207" s="16">
        <f>IFERROR(__xludf.DUMMYFUNCTION("""COMPUTED_VALUE"""),0.0)</f>
        <v>0</v>
      </c>
      <c r="S207" s="16">
        <f>IFERROR(__xludf.DUMMYFUNCTION("""COMPUTED_VALUE"""),0.0)</f>
        <v>0</v>
      </c>
      <c r="T207" s="16">
        <f>IFERROR(__xludf.DUMMYFUNCTION("""COMPUTED_VALUE"""),0.0)</f>
        <v>0</v>
      </c>
      <c r="U207" s="16">
        <f>IFERROR(__xludf.DUMMYFUNCTION("""COMPUTED_VALUE"""),0.0)</f>
        <v>0</v>
      </c>
      <c r="V207" s="16">
        <f>IFERROR(__xludf.DUMMYFUNCTION("""COMPUTED_VALUE"""),0.0)</f>
        <v>0</v>
      </c>
      <c r="W207" s="16"/>
      <c r="X207" s="16" t="b">
        <f>IFERROR(__xludf.DUMMYFUNCTION("""COMPUTED_VALUE"""),FALSE)</f>
        <v>0</v>
      </c>
      <c r="Y207" s="16"/>
      <c r="Z207" s="16"/>
    </row>
    <row r="208">
      <c r="A208" s="16" t="str">
        <f>IFERROR(__xludf.DUMMYFUNCTION("""COMPUTED_VALUE"""),"Swiss Re Solutions Ltd.")</f>
        <v>Swiss Re Solutions Ltd.</v>
      </c>
      <c r="B208" s="16" t="str">
        <f>IFERROR(__xludf.DUMMYFUNCTION("""COMPUTED_VALUE"""),"Growth")</f>
        <v>Growth</v>
      </c>
      <c r="C208" s="26" t="str">
        <f>IFERROR(__xludf.DUMMYFUNCTION("""COMPUTED_VALUE"""),"APAC, EMEA, NAM, LatAm")</f>
        <v>APAC, EMEA, NAM, LatAm</v>
      </c>
      <c r="D208" s="16" t="str">
        <f>IFERROR(__xludf.DUMMYFUNCTION("""COMPUTED_VALUE"""),"Fatima Aoulagha-Bannou")</f>
        <v>Fatima Aoulagha-Bannou</v>
      </c>
      <c r="E208" s="26" t="str">
        <f>IFERROR(__xludf.DUMMYFUNCTION("""COMPUTED_VALUE"""),"Austria")</f>
        <v>Austria</v>
      </c>
      <c r="F208" s="26" t="str">
        <f>IFERROR(__xludf.DUMMYFUNCTION("""COMPUTED_VALUE"""),"ClaimCenter")</f>
        <v>ClaimCenter</v>
      </c>
      <c r="G208" s="20">
        <f>IFERROR(__xludf.DUMMYFUNCTION("""COMPUTED_VALUE"""),45215.0)</f>
        <v>45215</v>
      </c>
      <c r="H208" s="16"/>
      <c r="I208" s="20">
        <f>IFERROR(__xludf.DUMMYFUNCTION("""COMPUTED_VALUE"""),45538.0)</f>
        <v>45538</v>
      </c>
      <c r="J208" s="16"/>
      <c r="K208" s="20">
        <f>IFERROR(__xludf.DUMMYFUNCTION("""COMPUTED_VALUE"""),45908.0)</f>
        <v>45908</v>
      </c>
      <c r="L208" s="16" t="str">
        <f>IFERROR(__xludf.DUMMYFUNCTION("""COMPUTED_VALUE"""),"Strategic")</f>
        <v>Strategic</v>
      </c>
      <c r="M208" s="26" t="str">
        <f>IFERROR(__xludf.DUMMYFUNCTION("""COMPUTED_VALUE"""),"PartnerConnect  Technology")</f>
        <v>PartnerConnect  Technology</v>
      </c>
      <c r="N208" s="16" t="str">
        <f>IFERROR(__xludf.DUMMYFUNCTION("""COMPUTED_VALUE"""),"FY23 - Q1")</f>
        <v>FY23 - Q1</v>
      </c>
      <c r="O208" s="16">
        <f>IFERROR(__xludf.DUMMYFUNCTION("""COMPUTED_VALUE"""),1.0)</f>
        <v>1</v>
      </c>
      <c r="P208" s="16">
        <f>IFERROR(__xludf.DUMMYFUNCTION("""COMPUTED_VALUE"""),1.0)</f>
        <v>1</v>
      </c>
      <c r="Q208" s="16">
        <f>IFERROR(__xludf.DUMMYFUNCTION("""COMPUTED_VALUE"""),1.0)</f>
        <v>1</v>
      </c>
      <c r="R208" s="16">
        <f>IFERROR(__xludf.DUMMYFUNCTION("""COMPUTED_VALUE"""),1.0)</f>
        <v>1</v>
      </c>
      <c r="S208" s="16">
        <f>IFERROR(__xludf.DUMMYFUNCTION("""COMPUTED_VALUE"""),1094.0)</f>
        <v>1094</v>
      </c>
      <c r="T208" s="16">
        <f>IFERROR(__xludf.DUMMYFUNCTION("""COMPUTED_VALUE"""),1.0)</f>
        <v>1</v>
      </c>
      <c r="U208" s="16">
        <f>IFERROR(__xludf.DUMMYFUNCTION("""COMPUTED_VALUE"""),1.0)</f>
        <v>1</v>
      </c>
      <c r="V208" s="16">
        <f>IFERROR(__xludf.DUMMYFUNCTION("""COMPUTED_VALUE"""),1.0)</f>
        <v>1</v>
      </c>
      <c r="W208" s="16"/>
      <c r="X208" s="16" t="b">
        <f>IFERROR(__xludf.DUMMYFUNCTION("""COMPUTED_VALUE"""),TRUE)</f>
        <v>1</v>
      </c>
      <c r="Y208" s="16"/>
      <c r="Z208" s="16"/>
    </row>
    <row r="209">
      <c r="A209" s="16" t="str">
        <f>IFERROR(__xludf.DUMMYFUNCTION("""COMPUTED_VALUE"""),"Synectics Solutions")</f>
        <v>Synectics Solutions</v>
      </c>
      <c r="B209" s="16" t="str">
        <f>IFERROR(__xludf.DUMMYFUNCTION("""COMPUTED_VALUE"""),"Select")</f>
        <v>Select</v>
      </c>
      <c r="C209" s="26" t="str">
        <f>IFERROR(__xludf.DUMMYFUNCTION("""COMPUTED_VALUE"""),"EMEA, NAM")</f>
        <v>EMEA, NAM</v>
      </c>
      <c r="D209" s="16" t="str">
        <f>IFERROR(__xludf.DUMMYFUNCTION("""COMPUTED_VALUE"""),"Vivienne Hoary")</f>
        <v>Vivienne Hoary</v>
      </c>
      <c r="E209" s="16" t="str">
        <f>IFERROR(__xludf.DUMMYFUNCTION("""COMPUTED_VALUE"""),"UK, United States")</f>
        <v>UK, United States</v>
      </c>
      <c r="F209" s="26" t="str">
        <f>IFERROR(__xludf.DUMMYFUNCTION("""COMPUTED_VALUE"""),"ClaimCenter")</f>
        <v>ClaimCenter</v>
      </c>
      <c r="G209" s="20">
        <f>IFERROR(__xludf.DUMMYFUNCTION("""COMPUTED_VALUE"""),44781.0)</f>
        <v>44781</v>
      </c>
      <c r="H209" s="16"/>
      <c r="I209" s="13">
        <f>IFERROR(__xludf.DUMMYFUNCTION("""COMPUTED_VALUE"""),44781.0)</f>
        <v>44781</v>
      </c>
      <c r="J209" s="16"/>
      <c r="K209" s="16"/>
      <c r="L209" s="16" t="str">
        <f>IFERROR(__xludf.DUMMYFUNCTION("""COMPUTED_VALUE"""),"Low")</f>
        <v>Low</v>
      </c>
      <c r="M209" s="26" t="str">
        <f>IFERROR(__xludf.DUMMYFUNCTION("""COMPUTED_VALUE"""),"PartnerConnect  Technology")</f>
        <v>PartnerConnect  Technology</v>
      </c>
      <c r="N209" s="16" t="str">
        <f>IFERROR(__xludf.DUMMYFUNCTION("""COMPUTED_VALUE"""),"FY22 - Q1")</f>
        <v>FY22 - Q1</v>
      </c>
      <c r="O209" s="16">
        <f>IFERROR(__xludf.DUMMYFUNCTION("""COMPUTED_VALUE"""),0.0)</f>
        <v>0</v>
      </c>
      <c r="P209" s="16">
        <f>IFERROR(__xludf.DUMMYFUNCTION("""COMPUTED_VALUE"""),0.0)</f>
        <v>0</v>
      </c>
      <c r="Q209" s="16">
        <f>IFERROR(__xludf.DUMMYFUNCTION("""COMPUTED_VALUE"""),0.0)</f>
        <v>0</v>
      </c>
      <c r="R209" s="16">
        <f>IFERROR(__xludf.DUMMYFUNCTION("""COMPUTED_VALUE"""),0.0)</f>
        <v>0</v>
      </c>
      <c r="S209" s="16">
        <f>IFERROR(__xludf.DUMMYFUNCTION("""COMPUTED_VALUE"""),0.0)</f>
        <v>0</v>
      </c>
      <c r="T209" s="16">
        <f>IFERROR(__xludf.DUMMYFUNCTION("""COMPUTED_VALUE"""),0.0)</f>
        <v>0</v>
      </c>
      <c r="U209" s="16">
        <f>IFERROR(__xludf.DUMMYFUNCTION("""COMPUTED_VALUE"""),0.0)</f>
        <v>0</v>
      </c>
      <c r="V209" s="16">
        <f>IFERROR(__xludf.DUMMYFUNCTION("""COMPUTED_VALUE"""),0.0)</f>
        <v>0</v>
      </c>
      <c r="W209" s="16"/>
      <c r="X209" s="16" t="b">
        <f>IFERROR(__xludf.DUMMYFUNCTION("""COMPUTED_VALUE"""),FALSE)</f>
        <v>0</v>
      </c>
      <c r="Y209" s="16"/>
      <c r="Z209" s="16"/>
    </row>
    <row r="210">
      <c r="A210" s="16" t="str">
        <f>IFERROR(__xludf.DUMMYFUNCTION("""COMPUTED_VALUE"""),"Talkdesk")</f>
        <v>Talkdesk</v>
      </c>
      <c r="B210" s="16" t="str">
        <f>IFERROR(__xludf.DUMMYFUNCTION("""COMPUTED_VALUE"""),"Growth")</f>
        <v>Growth</v>
      </c>
      <c r="C210" s="26" t="str">
        <f>IFERROR(__xludf.DUMMYFUNCTION("""COMPUTED_VALUE"""),"APAC, EMEA, NAM, LatAm")</f>
        <v>APAC, EMEA, NAM, LatAm</v>
      </c>
      <c r="D210" s="16" t="str">
        <f>IFERROR(__xludf.DUMMYFUNCTION("""COMPUTED_VALUE"""),"Aaron Shaw")</f>
        <v>Aaron Shaw</v>
      </c>
      <c r="E210" s="26" t="str">
        <f>IFERROR(__xludf.DUMMYFUNCTION("""COMPUTED_VALUE"""),"United States")</f>
        <v>United States</v>
      </c>
      <c r="F210" s="26" t="str">
        <f>IFERROR(__xludf.DUMMYFUNCTION("""COMPUTED_VALUE"""),"ClaimCenter")</f>
        <v>ClaimCenter</v>
      </c>
      <c r="G210" s="20">
        <f>IFERROR(__xludf.DUMMYFUNCTION("""COMPUTED_VALUE"""),44456.0)</f>
        <v>44456</v>
      </c>
      <c r="H210" s="13">
        <f>IFERROR(__xludf.DUMMYFUNCTION("""COMPUTED_VALUE"""),45185.0)</f>
        <v>45185</v>
      </c>
      <c r="I210" s="20">
        <f>IFERROR(__xludf.DUMMYFUNCTION("""COMPUTED_VALUE"""),44456.0)</f>
        <v>44456</v>
      </c>
      <c r="J210" s="16"/>
      <c r="K210" s="13">
        <f>IFERROR(__xludf.DUMMYFUNCTION("""COMPUTED_VALUE"""),45107.0)</f>
        <v>45107</v>
      </c>
      <c r="L210" s="16" t="str">
        <f>IFERROR(__xludf.DUMMYFUNCTION("""COMPUTED_VALUE"""),"Medium")</f>
        <v>Medium</v>
      </c>
      <c r="M210" s="26" t="str">
        <f>IFERROR(__xludf.DUMMYFUNCTION("""COMPUTED_VALUE"""),"PartnerConnect  Technology")</f>
        <v>PartnerConnect  Technology</v>
      </c>
      <c r="N210" s="16" t="str">
        <f>IFERROR(__xludf.DUMMYFUNCTION("""COMPUTED_VALUE"""),"FY21 - Q1")</f>
        <v>FY21 - Q1</v>
      </c>
      <c r="O210" s="16">
        <f>IFERROR(__xludf.DUMMYFUNCTION("""COMPUTED_VALUE"""),1.0)</f>
        <v>1</v>
      </c>
      <c r="P210" s="16">
        <f>IFERROR(__xludf.DUMMYFUNCTION("""COMPUTED_VALUE"""),1.0)</f>
        <v>1</v>
      </c>
      <c r="Q210" s="16">
        <f>IFERROR(__xludf.DUMMYFUNCTION("""COMPUTED_VALUE"""),9.0)</f>
        <v>9</v>
      </c>
      <c r="R210" s="16">
        <f>IFERROR(__xludf.DUMMYFUNCTION("""COMPUTED_VALUE"""),4.0)</f>
        <v>4</v>
      </c>
      <c r="S210" s="16">
        <f>IFERROR(__xludf.DUMMYFUNCTION("""COMPUTED_VALUE"""),14251.0)</f>
        <v>14251</v>
      </c>
      <c r="T210" s="16">
        <f>IFERROR(__xludf.DUMMYFUNCTION("""COMPUTED_VALUE"""),5.0)</f>
        <v>5</v>
      </c>
      <c r="U210" s="16">
        <f>IFERROR(__xludf.DUMMYFUNCTION("""COMPUTED_VALUE"""),0.0)</f>
        <v>0</v>
      </c>
      <c r="V210" s="16">
        <f>IFERROR(__xludf.DUMMYFUNCTION("""COMPUTED_VALUE"""),0.0)</f>
        <v>0</v>
      </c>
      <c r="W210" s="16"/>
      <c r="X210" s="16" t="b">
        <f>IFERROR(__xludf.DUMMYFUNCTION("""COMPUTED_VALUE"""),FALSE)</f>
        <v>0</v>
      </c>
      <c r="Y210" s="16"/>
      <c r="Z210" s="16"/>
    </row>
    <row r="211">
      <c r="A211" s="16" t="str">
        <f>IFERROR(__xludf.DUMMYFUNCTION("""COMPUTED_VALUE"""),"TAU Corporation")</f>
        <v>TAU Corporation</v>
      </c>
      <c r="B211" s="16" t="str">
        <f>IFERROR(__xludf.DUMMYFUNCTION("""COMPUTED_VALUE"""),"Growth")</f>
        <v>Growth</v>
      </c>
      <c r="C211" s="26" t="str">
        <f>IFERROR(__xludf.DUMMYFUNCTION("""COMPUTED_VALUE"""),"APAC")</f>
        <v>APAC</v>
      </c>
      <c r="D211" s="16" t="str">
        <f>IFERROR(__xludf.DUMMYFUNCTION("""COMPUTED_VALUE"""),"Ketaki Padhye")</f>
        <v>Ketaki Padhye</v>
      </c>
      <c r="E211" s="26" t="str">
        <f>IFERROR(__xludf.DUMMYFUNCTION("""COMPUTED_VALUE"""),"Japan")</f>
        <v>Japan</v>
      </c>
      <c r="F211" s="26" t="str">
        <f>IFERROR(__xludf.DUMMYFUNCTION("""COMPUTED_VALUE"""),"ClaimCenter")</f>
        <v>ClaimCenter</v>
      </c>
      <c r="G211" s="20">
        <f>IFERROR(__xludf.DUMMYFUNCTION("""COMPUTED_VALUE"""),44812.0)</f>
        <v>44812</v>
      </c>
      <c r="H211" s="20">
        <f>IFERROR(__xludf.DUMMYFUNCTION("""COMPUTED_VALUE"""),45542.0)</f>
        <v>45542</v>
      </c>
      <c r="I211" s="20">
        <f>IFERROR(__xludf.DUMMYFUNCTION("""COMPUTED_VALUE"""),44812.0)</f>
        <v>44812</v>
      </c>
      <c r="J211" s="16"/>
      <c r="K211" s="20">
        <f>IFERROR(__xludf.DUMMYFUNCTION("""COMPUTED_VALUE"""),45490.0)</f>
        <v>45490</v>
      </c>
      <c r="L211" s="16" t="str">
        <f>IFERROR(__xludf.DUMMYFUNCTION("""COMPUTED_VALUE"""),"Medium")</f>
        <v>Medium</v>
      </c>
      <c r="M211" s="26" t="str">
        <f>IFERROR(__xludf.DUMMYFUNCTION("""COMPUTED_VALUE"""),"PartnerConnect  Technology")</f>
        <v>PartnerConnect  Technology</v>
      </c>
      <c r="N211" s="16" t="str">
        <f>IFERROR(__xludf.DUMMYFUNCTION("""COMPUTED_VALUE"""),"FY22 - Q1")</f>
        <v>FY22 - Q1</v>
      </c>
      <c r="O211" s="16">
        <f>IFERROR(__xludf.DUMMYFUNCTION("""COMPUTED_VALUE"""),1.0)</f>
        <v>1</v>
      </c>
      <c r="P211" s="16">
        <f>IFERROR(__xludf.DUMMYFUNCTION("""COMPUTED_VALUE"""),1.0)</f>
        <v>1</v>
      </c>
      <c r="Q211" s="16">
        <f>IFERROR(__xludf.DUMMYFUNCTION("""COMPUTED_VALUE"""),2.0)</f>
        <v>2</v>
      </c>
      <c r="R211" s="16">
        <f>IFERROR(__xludf.DUMMYFUNCTION("""COMPUTED_VALUE"""),2.0)</f>
        <v>2</v>
      </c>
      <c r="S211" s="16">
        <f>IFERROR(__xludf.DUMMYFUNCTION("""COMPUTED_VALUE"""),18224.0)</f>
        <v>18224</v>
      </c>
      <c r="T211" s="16">
        <f>IFERROR(__xludf.DUMMYFUNCTION("""COMPUTED_VALUE"""),1.0)</f>
        <v>1</v>
      </c>
      <c r="U211" s="16">
        <f>IFERROR(__xludf.DUMMYFUNCTION("""COMPUTED_VALUE"""),0.0)</f>
        <v>0</v>
      </c>
      <c r="V211" s="16">
        <f>IFERROR(__xludf.DUMMYFUNCTION("""COMPUTED_VALUE"""),0.0)</f>
        <v>0</v>
      </c>
      <c r="W211" s="16"/>
      <c r="X211" s="16" t="b">
        <f>IFERROR(__xludf.DUMMYFUNCTION("""COMPUTED_VALUE"""),FALSE)</f>
        <v>0</v>
      </c>
      <c r="Y211" s="16"/>
      <c r="Z211" s="16"/>
    </row>
    <row r="212">
      <c r="A212" s="16" t="str">
        <f>IFERROR(__xludf.DUMMYFUNCTION("""COMPUTED_VALUE"""),"Tempus Innovations")</f>
        <v>Tempus Innovations</v>
      </c>
      <c r="B212" s="16" t="str">
        <f>IFERROR(__xludf.DUMMYFUNCTION("""COMPUTED_VALUE"""),"Growth")</f>
        <v>Growth</v>
      </c>
      <c r="C212" s="26" t="str">
        <f>IFERROR(__xludf.DUMMYFUNCTION("""COMPUTED_VALUE"""),"NAM")</f>
        <v>NAM</v>
      </c>
      <c r="D212" s="16" t="str">
        <f>IFERROR(__xludf.DUMMYFUNCTION("""COMPUTED_VALUE"""),"Tim Kennedy")</f>
        <v>Tim Kennedy</v>
      </c>
      <c r="E212" s="16" t="str">
        <f>IFERROR(__xludf.DUMMYFUNCTION("""COMPUTED_VALUE"""),"United States")</f>
        <v>United States</v>
      </c>
      <c r="F212" s="26" t="str">
        <f>IFERROR(__xludf.DUMMYFUNCTION("""COMPUTED_VALUE"""),"ClaimCenter")</f>
        <v>ClaimCenter</v>
      </c>
      <c r="G212" s="20">
        <f>IFERROR(__xludf.DUMMYFUNCTION("""COMPUTED_VALUE"""),43862.0)</f>
        <v>43862</v>
      </c>
      <c r="H212" s="13">
        <f>IFERROR(__xludf.DUMMYFUNCTION("""COMPUTED_VALUE"""),44593.0)</f>
        <v>44593</v>
      </c>
      <c r="I212" s="20">
        <f>IFERROR(__xludf.DUMMYFUNCTION("""COMPUTED_VALUE"""),43862.0)</f>
        <v>43862</v>
      </c>
      <c r="J212" s="16"/>
      <c r="K212" s="20"/>
      <c r="L212" s="16" t="str">
        <f>IFERROR(__xludf.DUMMYFUNCTION("""COMPUTED_VALUE"""),"Medium")</f>
        <v>Medium</v>
      </c>
      <c r="M212" s="26" t="str">
        <f>IFERROR(__xludf.DUMMYFUNCTION("""COMPUTED_VALUE"""),"PartnerConnect  Technology")</f>
        <v>PartnerConnect  Technology</v>
      </c>
      <c r="N212" s="16" t="str">
        <f>IFERROR(__xludf.DUMMYFUNCTION("""COMPUTED_VALUE"""),"FY20 - Q2")</f>
        <v>FY20 - Q2</v>
      </c>
      <c r="O212" s="16">
        <f>IFERROR(__xludf.DUMMYFUNCTION("""COMPUTED_VALUE"""),0.0)</f>
        <v>0</v>
      </c>
      <c r="P212" s="16">
        <f>IFERROR(__xludf.DUMMYFUNCTION("""COMPUTED_VALUE"""),0.0)</f>
        <v>0</v>
      </c>
      <c r="Q212" s="16">
        <f>IFERROR(__xludf.DUMMYFUNCTION("""COMPUTED_VALUE"""),0.0)</f>
        <v>0</v>
      </c>
      <c r="R212" s="16">
        <f>IFERROR(__xludf.DUMMYFUNCTION("""COMPUTED_VALUE"""),0.0)</f>
        <v>0</v>
      </c>
      <c r="S212" s="16">
        <f>IFERROR(__xludf.DUMMYFUNCTION("""COMPUTED_VALUE"""),0.0)</f>
        <v>0</v>
      </c>
      <c r="T212" s="16">
        <f>IFERROR(__xludf.DUMMYFUNCTION("""COMPUTED_VALUE"""),0.0)</f>
        <v>0</v>
      </c>
      <c r="U212" s="16">
        <f>IFERROR(__xludf.DUMMYFUNCTION("""COMPUTED_VALUE"""),0.0)</f>
        <v>0</v>
      </c>
      <c r="V212" s="16">
        <f>IFERROR(__xludf.DUMMYFUNCTION("""COMPUTED_VALUE"""),0.0)</f>
        <v>0</v>
      </c>
      <c r="W212" s="16"/>
      <c r="X212" s="16" t="b">
        <f>IFERROR(__xludf.DUMMYFUNCTION("""COMPUTED_VALUE"""),FALSE)</f>
        <v>0</v>
      </c>
      <c r="Y212" s="16"/>
      <c r="Z212" s="16"/>
    </row>
    <row r="213">
      <c r="A213" s="16" t="str">
        <f>IFERROR(__xludf.DUMMYFUNCTION("""COMPUTED_VALUE"""),"The Institutes RiskStream Collaborative")</f>
        <v>The Institutes RiskStream Collaborative</v>
      </c>
      <c r="B213" s="16" t="str">
        <f>IFERROR(__xludf.DUMMYFUNCTION("""COMPUTED_VALUE"""),"Growth")</f>
        <v>Growth</v>
      </c>
      <c r="C213" s="26" t="str">
        <f>IFERROR(__xludf.DUMMYFUNCTION("""COMPUTED_VALUE"""),"NAM")</f>
        <v>NAM</v>
      </c>
      <c r="D213" s="16" t="str">
        <f>IFERROR(__xludf.DUMMYFUNCTION("""COMPUTED_VALUE"""),"Aaron Shaw")</f>
        <v>Aaron Shaw</v>
      </c>
      <c r="E213" s="26" t="str">
        <f>IFERROR(__xludf.DUMMYFUNCTION("""COMPUTED_VALUE"""),"Canada, United States")</f>
        <v>Canada, United States</v>
      </c>
      <c r="F213" s="26" t="str">
        <f>IFERROR(__xludf.DUMMYFUNCTION("""COMPUTED_VALUE"""),"ClaimCenter")</f>
        <v>ClaimCenter</v>
      </c>
      <c r="G213" s="20">
        <f>IFERROR(__xludf.DUMMYFUNCTION("""COMPUTED_VALUE"""),44075.0)</f>
        <v>44075</v>
      </c>
      <c r="H213" s="20"/>
      <c r="I213" s="20">
        <f>IFERROR(__xludf.DUMMYFUNCTION("""COMPUTED_VALUE"""),44075.0)</f>
        <v>44075</v>
      </c>
      <c r="J213" s="16"/>
      <c r="K213" s="13">
        <f>IFERROR(__xludf.DUMMYFUNCTION("""COMPUTED_VALUE"""),44481.0)</f>
        <v>44481</v>
      </c>
      <c r="L213" s="16" t="str">
        <f>IFERROR(__xludf.DUMMYFUNCTION("""COMPUTED_VALUE"""),"Low")</f>
        <v>Low</v>
      </c>
      <c r="M213" s="26" t="str">
        <f>IFERROR(__xludf.DUMMYFUNCTION("""COMPUTED_VALUE"""),"PartnerConnect  Technology")</f>
        <v>PartnerConnect  Technology</v>
      </c>
      <c r="N213" s="16" t="str">
        <f>IFERROR(__xludf.DUMMYFUNCTION("""COMPUTED_VALUE"""),"FY20 - Q1")</f>
        <v>FY20 - Q1</v>
      </c>
      <c r="O213" s="16">
        <f>IFERROR(__xludf.DUMMYFUNCTION("""COMPUTED_VALUE"""),1.0)</f>
        <v>1</v>
      </c>
      <c r="P213" s="16">
        <f>IFERROR(__xludf.DUMMYFUNCTION("""COMPUTED_VALUE"""),1.0)</f>
        <v>1</v>
      </c>
      <c r="Q213" s="16">
        <f>IFERROR(__xludf.DUMMYFUNCTION("""COMPUTED_VALUE"""),10.0)</f>
        <v>10</v>
      </c>
      <c r="R213" s="16">
        <f>IFERROR(__xludf.DUMMYFUNCTION("""COMPUTED_VALUE"""),0.0)</f>
        <v>0</v>
      </c>
      <c r="S213" s="16">
        <f>IFERROR(__xludf.DUMMYFUNCTION("""COMPUTED_VALUE"""),17419.0)</f>
        <v>17419</v>
      </c>
      <c r="T213" s="16">
        <f>IFERROR(__xludf.DUMMYFUNCTION("""COMPUTED_VALUE"""),10.0)</f>
        <v>10</v>
      </c>
      <c r="U213" s="16">
        <f>IFERROR(__xludf.DUMMYFUNCTION("""COMPUTED_VALUE"""),0.0)</f>
        <v>0</v>
      </c>
      <c r="V213" s="16">
        <f>IFERROR(__xludf.DUMMYFUNCTION("""COMPUTED_VALUE"""),0.0)</f>
        <v>0</v>
      </c>
      <c r="W213" s="16"/>
      <c r="X213" s="16" t="b">
        <f>IFERROR(__xludf.DUMMYFUNCTION("""COMPUTED_VALUE"""),FALSE)</f>
        <v>0</v>
      </c>
      <c r="Y213" s="16"/>
      <c r="Z213" s="16"/>
    </row>
    <row r="214">
      <c r="A214" s="16" t="str">
        <f>IFERROR(__xludf.DUMMYFUNCTION("""COMPUTED_VALUE"""),"The Spatial Distillery Company")</f>
        <v>The Spatial Distillery Company</v>
      </c>
      <c r="B214" s="16" t="str">
        <f>IFERROR(__xludf.DUMMYFUNCTION("""COMPUTED_VALUE"""),"Access")</f>
        <v>Access</v>
      </c>
      <c r="C214" s="26" t="str">
        <f>IFERROR(__xludf.DUMMYFUNCTION("""COMPUTED_VALUE"""),"APAC")</f>
        <v>APAC</v>
      </c>
      <c r="D214" s="16" t="str">
        <f>IFERROR(__xludf.DUMMYFUNCTION("""COMPUTED_VALUE"""),"Ketaki Padhye")</f>
        <v>Ketaki Padhye</v>
      </c>
      <c r="E214" s="26"/>
      <c r="F214" s="26" t="str">
        <f>IFERROR(__xludf.DUMMYFUNCTION("""COMPUTED_VALUE"""),"PolicyCenter")</f>
        <v>PolicyCenter</v>
      </c>
      <c r="G214" s="20">
        <f>IFERROR(__xludf.DUMMYFUNCTION("""COMPUTED_VALUE"""),45336.0)</f>
        <v>45336</v>
      </c>
      <c r="H214" s="20"/>
      <c r="I214" s="20"/>
      <c r="J214" s="16"/>
      <c r="K214" s="20"/>
      <c r="L214" s="16" t="str">
        <f>IFERROR(__xludf.DUMMYFUNCTION("""COMPUTED_VALUE"""),"Medium")</f>
        <v>Medium</v>
      </c>
      <c r="M214" s="26" t="str">
        <f>IFERROR(__xludf.DUMMYFUNCTION("""COMPUTED_VALUE"""),"PartnerConnect  Technology")</f>
        <v>PartnerConnect  Technology</v>
      </c>
      <c r="N214" s="16" t="str">
        <f>IFERROR(__xludf.DUMMYFUNCTION("""COMPUTED_VALUE"""),"FY24 - Q2")</f>
        <v>FY24 - Q2</v>
      </c>
      <c r="O214" s="16">
        <f>IFERROR(__xludf.DUMMYFUNCTION("""COMPUTED_VALUE"""),0.0)</f>
        <v>0</v>
      </c>
      <c r="P214" s="16">
        <f>IFERROR(__xludf.DUMMYFUNCTION("""COMPUTED_VALUE"""),0.0)</f>
        <v>0</v>
      </c>
      <c r="Q214" s="16">
        <f>IFERROR(__xludf.DUMMYFUNCTION("""COMPUTED_VALUE"""),0.0)</f>
        <v>0</v>
      </c>
      <c r="R214" s="16">
        <f>IFERROR(__xludf.DUMMYFUNCTION("""COMPUTED_VALUE"""),0.0)</f>
        <v>0</v>
      </c>
      <c r="S214" s="16">
        <f>IFERROR(__xludf.DUMMYFUNCTION("""COMPUTED_VALUE"""),0.0)</f>
        <v>0</v>
      </c>
      <c r="T214" s="16">
        <f>IFERROR(__xludf.DUMMYFUNCTION("""COMPUTED_VALUE"""),0.0)</f>
        <v>0</v>
      </c>
      <c r="U214" s="16">
        <f>IFERROR(__xludf.DUMMYFUNCTION("""COMPUTED_VALUE"""),0.0)</f>
        <v>0</v>
      </c>
      <c r="V214" s="16">
        <f>IFERROR(__xludf.DUMMYFUNCTION("""COMPUTED_VALUE"""),0.0)</f>
        <v>0</v>
      </c>
      <c r="W214" s="16"/>
      <c r="X214" s="16" t="b">
        <f>IFERROR(__xludf.DUMMYFUNCTION("""COMPUTED_VALUE"""),FALSE)</f>
        <v>0</v>
      </c>
      <c r="Y214" s="16"/>
      <c r="Z214" s="16"/>
    </row>
    <row r="215">
      <c r="A215" s="16" t="str">
        <f>IFERROR(__xludf.DUMMYFUNCTION("""COMPUTED_VALUE"""),"TRACTABLE")</f>
        <v>TRACTABLE</v>
      </c>
      <c r="B215" s="16" t="str">
        <f>IFERROR(__xludf.DUMMYFUNCTION("""COMPUTED_VALUE"""),"Growth")</f>
        <v>Growth</v>
      </c>
      <c r="C215" s="26" t="str">
        <f>IFERROR(__xludf.DUMMYFUNCTION("""COMPUTED_VALUE"""),"APAC, EMEA, NAM")</f>
        <v>APAC, EMEA, NAM</v>
      </c>
      <c r="D215" s="16" t="str">
        <f>IFERROR(__xludf.DUMMYFUNCTION("""COMPUTED_VALUE"""),"Vivienne Hoary")</f>
        <v>Vivienne Hoary</v>
      </c>
      <c r="E215" s="26" t="str">
        <f>IFERROR(__xludf.DUMMYFUNCTION("""COMPUTED_VALUE"""),"Australia New Zealand, Austria, Benelux, Canada, Croatia, Czech Republic, Denmark, Finland, France, Germany, Hungary, Ireland, Israel, Italy, Norway, Poland, Russia, Slovakia, South America, Spain, Sweden, Switzerland, UK, United States, Japan, South Afri"&amp;"ca")</f>
        <v>Australia New Zealand, Austria, Benelux, Canada, Croatia, Czech Republic, Denmark, Finland, France, Germany, Hungary, Ireland, Israel, Italy, Norway, Poland, Russia, Slovakia, South America, Spain, Sweden, Switzerland, UK, United States, Japan, South Africa</v>
      </c>
      <c r="F215" s="26" t="str">
        <f>IFERROR(__xludf.DUMMYFUNCTION("""COMPUTED_VALUE"""),"ClaimCenter")</f>
        <v>ClaimCenter</v>
      </c>
      <c r="G215" s="20">
        <f>IFERROR(__xludf.DUMMYFUNCTION("""COMPUTED_VALUE"""),44221.0)</f>
        <v>44221</v>
      </c>
      <c r="H215" s="16"/>
      <c r="I215" s="20">
        <f>IFERROR(__xludf.DUMMYFUNCTION("""COMPUTED_VALUE"""),44221.0)</f>
        <v>44221</v>
      </c>
      <c r="J215" s="16"/>
      <c r="K215" s="20"/>
      <c r="L215" s="16" t="str">
        <f>IFERROR(__xludf.DUMMYFUNCTION("""COMPUTED_VALUE"""),"Medium")</f>
        <v>Medium</v>
      </c>
      <c r="M215" s="26" t="str">
        <f>IFERROR(__xludf.DUMMYFUNCTION("""COMPUTED_VALUE"""),"PartnerConnect  Technology")</f>
        <v>PartnerConnect  Technology</v>
      </c>
      <c r="N215" s="16" t="str">
        <f>IFERROR(__xludf.DUMMYFUNCTION("""COMPUTED_VALUE"""),"FY21 - Q2")</f>
        <v>FY21 - Q2</v>
      </c>
      <c r="O215" s="16">
        <f>IFERROR(__xludf.DUMMYFUNCTION("""COMPUTED_VALUE"""),0.0)</f>
        <v>0</v>
      </c>
      <c r="P215" s="16">
        <f>IFERROR(__xludf.DUMMYFUNCTION("""COMPUTED_VALUE"""),0.0)</f>
        <v>0</v>
      </c>
      <c r="Q215" s="16">
        <f>IFERROR(__xludf.DUMMYFUNCTION("""COMPUTED_VALUE"""),0.0)</f>
        <v>0</v>
      </c>
      <c r="R215" s="16">
        <f>IFERROR(__xludf.DUMMYFUNCTION("""COMPUTED_VALUE"""),0.0)</f>
        <v>0</v>
      </c>
      <c r="S215" s="16">
        <f>IFERROR(__xludf.DUMMYFUNCTION("""COMPUTED_VALUE"""),0.0)</f>
        <v>0</v>
      </c>
      <c r="T215" s="16">
        <f>IFERROR(__xludf.DUMMYFUNCTION("""COMPUTED_VALUE"""),0.0)</f>
        <v>0</v>
      </c>
      <c r="U215" s="16">
        <f>IFERROR(__xludf.DUMMYFUNCTION("""COMPUTED_VALUE"""),0.0)</f>
        <v>0</v>
      </c>
      <c r="V215" s="16">
        <f>IFERROR(__xludf.DUMMYFUNCTION("""COMPUTED_VALUE"""),0.0)</f>
        <v>0</v>
      </c>
      <c r="W215" s="16"/>
      <c r="X215" s="16" t="b">
        <f>IFERROR(__xludf.DUMMYFUNCTION("""COMPUTED_VALUE"""),FALSE)</f>
        <v>0</v>
      </c>
      <c r="Y215" s="16"/>
      <c r="Z215" s="16"/>
    </row>
    <row r="216">
      <c r="A216" s="16" t="str">
        <f>IFERROR(__xludf.DUMMYFUNCTION("""COMPUTED_VALUE"""),"Transcard")</f>
        <v>Transcard</v>
      </c>
      <c r="B216" s="16" t="str">
        <f>IFERROR(__xludf.DUMMYFUNCTION("""COMPUTED_VALUE"""),"Growth")</f>
        <v>Growth</v>
      </c>
      <c r="C216" s="26" t="str">
        <f>IFERROR(__xludf.DUMMYFUNCTION("""COMPUTED_VALUE"""),"NAM")</f>
        <v>NAM</v>
      </c>
      <c r="D216" s="16" t="str">
        <f>IFERROR(__xludf.DUMMYFUNCTION("""COMPUTED_VALUE"""),"Tim Kennedy")</f>
        <v>Tim Kennedy</v>
      </c>
      <c r="E216" s="26" t="str">
        <f>IFERROR(__xludf.DUMMYFUNCTION("""COMPUTED_VALUE"""),"UK, United States")</f>
        <v>UK, United States</v>
      </c>
      <c r="F216" s="26" t="str">
        <f>IFERROR(__xludf.DUMMYFUNCTION("""COMPUTED_VALUE"""),"ClaimCenter")</f>
        <v>ClaimCenter</v>
      </c>
      <c r="G216" s="20">
        <f>IFERROR(__xludf.DUMMYFUNCTION("""COMPUTED_VALUE"""),44470.0)</f>
        <v>44470</v>
      </c>
      <c r="H216" s="20">
        <f>IFERROR(__xludf.DUMMYFUNCTION("""COMPUTED_VALUE"""),45199.0)</f>
        <v>45199</v>
      </c>
      <c r="I216" s="20">
        <f>IFERROR(__xludf.DUMMYFUNCTION("""COMPUTED_VALUE"""),44593.0)</f>
        <v>44593</v>
      </c>
      <c r="J216" s="16"/>
      <c r="K216" s="20">
        <f>IFERROR(__xludf.DUMMYFUNCTION("""COMPUTED_VALUE"""),45103.0)</f>
        <v>45103</v>
      </c>
      <c r="L216" s="16" t="str">
        <f>IFERROR(__xludf.DUMMYFUNCTION("""COMPUTED_VALUE"""),"Medium")</f>
        <v>Medium</v>
      </c>
      <c r="M216" s="26" t="str">
        <f>IFERROR(__xludf.DUMMYFUNCTION("""COMPUTED_VALUE"""),"PartnerConnect  Technology")</f>
        <v>PartnerConnect  Technology</v>
      </c>
      <c r="N216" s="16" t="str">
        <f>IFERROR(__xludf.DUMMYFUNCTION("""COMPUTED_VALUE"""),"FY21 - Q1")</f>
        <v>FY21 - Q1</v>
      </c>
      <c r="O216" s="16">
        <f>IFERROR(__xludf.DUMMYFUNCTION("""COMPUTED_VALUE"""),2.0)</f>
        <v>2</v>
      </c>
      <c r="P216" s="16">
        <f>IFERROR(__xludf.DUMMYFUNCTION("""COMPUTED_VALUE"""),2.0)</f>
        <v>2</v>
      </c>
      <c r="Q216" s="16">
        <f>IFERROR(__xludf.DUMMYFUNCTION("""COMPUTED_VALUE"""),25.0)</f>
        <v>25</v>
      </c>
      <c r="R216" s="16">
        <f>IFERROR(__xludf.DUMMYFUNCTION("""COMPUTED_VALUE"""),34.0)</f>
        <v>34</v>
      </c>
      <c r="S216" s="16">
        <f>IFERROR(__xludf.DUMMYFUNCTION("""COMPUTED_VALUE"""),38449.0)</f>
        <v>38449</v>
      </c>
      <c r="T216" s="16">
        <f>IFERROR(__xludf.DUMMYFUNCTION("""COMPUTED_VALUE"""),18.0)</f>
        <v>18</v>
      </c>
      <c r="U216" s="16">
        <f>IFERROR(__xludf.DUMMYFUNCTION("""COMPUTED_VALUE"""),25.0)</f>
        <v>25</v>
      </c>
      <c r="V216" s="16">
        <f>IFERROR(__xludf.DUMMYFUNCTION("""COMPUTED_VALUE"""),25.0)</f>
        <v>25</v>
      </c>
      <c r="W216" s="16"/>
      <c r="X216" s="16" t="b">
        <f>IFERROR(__xludf.DUMMYFUNCTION("""COMPUTED_VALUE"""),TRUE)</f>
        <v>1</v>
      </c>
      <c r="Y216" s="16"/>
      <c r="Z216" s="16"/>
    </row>
    <row r="217">
      <c r="A217" s="16" t="str">
        <f>IFERROR(__xludf.DUMMYFUNCTION("""COMPUTED_VALUE"""),"Tuerri")</f>
        <v>Tuerri</v>
      </c>
      <c r="B217" s="16" t="str">
        <f>IFERROR(__xludf.DUMMYFUNCTION("""COMPUTED_VALUE"""),"Growth")</f>
        <v>Growth</v>
      </c>
      <c r="C217" s="26" t="str">
        <f>IFERROR(__xludf.DUMMYFUNCTION("""COMPUTED_VALUE"""),"NAM")</f>
        <v>NAM</v>
      </c>
      <c r="D217" s="16" t="str">
        <f>IFERROR(__xludf.DUMMYFUNCTION("""COMPUTED_VALUE"""),"Eric Apse")</f>
        <v>Eric Apse</v>
      </c>
      <c r="E217" s="26"/>
      <c r="F217" s="26" t="str">
        <f>IFERROR(__xludf.DUMMYFUNCTION("""COMPUTED_VALUE"""),"InsuranceNow")</f>
        <v>InsuranceNow</v>
      </c>
      <c r="G217" s="20">
        <f>IFERROR(__xludf.DUMMYFUNCTION("""COMPUTED_VALUE"""),44775.0)</f>
        <v>44775</v>
      </c>
      <c r="H217" s="20"/>
      <c r="I217" s="20">
        <f>IFERROR(__xludf.DUMMYFUNCTION("""COMPUTED_VALUE"""),44775.0)</f>
        <v>44775</v>
      </c>
      <c r="J217" s="16"/>
      <c r="K217" s="20">
        <f>IFERROR(__xludf.DUMMYFUNCTION("""COMPUTED_VALUE"""),44830.0)</f>
        <v>44830</v>
      </c>
      <c r="L217" s="16" t="str">
        <f>IFERROR(__xludf.DUMMYFUNCTION("""COMPUTED_VALUE"""),"Medium")</f>
        <v>Medium</v>
      </c>
      <c r="M217" s="26" t="str">
        <f>IFERROR(__xludf.DUMMYFUNCTION("""COMPUTED_VALUE"""),"PartnerConnect  Technology")</f>
        <v>PartnerConnect  Technology</v>
      </c>
      <c r="N217" s="16" t="str">
        <f>IFERROR(__xludf.DUMMYFUNCTION("""COMPUTED_VALUE"""),"FY22 - Q1")</f>
        <v>FY22 - Q1</v>
      </c>
      <c r="O217" s="16">
        <f>IFERROR(__xludf.DUMMYFUNCTION("""COMPUTED_VALUE"""),1.0)</f>
        <v>1</v>
      </c>
      <c r="P217" s="16">
        <f>IFERROR(__xludf.DUMMYFUNCTION("""COMPUTED_VALUE"""),1.0)</f>
        <v>1</v>
      </c>
      <c r="Q217" s="16">
        <f>IFERROR(__xludf.DUMMYFUNCTION("""COMPUTED_VALUE"""),0.0)</f>
        <v>0</v>
      </c>
      <c r="R217" s="16">
        <f>IFERROR(__xludf.DUMMYFUNCTION("""COMPUTED_VALUE"""),0.0)</f>
        <v>0</v>
      </c>
      <c r="S217" s="16">
        <f>IFERROR(__xludf.DUMMYFUNCTION("""COMPUTED_VALUE"""),0.0)</f>
        <v>0</v>
      </c>
      <c r="T217" s="16">
        <f>IFERROR(__xludf.DUMMYFUNCTION("""COMPUTED_VALUE"""),0.0)</f>
        <v>0</v>
      </c>
      <c r="U217" s="16">
        <f>IFERROR(__xludf.DUMMYFUNCTION("""COMPUTED_VALUE"""),0.0)</f>
        <v>0</v>
      </c>
      <c r="V217" s="16">
        <f>IFERROR(__xludf.DUMMYFUNCTION("""COMPUTED_VALUE"""),0.0)</f>
        <v>0</v>
      </c>
      <c r="W217" s="16"/>
      <c r="X217" s="16" t="b">
        <f>IFERROR(__xludf.DUMMYFUNCTION("""COMPUTED_VALUE"""),FALSE)</f>
        <v>0</v>
      </c>
      <c r="Y217" s="16"/>
      <c r="Z217" s="16"/>
    </row>
    <row r="218">
      <c r="A218" s="16" t="str">
        <f>IFERROR(__xludf.DUMMYFUNCTION("""COMPUTED_VALUE"""),"UHG medEbridge Solutions Pty Ltd")</f>
        <v>UHG medEbridge Solutions Pty Ltd</v>
      </c>
      <c r="B218" s="16" t="str">
        <f>IFERROR(__xludf.DUMMYFUNCTION("""COMPUTED_VALUE"""),"Growth")</f>
        <v>Growth</v>
      </c>
      <c r="C218" s="26" t="str">
        <f>IFERROR(__xludf.DUMMYFUNCTION("""COMPUTED_VALUE"""),"APAC")</f>
        <v>APAC</v>
      </c>
      <c r="D218" s="16" t="str">
        <f>IFERROR(__xludf.DUMMYFUNCTION("""COMPUTED_VALUE"""),"Ketaki Padhye")</f>
        <v>Ketaki Padhye</v>
      </c>
      <c r="E218" s="26" t="str">
        <f>IFERROR(__xludf.DUMMYFUNCTION("""COMPUTED_VALUE"""),"Australia New Zealand")</f>
        <v>Australia New Zealand</v>
      </c>
      <c r="F218" s="26" t="str">
        <f>IFERROR(__xludf.DUMMYFUNCTION("""COMPUTED_VALUE"""),"ClaimCenter")</f>
        <v>ClaimCenter</v>
      </c>
      <c r="G218" s="20">
        <f>IFERROR(__xludf.DUMMYFUNCTION("""COMPUTED_VALUE"""),45386.0)</f>
        <v>45386</v>
      </c>
      <c r="H218" s="20">
        <f>IFERROR(__xludf.DUMMYFUNCTION("""COMPUTED_VALUE"""),46115.0)</f>
        <v>46115</v>
      </c>
      <c r="I218" s="20">
        <f>IFERROR(__xludf.DUMMYFUNCTION("""COMPUTED_VALUE"""),45712.0)</f>
        <v>45712</v>
      </c>
      <c r="J218" s="16"/>
      <c r="K218" s="20">
        <f>IFERROR(__xludf.DUMMYFUNCTION("""COMPUTED_VALUE"""),45894.0)</f>
        <v>45894</v>
      </c>
      <c r="L218" s="16" t="str">
        <f>IFERROR(__xludf.DUMMYFUNCTION("""COMPUTED_VALUE"""),"Medium")</f>
        <v>Medium</v>
      </c>
      <c r="M218" s="26" t="str">
        <f>IFERROR(__xludf.DUMMYFUNCTION("""COMPUTED_VALUE"""),"PartnerConnect  Technology")</f>
        <v>PartnerConnect  Technology</v>
      </c>
      <c r="N218" s="16" t="str">
        <f>IFERROR(__xludf.DUMMYFUNCTION("""COMPUTED_VALUE"""),"FY24 - Q3")</f>
        <v>FY24 - Q3</v>
      </c>
      <c r="O218" s="16">
        <f>IFERROR(__xludf.DUMMYFUNCTION("""COMPUTED_VALUE"""),1.0)</f>
        <v>1</v>
      </c>
      <c r="P218" s="16">
        <f>IFERROR(__xludf.DUMMYFUNCTION("""COMPUTED_VALUE"""),1.0)</f>
        <v>1</v>
      </c>
      <c r="Q218" s="16">
        <f>IFERROR(__xludf.DUMMYFUNCTION("""COMPUTED_VALUE"""),0.0)</f>
        <v>0</v>
      </c>
      <c r="R218" s="16">
        <f>IFERROR(__xludf.DUMMYFUNCTION("""COMPUTED_VALUE"""),0.0)</f>
        <v>0</v>
      </c>
      <c r="S218" s="16">
        <f>IFERROR(__xludf.DUMMYFUNCTION("""COMPUTED_VALUE"""),866.0)</f>
        <v>866</v>
      </c>
      <c r="T218" s="16">
        <f>IFERROR(__xludf.DUMMYFUNCTION("""COMPUTED_VALUE"""),0.0)</f>
        <v>0</v>
      </c>
      <c r="U218" s="16">
        <f>IFERROR(__xludf.DUMMYFUNCTION("""COMPUTED_VALUE"""),0.0)</f>
        <v>0</v>
      </c>
      <c r="V218" s="16">
        <f>IFERROR(__xludf.DUMMYFUNCTION("""COMPUTED_VALUE"""),0.0)</f>
        <v>0</v>
      </c>
      <c r="W218" s="16"/>
      <c r="X218" s="16" t="b">
        <f>IFERROR(__xludf.DUMMYFUNCTION("""COMPUTED_VALUE"""),FALSE)</f>
        <v>0</v>
      </c>
      <c r="Y218" s="16"/>
      <c r="Z218" s="16"/>
    </row>
    <row r="219">
      <c r="A219" s="16" t="str">
        <f>IFERROR(__xludf.DUMMYFUNCTION("""COMPUTED_VALUE"""),"Uniban Canada")</f>
        <v>Uniban Canada</v>
      </c>
      <c r="B219" s="16" t="str">
        <f>IFERROR(__xludf.DUMMYFUNCTION("""COMPUTED_VALUE"""),"Growth")</f>
        <v>Growth</v>
      </c>
      <c r="C219" s="26" t="str">
        <f>IFERROR(__xludf.DUMMYFUNCTION("""COMPUTED_VALUE"""),"NAM")</f>
        <v>NAM</v>
      </c>
      <c r="D219" s="16" t="str">
        <f>IFERROR(__xludf.DUMMYFUNCTION("""COMPUTED_VALUE"""),"Aaron Shaw")</f>
        <v>Aaron Shaw</v>
      </c>
      <c r="E219" s="26" t="str">
        <f>IFERROR(__xludf.DUMMYFUNCTION("""COMPUTED_VALUE"""),"Canada")</f>
        <v>Canada</v>
      </c>
      <c r="F219" s="26" t="str">
        <f>IFERROR(__xludf.DUMMYFUNCTION("""COMPUTED_VALUE"""),"ClaimCenter")</f>
        <v>ClaimCenter</v>
      </c>
      <c r="G219" s="20">
        <f>IFERROR(__xludf.DUMMYFUNCTION("""COMPUTED_VALUE"""),42969.0)</f>
        <v>42969</v>
      </c>
      <c r="H219" s="20">
        <f>IFERROR(__xludf.DUMMYFUNCTION("""COMPUTED_VALUE"""),43698.0)</f>
        <v>43698</v>
      </c>
      <c r="I219" s="20">
        <f>IFERROR(__xludf.DUMMYFUNCTION("""COMPUTED_VALUE"""),42969.0)</f>
        <v>42969</v>
      </c>
      <c r="J219" s="16"/>
      <c r="K219" s="13">
        <f>IFERROR(__xludf.DUMMYFUNCTION("""COMPUTED_VALUE"""),43307.0)</f>
        <v>43307</v>
      </c>
      <c r="L219" s="16" t="str">
        <f>IFERROR(__xludf.DUMMYFUNCTION("""COMPUTED_VALUE"""),"Medium")</f>
        <v>Medium</v>
      </c>
      <c r="M219" s="26" t="str">
        <f>IFERROR(__xludf.DUMMYFUNCTION("""COMPUTED_VALUE"""),"PartnerConnect  Technology")</f>
        <v>PartnerConnect  Technology</v>
      </c>
      <c r="N219" s="16" t="str">
        <f>IFERROR(__xludf.DUMMYFUNCTION("""COMPUTED_VALUE"""),"FY17 - Q1")</f>
        <v>FY17 - Q1</v>
      </c>
      <c r="O219" s="16">
        <f>IFERROR(__xludf.DUMMYFUNCTION("""COMPUTED_VALUE"""),1.0)</f>
        <v>1</v>
      </c>
      <c r="P219" s="16">
        <f>IFERROR(__xludf.DUMMYFUNCTION("""COMPUTED_VALUE"""),1.0)</f>
        <v>1</v>
      </c>
      <c r="Q219" s="16">
        <f>IFERROR(__xludf.DUMMYFUNCTION("""COMPUTED_VALUE"""),14.0)</f>
        <v>14</v>
      </c>
      <c r="R219" s="16">
        <f>IFERROR(__xludf.DUMMYFUNCTION("""COMPUTED_VALUE"""),10.0)</f>
        <v>10</v>
      </c>
      <c r="S219" s="16">
        <f>IFERROR(__xludf.DUMMYFUNCTION("""COMPUTED_VALUE"""),19268.0)</f>
        <v>19268</v>
      </c>
      <c r="T219" s="16">
        <f>IFERROR(__xludf.DUMMYFUNCTION("""COMPUTED_VALUE"""),8.0)</f>
        <v>8</v>
      </c>
      <c r="U219" s="16">
        <f>IFERROR(__xludf.DUMMYFUNCTION("""COMPUTED_VALUE"""),0.0)</f>
        <v>0</v>
      </c>
      <c r="V219" s="16">
        <f>IFERROR(__xludf.DUMMYFUNCTION("""COMPUTED_VALUE"""),0.0)</f>
        <v>0</v>
      </c>
      <c r="W219" s="16"/>
      <c r="X219" s="16" t="b">
        <f>IFERROR(__xludf.DUMMYFUNCTION("""COMPUTED_VALUE"""),FALSE)</f>
        <v>0</v>
      </c>
      <c r="Y219" s="16"/>
      <c r="Z219" s="16"/>
    </row>
    <row r="220">
      <c r="A220" s="16" t="str">
        <f>IFERROR(__xludf.DUMMYFUNCTION("""COMPUTED_VALUE"""),"uPerform")</f>
        <v>uPerform</v>
      </c>
      <c r="B220" s="16" t="str">
        <f>IFERROR(__xludf.DUMMYFUNCTION("""COMPUTED_VALUE"""),"Growth")</f>
        <v>Growth</v>
      </c>
      <c r="C220" s="26" t="str">
        <f>IFERROR(__xludf.DUMMYFUNCTION("""COMPUTED_VALUE"""),"APAC, EMEA, NAM, LatAm")</f>
        <v>APAC, EMEA, NAM, LatAm</v>
      </c>
      <c r="D220" s="16" t="str">
        <f>IFERROR(__xludf.DUMMYFUNCTION("""COMPUTED_VALUE"""),"Aaron Shaw")</f>
        <v>Aaron Shaw</v>
      </c>
      <c r="E220" s="26" t="str">
        <f>IFERROR(__xludf.DUMMYFUNCTION("""COMPUTED_VALUE"""),"United States")</f>
        <v>United States</v>
      </c>
      <c r="F220" s="26" t="str">
        <f>IFERROR(__xludf.DUMMYFUNCTION("""COMPUTED_VALUE"""),"ClaimCenter, PolicyCenter, BillingCenter")</f>
        <v>ClaimCenter, PolicyCenter, BillingCenter</v>
      </c>
      <c r="G220" s="20">
        <f>IFERROR(__xludf.DUMMYFUNCTION("""COMPUTED_VALUE"""),43903.0)</f>
        <v>43903</v>
      </c>
      <c r="H220" s="16"/>
      <c r="I220" s="20">
        <f>IFERROR(__xludf.DUMMYFUNCTION("""COMPUTED_VALUE"""),43936.0)</f>
        <v>43936</v>
      </c>
      <c r="J220" s="16"/>
      <c r="K220" s="20">
        <f>IFERROR(__xludf.DUMMYFUNCTION("""COMPUTED_VALUE"""),44007.0)</f>
        <v>44007</v>
      </c>
      <c r="L220" s="16" t="str">
        <f>IFERROR(__xludf.DUMMYFUNCTION("""COMPUTED_VALUE"""),"Low")</f>
        <v>Low</v>
      </c>
      <c r="M220" s="26" t="str">
        <f>IFERROR(__xludf.DUMMYFUNCTION("""COMPUTED_VALUE"""),"PartnerConnect  Technology")</f>
        <v>PartnerConnect  Technology</v>
      </c>
      <c r="N220" s="16" t="str">
        <f>IFERROR(__xludf.DUMMYFUNCTION("""COMPUTED_VALUE"""),"FY20 - Q2")</f>
        <v>FY20 - Q2</v>
      </c>
      <c r="O220" s="16">
        <f>IFERROR(__xludf.DUMMYFUNCTION("""COMPUTED_VALUE"""),3.0)</f>
        <v>3</v>
      </c>
      <c r="P220" s="16">
        <f>IFERROR(__xludf.DUMMYFUNCTION("""COMPUTED_VALUE"""),3.0)</f>
        <v>3</v>
      </c>
      <c r="Q220" s="16">
        <f>IFERROR(__xludf.DUMMYFUNCTION("""COMPUTED_VALUE"""),2.0)</f>
        <v>2</v>
      </c>
      <c r="R220" s="16">
        <f>IFERROR(__xludf.DUMMYFUNCTION("""COMPUTED_VALUE"""),0.0)</f>
        <v>0</v>
      </c>
      <c r="S220" s="16">
        <f>IFERROR(__xludf.DUMMYFUNCTION("""COMPUTED_VALUE"""),51478.0)</f>
        <v>51478</v>
      </c>
      <c r="T220" s="16">
        <f>IFERROR(__xludf.DUMMYFUNCTION("""COMPUTED_VALUE"""),2.0)</f>
        <v>2</v>
      </c>
      <c r="U220" s="16">
        <f>IFERROR(__xludf.DUMMYFUNCTION("""COMPUTED_VALUE"""),0.0)</f>
        <v>0</v>
      </c>
      <c r="V220" s="16">
        <f>IFERROR(__xludf.DUMMYFUNCTION("""COMPUTED_VALUE"""),0.0)</f>
        <v>0</v>
      </c>
      <c r="W220" s="16"/>
      <c r="X220" s="16" t="b">
        <f>IFERROR(__xludf.DUMMYFUNCTION("""COMPUTED_VALUE"""),FALSE)</f>
        <v>0</v>
      </c>
      <c r="Y220" s="16"/>
      <c r="Z220" s="16"/>
    </row>
    <row r="221">
      <c r="A221" s="16" t="str">
        <f>IFERROR(__xludf.DUMMYFUNCTION("""COMPUTED_VALUE"""),"Upptec")</f>
        <v>Upptec</v>
      </c>
      <c r="B221" s="16" t="str">
        <f>IFERROR(__xludf.DUMMYFUNCTION("""COMPUTED_VALUE"""),"Growth")</f>
        <v>Growth</v>
      </c>
      <c r="C221" s="26" t="str">
        <f>IFERROR(__xludf.DUMMYFUNCTION("""COMPUTED_VALUE"""),"EMEA")</f>
        <v>EMEA</v>
      </c>
      <c r="D221" s="16" t="str">
        <f>IFERROR(__xludf.DUMMYFUNCTION("""COMPUTED_VALUE"""),"Vivienne Hoary")</f>
        <v>Vivienne Hoary</v>
      </c>
      <c r="E221" s="26" t="str">
        <f>IFERROR(__xludf.DUMMYFUNCTION("""COMPUTED_VALUE"""),"Austria, Benelux, Denmark, Finland, France, Germany, Ireland, Norway, Poland, Spain, Sweden, Switzerland, UK")</f>
        <v>Austria, Benelux, Denmark, Finland, France, Germany, Ireland, Norway, Poland, Spain, Sweden, Switzerland, UK</v>
      </c>
      <c r="F221" s="26" t="str">
        <f>IFERROR(__xludf.DUMMYFUNCTION("""COMPUTED_VALUE"""),"ClaimCenter")</f>
        <v>ClaimCenter</v>
      </c>
      <c r="G221" s="20">
        <f>IFERROR(__xludf.DUMMYFUNCTION("""COMPUTED_VALUE"""),43845.0)</f>
        <v>43845</v>
      </c>
      <c r="H221" s="13">
        <f>IFERROR(__xludf.DUMMYFUNCTION("""COMPUTED_VALUE"""),43845.0)</f>
        <v>43845</v>
      </c>
      <c r="I221" s="20">
        <f>IFERROR(__xludf.DUMMYFUNCTION("""COMPUTED_VALUE"""),43845.0)</f>
        <v>43845</v>
      </c>
      <c r="J221" s="16"/>
      <c r="K221" s="20">
        <f>IFERROR(__xludf.DUMMYFUNCTION("""COMPUTED_VALUE"""),44321.0)</f>
        <v>44321</v>
      </c>
      <c r="L221" s="16" t="str">
        <f>IFERROR(__xludf.DUMMYFUNCTION("""COMPUTED_VALUE"""),"Medium")</f>
        <v>Medium</v>
      </c>
      <c r="M221" s="26" t="str">
        <f>IFERROR(__xludf.DUMMYFUNCTION("""COMPUTED_VALUE"""),"PartnerConnect  Technology")</f>
        <v>PartnerConnect  Technology</v>
      </c>
      <c r="N221" s="16" t="str">
        <f>IFERROR(__xludf.DUMMYFUNCTION("""COMPUTED_VALUE"""),"FY20 - Q2")</f>
        <v>FY20 - Q2</v>
      </c>
      <c r="O221" s="16">
        <f>IFERROR(__xludf.DUMMYFUNCTION("""COMPUTED_VALUE"""),0.0)</f>
        <v>0</v>
      </c>
      <c r="P221" s="16">
        <f>IFERROR(__xludf.DUMMYFUNCTION("""COMPUTED_VALUE"""),0.0)</f>
        <v>0</v>
      </c>
      <c r="Q221" s="16">
        <f>IFERROR(__xludf.DUMMYFUNCTION("""COMPUTED_VALUE"""),0.0)</f>
        <v>0</v>
      </c>
      <c r="R221" s="16">
        <f>IFERROR(__xludf.DUMMYFUNCTION("""COMPUTED_VALUE"""),0.0)</f>
        <v>0</v>
      </c>
      <c r="S221" s="16">
        <f>IFERROR(__xludf.DUMMYFUNCTION("""COMPUTED_VALUE"""),0.0)</f>
        <v>0</v>
      </c>
      <c r="T221" s="16">
        <f>IFERROR(__xludf.DUMMYFUNCTION("""COMPUTED_VALUE"""),0.0)</f>
        <v>0</v>
      </c>
      <c r="U221" s="16">
        <f>IFERROR(__xludf.DUMMYFUNCTION("""COMPUTED_VALUE"""),0.0)</f>
        <v>0</v>
      </c>
      <c r="V221" s="16">
        <f>IFERROR(__xludf.DUMMYFUNCTION("""COMPUTED_VALUE"""),0.0)</f>
        <v>0</v>
      </c>
      <c r="W221" s="16"/>
      <c r="X221" s="16" t="b">
        <f>IFERROR(__xludf.DUMMYFUNCTION("""COMPUTED_VALUE"""),FALSE)</f>
        <v>0</v>
      </c>
      <c r="Y221" s="16"/>
      <c r="Z221" s="16"/>
    </row>
    <row r="222">
      <c r="A222" s="16" t="str">
        <f>IFERROR(__xludf.DUMMYFUNCTION("""COMPUTED_VALUE"""),"U Scope Solutions Inc")</f>
        <v>U Scope Solutions Inc</v>
      </c>
      <c r="B222" s="16" t="str">
        <f>IFERROR(__xludf.DUMMYFUNCTION("""COMPUTED_VALUE"""),"Growth")</f>
        <v>Growth</v>
      </c>
      <c r="C222" s="26" t="str">
        <f>IFERROR(__xludf.DUMMYFUNCTION("""COMPUTED_VALUE"""),"NAM")</f>
        <v>NAM</v>
      </c>
      <c r="D222" s="16" t="str">
        <f>IFERROR(__xludf.DUMMYFUNCTION("""COMPUTED_VALUE"""),"Aaron Shaw")</f>
        <v>Aaron Shaw</v>
      </c>
      <c r="E222" s="26" t="str">
        <f>IFERROR(__xludf.DUMMYFUNCTION("""COMPUTED_VALUE"""),"United States")</f>
        <v>United States</v>
      </c>
      <c r="F222" s="26" t="str">
        <f>IFERROR(__xludf.DUMMYFUNCTION("""COMPUTED_VALUE"""),"ClaimCenter")</f>
        <v>ClaimCenter</v>
      </c>
      <c r="G222" s="20">
        <f>IFERROR(__xludf.DUMMYFUNCTION("""COMPUTED_VALUE"""),44565.0)</f>
        <v>44565</v>
      </c>
      <c r="H222" s="20">
        <f>IFERROR(__xludf.DUMMYFUNCTION("""COMPUTED_VALUE"""),45294.0)</f>
        <v>45294</v>
      </c>
      <c r="I222" s="20">
        <f>IFERROR(__xludf.DUMMYFUNCTION("""COMPUTED_VALUE"""),44565.0)</f>
        <v>44565</v>
      </c>
      <c r="J222" s="16"/>
      <c r="K222" s="20">
        <f>IFERROR(__xludf.DUMMYFUNCTION("""COMPUTED_VALUE"""),45147.0)</f>
        <v>45147</v>
      </c>
      <c r="L222" s="16" t="str">
        <f>IFERROR(__xludf.DUMMYFUNCTION("""COMPUTED_VALUE"""),"Low")</f>
        <v>Low</v>
      </c>
      <c r="M222" s="26" t="str">
        <f>IFERROR(__xludf.DUMMYFUNCTION("""COMPUTED_VALUE"""),"PartnerConnect  Technology")</f>
        <v>PartnerConnect  Technology</v>
      </c>
      <c r="N222" s="16" t="str">
        <f>IFERROR(__xludf.DUMMYFUNCTION("""COMPUTED_VALUE"""),"FY22 - Q2")</f>
        <v>FY22 - Q2</v>
      </c>
      <c r="O222" s="16">
        <f>IFERROR(__xludf.DUMMYFUNCTION("""COMPUTED_VALUE"""),1.0)</f>
        <v>1</v>
      </c>
      <c r="P222" s="16">
        <f>IFERROR(__xludf.DUMMYFUNCTION("""COMPUTED_VALUE"""),1.0)</f>
        <v>1</v>
      </c>
      <c r="Q222" s="16">
        <f>IFERROR(__xludf.DUMMYFUNCTION("""COMPUTED_VALUE"""),6.0)</f>
        <v>6</v>
      </c>
      <c r="R222" s="16">
        <f>IFERROR(__xludf.DUMMYFUNCTION("""COMPUTED_VALUE"""),4.0)</f>
        <v>4</v>
      </c>
      <c r="S222" s="16">
        <f>IFERROR(__xludf.DUMMYFUNCTION("""COMPUTED_VALUE"""),11032.0)</f>
        <v>11032</v>
      </c>
      <c r="T222" s="16">
        <f>IFERROR(__xludf.DUMMYFUNCTION("""COMPUTED_VALUE"""),3.0)</f>
        <v>3</v>
      </c>
      <c r="U222" s="16">
        <f>IFERROR(__xludf.DUMMYFUNCTION("""COMPUTED_VALUE"""),0.0)</f>
        <v>0</v>
      </c>
      <c r="V222" s="16">
        <f>IFERROR(__xludf.DUMMYFUNCTION("""COMPUTED_VALUE"""),0.0)</f>
        <v>0</v>
      </c>
      <c r="W222" s="16"/>
      <c r="X222" s="16" t="b">
        <f>IFERROR(__xludf.DUMMYFUNCTION("""COMPUTED_VALUE"""),TRUE)</f>
        <v>1</v>
      </c>
      <c r="Y222" s="16"/>
      <c r="Z222" s="16"/>
    </row>
    <row r="223">
      <c r="A223" s="16" t="str">
        <f>IFERROR(__xludf.DUMMYFUNCTION("""COMPUTED_VALUE"""),"Ushur")</f>
        <v>Ushur</v>
      </c>
      <c r="B223" s="16" t="str">
        <f>IFERROR(__xludf.DUMMYFUNCTION("""COMPUTED_VALUE"""),"Growth")</f>
        <v>Growth</v>
      </c>
      <c r="C223" s="26" t="str">
        <f>IFERROR(__xludf.DUMMYFUNCTION("""COMPUTED_VALUE"""),"NAM")</f>
        <v>NAM</v>
      </c>
      <c r="D223" s="16" t="str">
        <f>IFERROR(__xludf.DUMMYFUNCTION("""COMPUTED_VALUE"""),"Shannon Spies")</f>
        <v>Shannon Spies</v>
      </c>
      <c r="E223" s="26" t="str">
        <f>IFERROR(__xludf.DUMMYFUNCTION("""COMPUTED_VALUE"""),"Australia New Zealand, Austria, Benelux, Canada, Croatia, Czech Republic, Denmark, Finland, France, Germany, Hungary, India, Ireland, Israel, Italy, Norway, Poland, Russia, Slovakia, South America, Spain, Sweden, Switzerland, Turkey, UK, United States")</f>
        <v>Australia New Zealand, Austria, Benelux, Canada, Croatia, Czech Republic, Denmark, Finland, France, Germany, Hungary, India, Ireland, Israel, Italy, Norway, Poland, Russia, Slovakia, South America, Spain, Sweden, Switzerland, Turkey, UK, United States</v>
      </c>
      <c r="F223" s="26" t="str">
        <f>IFERROR(__xludf.DUMMYFUNCTION("""COMPUTED_VALUE"""),"ClaimCenter")</f>
        <v>ClaimCenter</v>
      </c>
      <c r="G223" s="20">
        <f>IFERROR(__xludf.DUMMYFUNCTION("""COMPUTED_VALUE"""),44692.0)</f>
        <v>44692</v>
      </c>
      <c r="H223" s="13">
        <f>IFERROR(__xludf.DUMMYFUNCTION("""COMPUTED_VALUE"""),45422.0)</f>
        <v>45422</v>
      </c>
      <c r="I223" s="20">
        <f>IFERROR(__xludf.DUMMYFUNCTION("""COMPUTED_VALUE"""),44692.0)</f>
        <v>44692</v>
      </c>
      <c r="J223" s="16"/>
      <c r="K223" s="13">
        <f>IFERROR(__xludf.DUMMYFUNCTION("""COMPUTED_VALUE"""),45065.0)</f>
        <v>45065</v>
      </c>
      <c r="L223" s="16" t="str">
        <f>IFERROR(__xludf.DUMMYFUNCTION("""COMPUTED_VALUE"""),"Low")</f>
        <v>Low</v>
      </c>
      <c r="M223" s="26" t="str">
        <f>IFERROR(__xludf.DUMMYFUNCTION("""COMPUTED_VALUE"""),"PartnerConnect  Technology")</f>
        <v>PartnerConnect  Technology</v>
      </c>
      <c r="N223" s="16" t="str">
        <f>IFERROR(__xludf.DUMMYFUNCTION("""COMPUTED_VALUE"""),"FY22 - Q3")</f>
        <v>FY22 - Q3</v>
      </c>
      <c r="O223" s="16">
        <f>IFERROR(__xludf.DUMMYFUNCTION("""COMPUTED_VALUE"""),2.0)</f>
        <v>2</v>
      </c>
      <c r="P223" s="16">
        <f>IFERROR(__xludf.DUMMYFUNCTION("""COMPUTED_VALUE"""),2.0)</f>
        <v>2</v>
      </c>
      <c r="Q223" s="16">
        <f>IFERROR(__xludf.DUMMYFUNCTION("""COMPUTED_VALUE"""),12.0)</f>
        <v>12</v>
      </c>
      <c r="R223" s="16">
        <f>IFERROR(__xludf.DUMMYFUNCTION("""COMPUTED_VALUE"""),2.0)</f>
        <v>2</v>
      </c>
      <c r="S223" s="16">
        <f>IFERROR(__xludf.DUMMYFUNCTION("""COMPUTED_VALUE"""),31484.0)</f>
        <v>31484</v>
      </c>
      <c r="T223" s="16">
        <f>IFERROR(__xludf.DUMMYFUNCTION("""COMPUTED_VALUE"""),6.0)</f>
        <v>6</v>
      </c>
      <c r="U223" s="16">
        <f>IFERROR(__xludf.DUMMYFUNCTION("""COMPUTED_VALUE"""),0.0)</f>
        <v>0</v>
      </c>
      <c r="V223" s="16">
        <f>IFERROR(__xludf.DUMMYFUNCTION("""COMPUTED_VALUE"""),0.0)</f>
        <v>0</v>
      </c>
      <c r="W223" s="16"/>
      <c r="X223" s="16" t="b">
        <f>IFERROR(__xludf.DUMMYFUNCTION("""COMPUTED_VALUE"""),FALSE)</f>
        <v>0</v>
      </c>
      <c r="Y223" s="16"/>
      <c r="Z223" s="16"/>
    </row>
    <row r="224">
      <c r="A224" s="16" t="str">
        <f>IFERROR(__xludf.DUMMYFUNCTION("""COMPUTED_VALUE"""),"ValueMomentum")</f>
        <v>ValueMomentum</v>
      </c>
      <c r="B224" s="16" t="str">
        <f>IFERROR(__xludf.DUMMYFUNCTION("""COMPUTED_VALUE"""),"Select")</f>
        <v>Select</v>
      </c>
      <c r="C224" s="26" t="str">
        <f>IFERROR(__xludf.DUMMYFUNCTION("""COMPUTED_VALUE"""),"NAM")</f>
        <v>NAM</v>
      </c>
      <c r="D224" s="16" t="str">
        <f>IFERROR(__xludf.DUMMYFUNCTION("""COMPUTED_VALUE"""),"J Giles")</f>
        <v>J Giles</v>
      </c>
      <c r="E224" s="26" t="str">
        <f>IFERROR(__xludf.DUMMYFUNCTION("""COMPUTED_VALUE"""),"United States")</f>
        <v>United States</v>
      </c>
      <c r="F224" s="26"/>
      <c r="G224" s="20">
        <f>IFERROR(__xludf.DUMMYFUNCTION("""COMPUTED_VALUE"""),44391.0)</f>
        <v>44391</v>
      </c>
      <c r="H224" s="20"/>
      <c r="I224" s="20"/>
      <c r="J224" s="16"/>
      <c r="K224" s="16"/>
      <c r="L224" s="16"/>
      <c r="M224" s="26" t="str">
        <f>IFERROR(__xludf.DUMMYFUNCTION("""COMPUTED_VALUE"""),"PartnerConnect  Consulting")</f>
        <v>PartnerConnect  Consulting</v>
      </c>
      <c r="N224" s="16" t="str">
        <f>IFERROR(__xludf.DUMMYFUNCTION("""COMPUTED_VALUE"""),"FY21 - Q4")</f>
        <v>FY21 - Q4</v>
      </c>
      <c r="O224" s="16">
        <f>IFERROR(__xludf.DUMMYFUNCTION("""COMPUTED_VALUE"""),2.0)</f>
        <v>2</v>
      </c>
      <c r="P224" s="16">
        <f>IFERROR(__xludf.DUMMYFUNCTION("""COMPUTED_VALUE"""),2.0)</f>
        <v>2</v>
      </c>
      <c r="Q224" s="16">
        <f>IFERROR(__xludf.DUMMYFUNCTION("""COMPUTED_VALUE"""),0.0)</f>
        <v>0</v>
      </c>
      <c r="R224" s="16">
        <f>IFERROR(__xludf.DUMMYFUNCTION("""COMPUTED_VALUE"""),0.0)</f>
        <v>0</v>
      </c>
      <c r="S224" s="16">
        <f>IFERROR(__xludf.DUMMYFUNCTION("""COMPUTED_VALUE"""),2270.0)</f>
        <v>2270</v>
      </c>
      <c r="T224" s="16">
        <f>IFERROR(__xludf.DUMMYFUNCTION("""COMPUTED_VALUE"""),0.0)</f>
        <v>0</v>
      </c>
      <c r="U224" s="16">
        <f>IFERROR(__xludf.DUMMYFUNCTION("""COMPUTED_VALUE"""),0.0)</f>
        <v>0</v>
      </c>
      <c r="V224" s="16">
        <f>IFERROR(__xludf.DUMMYFUNCTION("""COMPUTED_VALUE"""),0.0)</f>
        <v>0</v>
      </c>
      <c r="W224" s="16"/>
      <c r="X224" s="16" t="b">
        <f>IFERROR(__xludf.DUMMYFUNCTION("""COMPUTED_VALUE"""),FALSE)</f>
        <v>0</v>
      </c>
      <c r="Y224" s="16"/>
      <c r="Z224" s="16"/>
    </row>
    <row r="225">
      <c r="A225" s="16" t="str">
        <f>IFERROR(__xludf.DUMMYFUNCTION("""COMPUTED_VALUE"""),"VeracityID, Inc.")</f>
        <v>VeracityID, Inc.</v>
      </c>
      <c r="B225" s="16" t="str">
        <f>IFERROR(__xludf.DUMMYFUNCTION("""COMPUTED_VALUE"""),"Growth")</f>
        <v>Growth</v>
      </c>
      <c r="C225" s="26" t="str">
        <f>IFERROR(__xludf.DUMMYFUNCTION("""COMPUTED_VALUE"""),"NAM")</f>
        <v>NAM</v>
      </c>
      <c r="D225" s="16" t="str">
        <f>IFERROR(__xludf.DUMMYFUNCTION("""COMPUTED_VALUE"""),"Tim Kennedy")</f>
        <v>Tim Kennedy</v>
      </c>
      <c r="E225" s="26" t="str">
        <f>IFERROR(__xludf.DUMMYFUNCTION("""COMPUTED_VALUE"""),"United States")</f>
        <v>United States</v>
      </c>
      <c r="F225" s="26" t="str">
        <f>IFERROR(__xludf.DUMMYFUNCTION("""COMPUTED_VALUE"""),"PolicyCenter")</f>
        <v>PolicyCenter</v>
      </c>
      <c r="G225" s="20">
        <f>IFERROR(__xludf.DUMMYFUNCTION("""COMPUTED_VALUE"""),44336.0)</f>
        <v>44336</v>
      </c>
      <c r="H225" s="20">
        <f>IFERROR(__xludf.DUMMYFUNCTION("""COMPUTED_VALUE"""),45065.0)</f>
        <v>45065</v>
      </c>
      <c r="I225" s="20">
        <f>IFERROR(__xludf.DUMMYFUNCTION("""COMPUTED_VALUE"""),44336.0)</f>
        <v>44336</v>
      </c>
      <c r="J225" s="16"/>
      <c r="K225" s="20"/>
      <c r="L225" s="16" t="str">
        <f>IFERROR(__xludf.DUMMYFUNCTION("""COMPUTED_VALUE"""),"Low")</f>
        <v>Low</v>
      </c>
      <c r="M225" s="26" t="str">
        <f>IFERROR(__xludf.DUMMYFUNCTION("""COMPUTED_VALUE"""),"PartnerConnect  Technology")</f>
        <v>PartnerConnect  Technology</v>
      </c>
      <c r="N225" s="16" t="str">
        <f>IFERROR(__xludf.DUMMYFUNCTION("""COMPUTED_VALUE"""),"FY21 - Q3")</f>
        <v>FY21 - Q3</v>
      </c>
      <c r="O225" s="16">
        <f>IFERROR(__xludf.DUMMYFUNCTION("""COMPUTED_VALUE"""),0.0)</f>
        <v>0</v>
      </c>
      <c r="P225" s="16">
        <f>IFERROR(__xludf.DUMMYFUNCTION("""COMPUTED_VALUE"""),0.0)</f>
        <v>0</v>
      </c>
      <c r="Q225" s="16">
        <f>IFERROR(__xludf.DUMMYFUNCTION("""COMPUTED_VALUE"""),0.0)</f>
        <v>0</v>
      </c>
      <c r="R225" s="16">
        <f>IFERROR(__xludf.DUMMYFUNCTION("""COMPUTED_VALUE"""),0.0)</f>
        <v>0</v>
      </c>
      <c r="S225" s="16">
        <f>IFERROR(__xludf.DUMMYFUNCTION("""COMPUTED_VALUE"""),0.0)</f>
        <v>0</v>
      </c>
      <c r="T225" s="16">
        <f>IFERROR(__xludf.DUMMYFUNCTION("""COMPUTED_VALUE"""),0.0)</f>
        <v>0</v>
      </c>
      <c r="U225" s="16">
        <f>IFERROR(__xludf.DUMMYFUNCTION("""COMPUTED_VALUE"""),0.0)</f>
        <v>0</v>
      </c>
      <c r="V225" s="16">
        <f>IFERROR(__xludf.DUMMYFUNCTION("""COMPUTED_VALUE"""),0.0)</f>
        <v>0</v>
      </c>
      <c r="W225" s="16"/>
      <c r="X225" s="16" t="b">
        <f>IFERROR(__xludf.DUMMYFUNCTION("""COMPUTED_VALUE"""),FALSE)</f>
        <v>0</v>
      </c>
      <c r="Y225" s="16"/>
      <c r="Z225" s="16"/>
    </row>
    <row r="226">
      <c r="A226" s="16" t="str">
        <f>IFERROR(__xludf.DUMMYFUNCTION("""COMPUTED_VALUE"""),"Verisk (fka ISO Claims Partners)")</f>
        <v>Verisk (fka ISO Claims Partners)</v>
      </c>
      <c r="B226" s="16" t="str">
        <f>IFERROR(__xludf.DUMMYFUNCTION("""COMPUTED_VALUE"""),"Premier")</f>
        <v>Premier</v>
      </c>
      <c r="C226" s="26" t="str">
        <f>IFERROR(__xludf.DUMMYFUNCTION("""COMPUTED_VALUE"""),"NAM")</f>
        <v>NAM</v>
      </c>
      <c r="D226" s="16" t="str">
        <f>IFERROR(__xludf.DUMMYFUNCTION("""COMPUTED_VALUE"""),"Tim Kennedy")</f>
        <v>Tim Kennedy</v>
      </c>
      <c r="E226" s="26" t="str">
        <f>IFERROR(__xludf.DUMMYFUNCTION("""COMPUTED_VALUE"""),"United States")</f>
        <v>United States</v>
      </c>
      <c r="F226" s="26" t="str">
        <f>IFERROR(__xludf.DUMMYFUNCTION("""COMPUTED_VALUE"""),"ClaimCenter")</f>
        <v>ClaimCenter</v>
      </c>
      <c r="G226" s="20">
        <f>IFERROR(__xludf.DUMMYFUNCTION("""COMPUTED_VALUE"""),43452.0)</f>
        <v>43452</v>
      </c>
      <c r="H226" s="20"/>
      <c r="I226" s="20">
        <f>IFERROR(__xludf.DUMMYFUNCTION("""COMPUTED_VALUE"""),43488.0)</f>
        <v>43488</v>
      </c>
      <c r="J226" s="16"/>
      <c r="K226" s="13">
        <f>IFERROR(__xludf.DUMMYFUNCTION("""COMPUTED_VALUE"""),43852.0)</f>
        <v>43852</v>
      </c>
      <c r="L226" s="16" t="str">
        <f>IFERROR(__xludf.DUMMYFUNCTION("""COMPUTED_VALUE"""),"Medium")</f>
        <v>Medium</v>
      </c>
      <c r="M226" s="26" t="str">
        <f>IFERROR(__xludf.DUMMYFUNCTION("""COMPUTED_VALUE"""),"PartnerConnect  Technology")</f>
        <v>PartnerConnect  Technology</v>
      </c>
      <c r="N226" s="16" t="str">
        <f>IFERROR(__xludf.DUMMYFUNCTION("""COMPUTED_VALUE"""),"FY18 - Q2")</f>
        <v>FY18 - Q2</v>
      </c>
      <c r="O226" s="16">
        <f>IFERROR(__xludf.DUMMYFUNCTION("""COMPUTED_VALUE"""),0.0)</f>
        <v>0</v>
      </c>
      <c r="P226" s="16">
        <f>IFERROR(__xludf.DUMMYFUNCTION("""COMPUTED_VALUE"""),0.0)</f>
        <v>0</v>
      </c>
      <c r="Q226" s="16">
        <f>IFERROR(__xludf.DUMMYFUNCTION("""COMPUTED_VALUE"""),0.0)</f>
        <v>0</v>
      </c>
      <c r="R226" s="16">
        <f>IFERROR(__xludf.DUMMYFUNCTION("""COMPUTED_VALUE"""),0.0)</f>
        <v>0</v>
      </c>
      <c r="S226" s="16">
        <f>IFERROR(__xludf.DUMMYFUNCTION("""COMPUTED_VALUE"""),0.0)</f>
        <v>0</v>
      </c>
      <c r="T226" s="16">
        <f>IFERROR(__xludf.DUMMYFUNCTION("""COMPUTED_VALUE"""),0.0)</f>
        <v>0</v>
      </c>
      <c r="U226" s="16">
        <f>IFERROR(__xludf.DUMMYFUNCTION("""COMPUTED_VALUE"""),0.0)</f>
        <v>0</v>
      </c>
      <c r="V226" s="16">
        <f>IFERROR(__xludf.DUMMYFUNCTION("""COMPUTED_VALUE"""),0.0)</f>
        <v>0</v>
      </c>
      <c r="W226" s="16"/>
      <c r="X226" s="16" t="b">
        <f>IFERROR(__xludf.DUMMYFUNCTION("""COMPUTED_VALUE"""),FALSE)</f>
        <v>0</v>
      </c>
      <c r="Y226" s="16"/>
      <c r="Z226" s="16"/>
    </row>
    <row r="227">
      <c r="A227" s="16" t="str">
        <f>IFERROR(__xludf.DUMMYFUNCTION("""COMPUTED_VALUE"""),"Verisk (fka Validus)")</f>
        <v>Verisk (fka Validus)</v>
      </c>
      <c r="B227" s="16"/>
      <c r="C227" s="26" t="str">
        <f>IFERROR(__xludf.DUMMYFUNCTION("""COMPUTED_VALUE"""),"EMEA")</f>
        <v>EMEA</v>
      </c>
      <c r="D227" s="16" t="str">
        <f>IFERROR(__xludf.DUMMYFUNCTION("""COMPUTED_VALUE"""),"Tim Kennedy")</f>
        <v>Tim Kennedy</v>
      </c>
      <c r="E227" s="26" t="str">
        <f>IFERROR(__xludf.DUMMYFUNCTION("""COMPUTED_VALUE"""),"UK")</f>
        <v>UK</v>
      </c>
      <c r="F227" s="26" t="str">
        <f>IFERROR(__xludf.DUMMYFUNCTION("""COMPUTED_VALUE"""),"ClaimCenter")</f>
        <v>ClaimCenter</v>
      </c>
      <c r="G227" s="20">
        <f>IFERROR(__xludf.DUMMYFUNCTION("""COMPUTED_VALUE"""),42269.0)</f>
        <v>42269</v>
      </c>
      <c r="H227" s="20"/>
      <c r="I227" s="20">
        <f>IFERROR(__xludf.DUMMYFUNCTION("""COMPUTED_VALUE"""),42269.0)</f>
        <v>42269</v>
      </c>
      <c r="J227" s="16"/>
      <c r="K227" s="13">
        <f>IFERROR(__xludf.DUMMYFUNCTION("""COMPUTED_VALUE"""),42724.0)</f>
        <v>42724</v>
      </c>
      <c r="L227" s="16" t="str">
        <f>IFERROR(__xludf.DUMMYFUNCTION("""COMPUTED_VALUE"""),"Medium")</f>
        <v>Medium</v>
      </c>
      <c r="M227" s="26" t="str">
        <f>IFERROR(__xludf.DUMMYFUNCTION("""COMPUTED_VALUE"""),"PartnerConnect  Technology")</f>
        <v>PartnerConnect  Technology</v>
      </c>
      <c r="N227" s="16" t="str">
        <f>IFERROR(__xludf.DUMMYFUNCTION("""COMPUTED_VALUE"""),"FY15 - Q1")</f>
        <v>FY15 - Q1</v>
      </c>
      <c r="O227" s="16">
        <f>IFERROR(__xludf.DUMMYFUNCTION("""COMPUTED_VALUE"""),0.0)</f>
        <v>0</v>
      </c>
      <c r="P227" s="16">
        <f>IFERROR(__xludf.DUMMYFUNCTION("""COMPUTED_VALUE"""),0.0)</f>
        <v>0</v>
      </c>
      <c r="Q227" s="16">
        <f>IFERROR(__xludf.DUMMYFUNCTION("""COMPUTED_VALUE"""),0.0)</f>
        <v>0</v>
      </c>
      <c r="R227" s="16">
        <f>IFERROR(__xludf.DUMMYFUNCTION("""COMPUTED_VALUE"""),0.0)</f>
        <v>0</v>
      </c>
      <c r="S227" s="16">
        <f>IFERROR(__xludf.DUMMYFUNCTION("""COMPUTED_VALUE"""),0.0)</f>
        <v>0</v>
      </c>
      <c r="T227" s="16">
        <f>IFERROR(__xludf.DUMMYFUNCTION("""COMPUTED_VALUE"""),0.0)</f>
        <v>0</v>
      </c>
      <c r="U227" s="16">
        <f>IFERROR(__xludf.DUMMYFUNCTION("""COMPUTED_VALUE"""),0.0)</f>
        <v>0</v>
      </c>
      <c r="V227" s="16">
        <f>IFERROR(__xludf.DUMMYFUNCTION("""COMPUTED_VALUE"""),0.0)</f>
        <v>0</v>
      </c>
      <c r="W227" s="16"/>
      <c r="X227" s="16" t="b">
        <f>IFERROR(__xludf.DUMMYFUNCTION("""COMPUTED_VALUE"""),FALSE)</f>
        <v>0</v>
      </c>
      <c r="Y227" s="16"/>
      <c r="Z227" s="16"/>
    </row>
    <row r="228">
      <c r="A228" s="16" t="str">
        <f>IFERROR(__xludf.DUMMYFUNCTION("""COMPUTED_VALUE"""),"Vertafore Agency Platform")</f>
        <v>Vertafore Agency Platform</v>
      </c>
      <c r="B228" s="16" t="str">
        <f>IFERROR(__xludf.DUMMYFUNCTION("""COMPUTED_VALUE"""),"Growth")</f>
        <v>Growth</v>
      </c>
      <c r="C228" s="26" t="str">
        <f>IFERROR(__xludf.DUMMYFUNCTION("""COMPUTED_VALUE"""),"NAM")</f>
        <v>NAM</v>
      </c>
      <c r="D228" s="16" t="str">
        <f>IFERROR(__xludf.DUMMYFUNCTION("""COMPUTED_VALUE"""),"Eric Apse")</f>
        <v>Eric Apse</v>
      </c>
      <c r="E228" s="26" t="str">
        <f>IFERROR(__xludf.DUMMYFUNCTION("""COMPUTED_VALUE"""),"Canada, United States")</f>
        <v>Canada, United States</v>
      </c>
      <c r="F228" s="26" t="str">
        <f>IFERROR(__xludf.DUMMYFUNCTION("""COMPUTED_VALUE"""),"PolicyCenter")</f>
        <v>PolicyCenter</v>
      </c>
      <c r="G228" s="20">
        <f>IFERROR(__xludf.DUMMYFUNCTION("""COMPUTED_VALUE"""),42130.0)</f>
        <v>42130</v>
      </c>
      <c r="H228" s="20">
        <f>IFERROR(__xludf.DUMMYFUNCTION("""COMPUTED_VALUE"""),42860.0)</f>
        <v>42860</v>
      </c>
      <c r="I228" s="20">
        <f>IFERROR(__xludf.DUMMYFUNCTION("""COMPUTED_VALUE"""),42130.0)</f>
        <v>42130</v>
      </c>
      <c r="J228" s="16"/>
      <c r="K228" s="20">
        <f>IFERROR(__xludf.DUMMYFUNCTION("""COMPUTED_VALUE"""),42492.0)</f>
        <v>42492</v>
      </c>
      <c r="L228" s="16" t="str">
        <f>IFERROR(__xludf.DUMMYFUNCTION("""COMPUTED_VALUE"""),"Medium")</f>
        <v>Medium</v>
      </c>
      <c r="M228" s="26" t="str">
        <f>IFERROR(__xludf.DUMMYFUNCTION("""COMPUTED_VALUE"""),"PartnerConnect  Technology")</f>
        <v>PartnerConnect  Technology</v>
      </c>
      <c r="N228" s="16" t="str">
        <f>IFERROR(__xludf.DUMMYFUNCTION("""COMPUTED_VALUE"""),"FY15 - Q3")</f>
        <v>FY15 - Q3</v>
      </c>
      <c r="O228" s="16">
        <f>IFERROR(__xludf.DUMMYFUNCTION("""COMPUTED_VALUE"""),1.0)</f>
        <v>1</v>
      </c>
      <c r="P228" s="16">
        <f>IFERROR(__xludf.DUMMYFUNCTION("""COMPUTED_VALUE"""),1.0)</f>
        <v>1</v>
      </c>
      <c r="Q228" s="16">
        <f>IFERROR(__xludf.DUMMYFUNCTION("""COMPUTED_VALUE"""),34.0)</f>
        <v>34</v>
      </c>
      <c r="R228" s="16">
        <f>IFERROR(__xludf.DUMMYFUNCTION("""COMPUTED_VALUE"""),20.0)</f>
        <v>20</v>
      </c>
      <c r="S228" s="16">
        <f>IFERROR(__xludf.DUMMYFUNCTION("""COMPUTED_VALUE"""),22400.0)</f>
        <v>22400</v>
      </c>
      <c r="T228" s="16">
        <f>IFERROR(__xludf.DUMMYFUNCTION("""COMPUTED_VALUE"""),19.0)</f>
        <v>19</v>
      </c>
      <c r="U228" s="16">
        <f>IFERROR(__xludf.DUMMYFUNCTION("""COMPUTED_VALUE"""),20.0)</f>
        <v>20</v>
      </c>
      <c r="V228" s="16">
        <f>IFERROR(__xludf.DUMMYFUNCTION("""COMPUTED_VALUE"""),20.0)</f>
        <v>20</v>
      </c>
      <c r="W228" s="16"/>
      <c r="X228" s="16" t="b">
        <f>IFERROR(__xludf.DUMMYFUNCTION("""COMPUTED_VALUE"""),TRUE)</f>
        <v>1</v>
      </c>
      <c r="Y228" s="16"/>
      <c r="Z228" s="16"/>
    </row>
    <row r="229">
      <c r="A229" s="16" t="str">
        <f>IFERROR(__xludf.DUMMYFUNCTION("""COMPUTED_VALUE"""),"VIPR Ltd")</f>
        <v>VIPR Ltd</v>
      </c>
      <c r="B229" s="16" t="str">
        <f>IFERROR(__xludf.DUMMYFUNCTION("""COMPUTED_VALUE"""),"Growth")</f>
        <v>Growth</v>
      </c>
      <c r="C229" s="26" t="str">
        <f>IFERROR(__xludf.DUMMYFUNCTION("""COMPUTED_VALUE"""),"EMEA, NAM")</f>
        <v>EMEA, NAM</v>
      </c>
      <c r="D229" s="16" t="str">
        <f>IFERROR(__xludf.DUMMYFUNCTION("""COMPUTED_VALUE"""),"Fatima Aoulagha-Bannou")</f>
        <v>Fatima Aoulagha-Bannou</v>
      </c>
      <c r="E229" s="26" t="str">
        <f>IFERROR(__xludf.DUMMYFUNCTION("""COMPUTED_VALUE"""),"Canada, Germany, Ireland, Spain, Switzerland, UK, United States")</f>
        <v>Canada, Germany, Ireland, Spain, Switzerland, UK, United States</v>
      </c>
      <c r="F229" s="26" t="str">
        <f>IFERROR(__xludf.DUMMYFUNCTION("""COMPUTED_VALUE"""),"ClaimCenter")</f>
        <v>ClaimCenter</v>
      </c>
      <c r="G229" s="20">
        <f>IFERROR(__xludf.DUMMYFUNCTION("""COMPUTED_VALUE"""),44860.0)</f>
        <v>44860</v>
      </c>
      <c r="H229" s="16"/>
      <c r="I229" s="20">
        <f>IFERROR(__xludf.DUMMYFUNCTION("""COMPUTED_VALUE"""),44860.0)</f>
        <v>44860</v>
      </c>
      <c r="J229" s="16"/>
      <c r="K229" s="20"/>
      <c r="L229" s="16" t="str">
        <f>IFERROR(__xludf.DUMMYFUNCTION("""COMPUTED_VALUE"""),"Medium")</f>
        <v>Medium</v>
      </c>
      <c r="M229" s="26" t="str">
        <f>IFERROR(__xludf.DUMMYFUNCTION("""COMPUTED_VALUE"""),"PartnerConnect  Technology")</f>
        <v>PartnerConnect  Technology</v>
      </c>
      <c r="N229" s="16" t="str">
        <f>IFERROR(__xludf.DUMMYFUNCTION("""COMPUTED_VALUE"""),"FY22 - Q1")</f>
        <v>FY22 - Q1</v>
      </c>
      <c r="O229" s="16">
        <f>IFERROR(__xludf.DUMMYFUNCTION("""COMPUTED_VALUE"""),0.0)</f>
        <v>0</v>
      </c>
      <c r="P229" s="16">
        <f>IFERROR(__xludf.DUMMYFUNCTION("""COMPUTED_VALUE"""),0.0)</f>
        <v>0</v>
      </c>
      <c r="Q229" s="16">
        <f>IFERROR(__xludf.DUMMYFUNCTION("""COMPUTED_VALUE"""),0.0)</f>
        <v>0</v>
      </c>
      <c r="R229" s="16">
        <f>IFERROR(__xludf.DUMMYFUNCTION("""COMPUTED_VALUE"""),0.0)</f>
        <v>0</v>
      </c>
      <c r="S229" s="16">
        <f>IFERROR(__xludf.DUMMYFUNCTION("""COMPUTED_VALUE"""),0.0)</f>
        <v>0</v>
      </c>
      <c r="T229" s="16">
        <f>IFERROR(__xludf.DUMMYFUNCTION("""COMPUTED_VALUE"""),0.0)</f>
        <v>0</v>
      </c>
      <c r="U229" s="16">
        <f>IFERROR(__xludf.DUMMYFUNCTION("""COMPUTED_VALUE"""),0.0)</f>
        <v>0</v>
      </c>
      <c r="V229" s="16">
        <f>IFERROR(__xludf.DUMMYFUNCTION("""COMPUTED_VALUE"""),0.0)</f>
        <v>0</v>
      </c>
      <c r="W229" s="16"/>
      <c r="X229" s="16" t="b">
        <f>IFERROR(__xludf.DUMMYFUNCTION("""COMPUTED_VALUE"""),FALSE)</f>
        <v>0</v>
      </c>
      <c r="Y229" s="16"/>
      <c r="Z229" s="16"/>
    </row>
    <row r="230">
      <c r="A230" s="16" t="str">
        <f>IFERROR(__xludf.DUMMYFUNCTION("""COMPUTED_VALUE"""),"VIP Software")</f>
        <v>VIP Software</v>
      </c>
      <c r="B230" s="16" t="str">
        <f>IFERROR(__xludf.DUMMYFUNCTION("""COMPUTED_VALUE"""),"Growth")</f>
        <v>Growth</v>
      </c>
      <c r="C230" s="26" t="str">
        <f>IFERROR(__xludf.DUMMYFUNCTION("""COMPUTED_VALUE"""),"NAM")</f>
        <v>NAM</v>
      </c>
      <c r="D230" s="16" t="str">
        <f>IFERROR(__xludf.DUMMYFUNCTION("""COMPUTED_VALUE"""),"Rod Gowin")</f>
        <v>Rod Gowin</v>
      </c>
      <c r="E230" s="26" t="str">
        <f>IFERROR(__xludf.DUMMYFUNCTION("""COMPUTED_VALUE"""),"United States")</f>
        <v>United States</v>
      </c>
      <c r="F230" s="26" t="str">
        <f>IFERROR(__xludf.DUMMYFUNCTION("""COMPUTED_VALUE"""),"ClaimCenter")</f>
        <v>ClaimCenter</v>
      </c>
      <c r="G230" s="20">
        <f>IFERROR(__xludf.DUMMYFUNCTION("""COMPUTED_VALUE"""),44662.0)</f>
        <v>44662</v>
      </c>
      <c r="H230" s="20">
        <f>IFERROR(__xludf.DUMMYFUNCTION("""COMPUTED_VALUE"""),45392.0)</f>
        <v>45392</v>
      </c>
      <c r="I230" s="20">
        <f>IFERROR(__xludf.DUMMYFUNCTION("""COMPUTED_VALUE"""),44662.0)</f>
        <v>44662</v>
      </c>
      <c r="J230" s="16"/>
      <c r="K230" s="13">
        <f>IFERROR(__xludf.DUMMYFUNCTION("""COMPUTED_VALUE"""),45351.0)</f>
        <v>45351</v>
      </c>
      <c r="L230" s="16" t="str">
        <f>IFERROR(__xludf.DUMMYFUNCTION("""COMPUTED_VALUE"""),"Medium")</f>
        <v>Medium</v>
      </c>
      <c r="M230" s="26" t="str">
        <f>IFERROR(__xludf.DUMMYFUNCTION("""COMPUTED_VALUE"""),"PartnerConnect  Technology")</f>
        <v>PartnerConnect  Technology</v>
      </c>
      <c r="N230" s="16" t="str">
        <f>IFERROR(__xludf.DUMMYFUNCTION("""COMPUTED_VALUE"""),"FY22 - Q3")</f>
        <v>FY22 - Q3</v>
      </c>
      <c r="O230" s="16">
        <f>IFERROR(__xludf.DUMMYFUNCTION("""COMPUTED_VALUE"""),1.0)</f>
        <v>1</v>
      </c>
      <c r="P230" s="16">
        <f>IFERROR(__xludf.DUMMYFUNCTION("""COMPUTED_VALUE"""),1.0)</f>
        <v>1</v>
      </c>
      <c r="Q230" s="16">
        <f>IFERROR(__xludf.DUMMYFUNCTION("""COMPUTED_VALUE"""),19.0)</f>
        <v>19</v>
      </c>
      <c r="R230" s="16">
        <f>IFERROR(__xludf.DUMMYFUNCTION("""COMPUTED_VALUE"""),9.0)</f>
        <v>9</v>
      </c>
      <c r="S230" s="16">
        <f>IFERROR(__xludf.DUMMYFUNCTION("""COMPUTED_VALUE"""),16144.0)</f>
        <v>16144</v>
      </c>
      <c r="T230" s="16">
        <f>IFERROR(__xludf.DUMMYFUNCTION("""COMPUTED_VALUE"""),9.0)</f>
        <v>9</v>
      </c>
      <c r="U230" s="16">
        <f>IFERROR(__xludf.DUMMYFUNCTION("""COMPUTED_VALUE"""),0.0)</f>
        <v>0</v>
      </c>
      <c r="V230" s="16">
        <f>IFERROR(__xludf.DUMMYFUNCTION("""COMPUTED_VALUE"""),0.0)</f>
        <v>0</v>
      </c>
      <c r="W230" s="16"/>
      <c r="X230" s="16" t="b">
        <f>IFERROR(__xludf.DUMMYFUNCTION("""COMPUTED_VALUE"""),TRUE)</f>
        <v>1</v>
      </c>
      <c r="Y230" s="16"/>
      <c r="Z230" s="16"/>
    </row>
    <row r="231">
      <c r="A231" s="16" t="str">
        <f>IFERROR(__xludf.DUMMYFUNCTION("""COMPUTED_VALUE"""),"Visual Software")</f>
        <v>Visual Software</v>
      </c>
      <c r="B231" s="16" t="str">
        <f>IFERROR(__xludf.DUMMYFUNCTION("""COMPUTED_VALUE"""),"Growth")</f>
        <v>Growth</v>
      </c>
      <c r="C231" s="26" t="str">
        <f>IFERROR(__xludf.DUMMYFUNCTION("""COMPUTED_VALUE"""),"NAM")</f>
        <v>NAM</v>
      </c>
      <c r="D231" s="16" t="str">
        <f>IFERROR(__xludf.DUMMYFUNCTION("""COMPUTED_VALUE"""),"Aaron Shaw")</f>
        <v>Aaron Shaw</v>
      </c>
      <c r="E231" s="26" t="str">
        <f>IFERROR(__xludf.DUMMYFUNCTION("""COMPUTED_VALUE"""),"United States")</f>
        <v>United States</v>
      </c>
      <c r="F231" s="26" t="str">
        <f>IFERROR(__xludf.DUMMYFUNCTION("""COMPUTED_VALUE"""),"PolicyCenter")</f>
        <v>PolicyCenter</v>
      </c>
      <c r="G231" s="20">
        <f>IFERROR(__xludf.DUMMYFUNCTION("""COMPUTED_VALUE"""),43950.0)</f>
        <v>43950</v>
      </c>
      <c r="H231" s="20">
        <f>IFERROR(__xludf.DUMMYFUNCTION("""COMPUTED_VALUE"""),44681.0)</f>
        <v>44681</v>
      </c>
      <c r="I231" s="20">
        <f>IFERROR(__xludf.DUMMYFUNCTION("""COMPUTED_VALUE"""),43950.0)</f>
        <v>43950</v>
      </c>
      <c r="J231" s="16"/>
      <c r="K231" s="20">
        <f>IFERROR(__xludf.DUMMYFUNCTION("""COMPUTED_VALUE"""),44663.0)</f>
        <v>44663</v>
      </c>
      <c r="L231" s="16" t="str">
        <f>IFERROR(__xludf.DUMMYFUNCTION("""COMPUTED_VALUE"""),"Low")</f>
        <v>Low</v>
      </c>
      <c r="M231" s="26" t="str">
        <f>IFERROR(__xludf.DUMMYFUNCTION("""COMPUTED_VALUE"""),"PartnerConnect  Technology")</f>
        <v>PartnerConnect  Technology</v>
      </c>
      <c r="N231" s="16" t="str">
        <f>IFERROR(__xludf.DUMMYFUNCTION("""COMPUTED_VALUE"""),"FY20 - Q3")</f>
        <v>FY20 - Q3</v>
      </c>
      <c r="O231" s="16">
        <f>IFERROR(__xludf.DUMMYFUNCTION("""COMPUTED_VALUE"""),1.0)</f>
        <v>1</v>
      </c>
      <c r="P231" s="16">
        <f>IFERROR(__xludf.DUMMYFUNCTION("""COMPUTED_VALUE"""),1.0)</f>
        <v>1</v>
      </c>
      <c r="Q231" s="16">
        <f>IFERROR(__xludf.DUMMYFUNCTION("""COMPUTED_VALUE"""),35.0)</f>
        <v>35</v>
      </c>
      <c r="R231" s="16">
        <f>IFERROR(__xludf.DUMMYFUNCTION("""COMPUTED_VALUE"""),13.0)</f>
        <v>13</v>
      </c>
      <c r="S231" s="16">
        <f>IFERROR(__xludf.DUMMYFUNCTION("""COMPUTED_VALUE"""),19506.0)</f>
        <v>19506</v>
      </c>
      <c r="T231" s="16">
        <f>IFERROR(__xludf.DUMMYFUNCTION("""COMPUTED_VALUE"""),20.0)</f>
        <v>20</v>
      </c>
      <c r="U231" s="16">
        <f>IFERROR(__xludf.DUMMYFUNCTION("""COMPUTED_VALUE"""),0.0)</f>
        <v>0</v>
      </c>
      <c r="V231" s="16">
        <f>IFERROR(__xludf.DUMMYFUNCTION("""COMPUTED_VALUE"""),0.0)</f>
        <v>0</v>
      </c>
      <c r="W231" s="16"/>
      <c r="X231" s="16" t="b">
        <f>IFERROR(__xludf.DUMMYFUNCTION("""COMPUTED_VALUE"""),FALSE)</f>
        <v>0</v>
      </c>
      <c r="Y231" s="16"/>
      <c r="Z231" s="16"/>
    </row>
    <row r="232">
      <c r="A232" s="16" t="str">
        <f>IFERROR(__xludf.DUMMYFUNCTION("""COMPUTED_VALUE"""),"Web Connectivity Ltd")</f>
        <v>Web Connectivity Ltd</v>
      </c>
      <c r="B232" s="16" t="str">
        <f>IFERROR(__xludf.DUMMYFUNCTION("""COMPUTED_VALUE"""),"Select")</f>
        <v>Select</v>
      </c>
      <c r="C232" s="26" t="str">
        <f>IFERROR(__xludf.DUMMYFUNCTION("""COMPUTED_VALUE"""),"EMEA")</f>
        <v>EMEA</v>
      </c>
      <c r="D232" s="16" t="str">
        <f>IFERROR(__xludf.DUMMYFUNCTION("""COMPUTED_VALUE"""),"Vivienne Hoary")</f>
        <v>Vivienne Hoary</v>
      </c>
      <c r="E232" s="26" t="str">
        <f>IFERROR(__xludf.DUMMYFUNCTION("""COMPUTED_VALUE"""),"France,Germany,Italy,Switzerland,UK,United States")</f>
        <v>France,Germany,Italy,Switzerland,UK,United States</v>
      </c>
      <c r="F232" s="26" t="str">
        <f>IFERROR(__xludf.DUMMYFUNCTION("""COMPUTED_VALUE"""),"ClaimCenter")</f>
        <v>ClaimCenter</v>
      </c>
      <c r="G232" s="20">
        <f>IFERROR(__xludf.DUMMYFUNCTION("""COMPUTED_VALUE"""),44286.0)</f>
        <v>44286</v>
      </c>
      <c r="H232" s="20">
        <f>IFERROR(__xludf.DUMMYFUNCTION("""COMPUTED_VALUE"""),45015.0)</f>
        <v>45015</v>
      </c>
      <c r="I232" s="20">
        <f>IFERROR(__xludf.DUMMYFUNCTION("""COMPUTED_VALUE"""),44286.0)</f>
        <v>44286</v>
      </c>
      <c r="J232" s="16"/>
      <c r="K232" s="16"/>
      <c r="L232" s="16" t="str">
        <f>IFERROR(__xludf.DUMMYFUNCTION("""COMPUTED_VALUE"""),"Medium")</f>
        <v>Medium</v>
      </c>
      <c r="M232" s="26" t="str">
        <f>IFERROR(__xludf.DUMMYFUNCTION("""COMPUTED_VALUE"""),"PartnerConnect  Technology")</f>
        <v>PartnerConnect  Technology</v>
      </c>
      <c r="N232" s="16" t="str">
        <f>IFERROR(__xludf.DUMMYFUNCTION("""COMPUTED_VALUE"""),"FY21 - Q2")</f>
        <v>FY21 - Q2</v>
      </c>
      <c r="O232" s="16">
        <f>IFERROR(__xludf.DUMMYFUNCTION("""COMPUTED_VALUE"""),0.0)</f>
        <v>0</v>
      </c>
      <c r="P232" s="16">
        <f>IFERROR(__xludf.DUMMYFUNCTION("""COMPUTED_VALUE"""),0.0)</f>
        <v>0</v>
      </c>
      <c r="Q232" s="16">
        <f>IFERROR(__xludf.DUMMYFUNCTION("""COMPUTED_VALUE"""),0.0)</f>
        <v>0</v>
      </c>
      <c r="R232" s="16">
        <f>IFERROR(__xludf.DUMMYFUNCTION("""COMPUTED_VALUE"""),0.0)</f>
        <v>0</v>
      </c>
      <c r="S232" s="16">
        <f>IFERROR(__xludf.DUMMYFUNCTION("""COMPUTED_VALUE"""),0.0)</f>
        <v>0</v>
      </c>
      <c r="T232" s="16">
        <f>IFERROR(__xludf.DUMMYFUNCTION("""COMPUTED_VALUE"""),0.0)</f>
        <v>0</v>
      </c>
      <c r="U232" s="16">
        <f>IFERROR(__xludf.DUMMYFUNCTION("""COMPUTED_VALUE"""),0.0)</f>
        <v>0</v>
      </c>
      <c r="V232" s="16">
        <f>IFERROR(__xludf.DUMMYFUNCTION("""COMPUTED_VALUE"""),0.0)</f>
        <v>0</v>
      </c>
      <c r="W232" s="16"/>
      <c r="X232" s="16" t="b">
        <f>IFERROR(__xludf.DUMMYFUNCTION("""COMPUTED_VALUE"""),FALSE)</f>
        <v>0</v>
      </c>
      <c r="Y232" s="16"/>
      <c r="Z232" s="16"/>
    </row>
    <row r="233">
      <c r="A233" s="16" t="str">
        <f>IFERROR(__xludf.DUMMYFUNCTION("""COMPUTED_VALUE"""),"Westhill Global")</f>
        <v>Westhill Global</v>
      </c>
      <c r="B233" s="16" t="str">
        <f>IFERROR(__xludf.DUMMYFUNCTION("""COMPUTED_VALUE"""),"Growth")</f>
        <v>Growth</v>
      </c>
      <c r="C233" s="16" t="str">
        <f>IFERROR(__xludf.DUMMYFUNCTION("""COMPUTED_VALUE"""),"NAM")</f>
        <v>NAM</v>
      </c>
      <c r="D233" s="16" t="str">
        <f>IFERROR(__xludf.DUMMYFUNCTION("""COMPUTED_VALUE"""),"Aaron Shaw")</f>
        <v>Aaron Shaw</v>
      </c>
      <c r="E233" s="16" t="str">
        <f>IFERROR(__xludf.DUMMYFUNCTION("""COMPUTED_VALUE"""),"United States")</f>
        <v>United States</v>
      </c>
      <c r="F233" s="16" t="str">
        <f>IFERROR(__xludf.DUMMYFUNCTION("""COMPUTED_VALUE"""),"ClaimCenter")</f>
        <v>ClaimCenter</v>
      </c>
      <c r="G233" s="13">
        <f>IFERROR(__xludf.DUMMYFUNCTION("""COMPUTED_VALUE"""),44426.0)</f>
        <v>44426</v>
      </c>
      <c r="H233" s="13">
        <f>IFERROR(__xludf.DUMMYFUNCTION("""COMPUTED_VALUE"""),45155.0)</f>
        <v>45155</v>
      </c>
      <c r="I233" s="13">
        <f>IFERROR(__xludf.DUMMYFUNCTION("""COMPUTED_VALUE"""),44426.0)</f>
        <v>44426</v>
      </c>
      <c r="J233" s="16"/>
      <c r="K233" s="16"/>
      <c r="L233" s="16" t="str">
        <f>IFERROR(__xludf.DUMMYFUNCTION("""COMPUTED_VALUE"""),"Low")</f>
        <v>Low</v>
      </c>
      <c r="M233" s="16" t="str">
        <f>IFERROR(__xludf.DUMMYFUNCTION("""COMPUTED_VALUE"""),"PartnerConnect  Technology")</f>
        <v>PartnerConnect  Technology</v>
      </c>
      <c r="N233" s="16" t="str">
        <f>IFERROR(__xludf.DUMMYFUNCTION("""COMPUTED_VALUE"""),"FY21 - Q1")</f>
        <v>FY21 - Q1</v>
      </c>
      <c r="O233" s="16">
        <f>IFERROR(__xludf.DUMMYFUNCTION("""COMPUTED_VALUE"""),0.0)</f>
        <v>0</v>
      </c>
      <c r="P233" s="16">
        <f>IFERROR(__xludf.DUMMYFUNCTION("""COMPUTED_VALUE"""),0.0)</f>
        <v>0</v>
      </c>
      <c r="Q233" s="16">
        <f>IFERROR(__xludf.DUMMYFUNCTION("""COMPUTED_VALUE"""),0.0)</f>
        <v>0</v>
      </c>
      <c r="R233" s="16">
        <f>IFERROR(__xludf.DUMMYFUNCTION("""COMPUTED_VALUE"""),0.0)</f>
        <v>0</v>
      </c>
      <c r="S233" s="16">
        <f>IFERROR(__xludf.DUMMYFUNCTION("""COMPUTED_VALUE"""),0.0)</f>
        <v>0</v>
      </c>
      <c r="T233" s="16">
        <f>IFERROR(__xludf.DUMMYFUNCTION("""COMPUTED_VALUE"""),0.0)</f>
        <v>0</v>
      </c>
      <c r="U233" s="16">
        <f>IFERROR(__xludf.DUMMYFUNCTION("""COMPUTED_VALUE"""),0.0)</f>
        <v>0</v>
      </c>
      <c r="V233" s="16">
        <f>IFERROR(__xludf.DUMMYFUNCTION("""COMPUTED_VALUE"""),0.0)</f>
        <v>0</v>
      </c>
      <c r="W233" s="16"/>
      <c r="X233" s="16" t="b">
        <f>IFERROR(__xludf.DUMMYFUNCTION("""COMPUTED_VALUE"""),FALSE)</f>
        <v>0</v>
      </c>
      <c r="Y233" s="16"/>
      <c r="Z233" s="16"/>
    </row>
    <row r="234">
      <c r="A234" s="16" t="str">
        <f>IFERROR(__xludf.DUMMYFUNCTION("""COMPUTED_VALUE"""),"Whatfix Inc.")</f>
        <v>Whatfix Inc.</v>
      </c>
      <c r="B234" s="16" t="str">
        <f>IFERROR(__xludf.DUMMYFUNCTION("""COMPUTED_VALUE"""),"Premier")</f>
        <v>Premier</v>
      </c>
      <c r="C234" s="16" t="str">
        <f>IFERROR(__xludf.DUMMYFUNCTION("""COMPUTED_VALUE"""),"APAC, EMEA, NAM")</f>
        <v>APAC, EMEA, NAM</v>
      </c>
      <c r="D234" s="16" t="str">
        <f>IFERROR(__xludf.DUMMYFUNCTION("""COMPUTED_VALUE"""),"Tim Kennedy")</f>
        <v>Tim Kennedy</v>
      </c>
      <c r="E234" s="16" t="str">
        <f>IFERROR(__xludf.DUMMYFUNCTION("""COMPUTED_VALUE"""),"United States")</f>
        <v>United States</v>
      </c>
      <c r="F234" s="16" t="str">
        <f>IFERROR(__xludf.DUMMYFUNCTION("""COMPUTED_VALUE"""),"ClaimCenter, PolicyCenter")</f>
        <v>ClaimCenter, PolicyCenter</v>
      </c>
      <c r="G234" s="13">
        <f>IFERROR(__xludf.DUMMYFUNCTION("""COMPUTED_VALUE"""),44280.0)</f>
        <v>44280</v>
      </c>
      <c r="H234" s="13">
        <f>IFERROR(__xludf.DUMMYFUNCTION("""COMPUTED_VALUE"""),45009.0)</f>
        <v>45009</v>
      </c>
      <c r="I234" s="13">
        <f>IFERROR(__xludf.DUMMYFUNCTION("""COMPUTED_VALUE"""),44280.0)</f>
        <v>44280</v>
      </c>
      <c r="J234" s="16"/>
      <c r="K234" s="13">
        <f>IFERROR(__xludf.DUMMYFUNCTION("""COMPUTED_VALUE"""),44532.0)</f>
        <v>44532</v>
      </c>
      <c r="L234" s="16" t="str">
        <f>IFERROR(__xludf.DUMMYFUNCTION("""COMPUTED_VALUE"""),"High")</f>
        <v>High</v>
      </c>
      <c r="M234" s="16" t="str">
        <f>IFERROR(__xludf.DUMMYFUNCTION("""COMPUTED_VALUE"""),"PartnerConnect  Technology")</f>
        <v>PartnerConnect  Technology</v>
      </c>
      <c r="N234" s="16" t="str">
        <f>IFERROR(__xludf.DUMMYFUNCTION("""COMPUTED_VALUE"""),"FY21 - Q2")</f>
        <v>FY21 - Q2</v>
      </c>
      <c r="O234" s="16">
        <f>IFERROR(__xludf.DUMMYFUNCTION("""COMPUTED_VALUE"""),4.0)</f>
        <v>4</v>
      </c>
      <c r="P234" s="16">
        <f>IFERROR(__xludf.DUMMYFUNCTION("""COMPUTED_VALUE"""),4.0)</f>
        <v>4</v>
      </c>
      <c r="Q234" s="16">
        <f>IFERROR(__xludf.DUMMYFUNCTION("""COMPUTED_VALUE"""),114.0)</f>
        <v>114</v>
      </c>
      <c r="R234" s="16">
        <f>IFERROR(__xludf.DUMMYFUNCTION("""COMPUTED_VALUE"""),59.0)</f>
        <v>59</v>
      </c>
      <c r="S234" s="16">
        <f>IFERROR(__xludf.DUMMYFUNCTION("""COMPUTED_VALUE"""),78279.0)</f>
        <v>78279</v>
      </c>
      <c r="T234" s="16">
        <f>IFERROR(__xludf.DUMMYFUNCTION("""COMPUTED_VALUE"""),35.0)</f>
        <v>35</v>
      </c>
      <c r="U234" s="16">
        <f>IFERROR(__xludf.DUMMYFUNCTION("""COMPUTED_VALUE"""),40.0)</f>
        <v>40</v>
      </c>
      <c r="V234" s="16">
        <f>IFERROR(__xludf.DUMMYFUNCTION("""COMPUTED_VALUE"""),40.0)</f>
        <v>40</v>
      </c>
      <c r="W234" s="16"/>
      <c r="X234" s="16" t="b">
        <f>IFERROR(__xludf.DUMMYFUNCTION("""COMPUTED_VALUE"""),FALSE)</f>
        <v>0</v>
      </c>
      <c r="Y234" s="16"/>
      <c r="Z234" s="16"/>
    </row>
    <row r="235">
      <c r="A235" s="16" t="str">
        <f>IFERROR(__xludf.DUMMYFUNCTION("""COMPUTED_VALUE"""),"Wilbur Solutions Pty Ltd")</f>
        <v>Wilbur Solutions Pty Ltd</v>
      </c>
      <c r="B235" s="16" t="str">
        <f>IFERROR(__xludf.DUMMYFUNCTION("""COMPUTED_VALUE"""),"Growth")</f>
        <v>Growth</v>
      </c>
      <c r="C235" s="16" t="str">
        <f>IFERROR(__xludf.DUMMYFUNCTION("""COMPUTED_VALUE"""),"APAC, EMEA, NAM")</f>
        <v>APAC, EMEA, NAM</v>
      </c>
      <c r="D235" s="16" t="str">
        <f>IFERROR(__xludf.DUMMYFUNCTION("""COMPUTED_VALUE"""),"Rod Gowin")</f>
        <v>Rod Gowin</v>
      </c>
      <c r="E235" s="16" t="str">
        <f>IFERROR(__xludf.DUMMYFUNCTION("""COMPUTED_VALUE"""),"Australia New Zealand, Austria, Benelux, Canada, Croatia, Czech Republic, Denmark, Finland, France, Germany, Hungary, Ireland, Italy, Norway, Poland, Spain, Sweden, Switzerland, UK, United States, Australia New Zealand,Austria,Benelux,Canada,Croatia,Czech"&amp;" Republic,Denmark,Finland,France,Germany,Hungary,India,Ireland,Israel,Italy,Japan,Norway,Poland,Russia,Slovakia,South America,Spain,Sweden,Switzerland,Turkey,UK,United States, Japan, South Africa")</f>
        <v>Australia New Zealand, Austria, Benelux, Canada, Croatia, Czech Republic, Denmark, Finland, France, Germany, Hungary, Ireland, Italy, Norway, Poland, Spain, Sweden, Switzerland, UK, United States, Australia New Zealand,Austria,Benelux,Canada,Croatia,Czech Republic,Denmark,Finland,France,Germany,Hungary,India,Ireland,Israel,Italy,Japan,Norway,Poland,Russia,Slovakia,South America,Spain,Sweden,Switzerland,Turkey,UK,United States, Japan, South Africa</v>
      </c>
      <c r="F235" s="16" t="str">
        <f>IFERROR(__xludf.DUMMYFUNCTION("""COMPUTED_VALUE"""),"ClaimCenter")</f>
        <v>ClaimCenter</v>
      </c>
      <c r="G235" s="13">
        <f>IFERROR(__xludf.DUMMYFUNCTION("""COMPUTED_VALUE"""),43322.0)</f>
        <v>43322</v>
      </c>
      <c r="H235" s="13">
        <f>IFERROR(__xludf.DUMMYFUNCTION("""COMPUTED_VALUE"""),44053.0)</f>
        <v>44053</v>
      </c>
      <c r="I235" s="13">
        <f>IFERROR(__xludf.DUMMYFUNCTION("""COMPUTED_VALUE"""),43483.0)</f>
        <v>43483</v>
      </c>
      <c r="J235" s="16"/>
      <c r="K235" s="13">
        <f>IFERROR(__xludf.DUMMYFUNCTION("""COMPUTED_VALUE"""),43640.0)</f>
        <v>43640</v>
      </c>
      <c r="L235" s="16" t="str">
        <f>IFERROR(__xludf.DUMMYFUNCTION("""COMPUTED_VALUE"""),"Medium")</f>
        <v>Medium</v>
      </c>
      <c r="M235" s="16" t="str">
        <f>IFERROR(__xludf.DUMMYFUNCTION("""COMPUTED_VALUE"""),"PartnerConnect  Technology")</f>
        <v>PartnerConnect  Technology</v>
      </c>
      <c r="N235" s="16" t="str">
        <f>IFERROR(__xludf.DUMMYFUNCTION("""COMPUTED_VALUE"""),"FY18 - Q1")</f>
        <v>FY18 - Q1</v>
      </c>
      <c r="O235" s="16">
        <f>IFERROR(__xludf.DUMMYFUNCTION("""COMPUTED_VALUE"""),2.0)</f>
        <v>2</v>
      </c>
      <c r="P235" s="16">
        <f>IFERROR(__xludf.DUMMYFUNCTION("""COMPUTED_VALUE"""),2.0)</f>
        <v>2</v>
      </c>
      <c r="Q235" s="16">
        <f>IFERROR(__xludf.DUMMYFUNCTION("""COMPUTED_VALUE"""),11.0)</f>
        <v>11</v>
      </c>
      <c r="R235" s="16">
        <f>IFERROR(__xludf.DUMMYFUNCTION("""COMPUTED_VALUE"""),11.0)</f>
        <v>11</v>
      </c>
      <c r="S235" s="16">
        <f>IFERROR(__xludf.DUMMYFUNCTION("""COMPUTED_VALUE"""),1452.0)</f>
        <v>1452</v>
      </c>
      <c r="T235" s="16">
        <f>IFERROR(__xludf.DUMMYFUNCTION("""COMPUTED_VALUE"""),6.0)</f>
        <v>6</v>
      </c>
      <c r="U235" s="16">
        <f>IFERROR(__xludf.DUMMYFUNCTION("""COMPUTED_VALUE"""),11.0)</f>
        <v>11</v>
      </c>
      <c r="V235" s="16">
        <f>IFERROR(__xludf.DUMMYFUNCTION("""COMPUTED_VALUE"""),11.0)</f>
        <v>11</v>
      </c>
      <c r="W235" s="16"/>
      <c r="X235" s="16" t="b">
        <f>IFERROR(__xludf.DUMMYFUNCTION("""COMPUTED_VALUE"""),FALSE)</f>
        <v>0</v>
      </c>
      <c r="Y235" s="16"/>
      <c r="Z235" s="16"/>
    </row>
    <row r="236">
      <c r="A236" s="16" t="str">
        <f>IFERROR(__xludf.DUMMYFUNCTION("""COMPUTED_VALUE"""),"WTW")</f>
        <v>WTW</v>
      </c>
      <c r="B236" s="16" t="str">
        <f>IFERROR(__xludf.DUMMYFUNCTION("""COMPUTED_VALUE"""),"Growth")</f>
        <v>Growth</v>
      </c>
      <c r="C236" s="16" t="str">
        <f>IFERROR(__xludf.DUMMYFUNCTION("""COMPUTED_VALUE"""),"APAC, EMEA, NAM, LatAm")</f>
        <v>APAC, EMEA, NAM, LatAm</v>
      </c>
      <c r="D236" s="16" t="str">
        <f>IFERROR(__xludf.DUMMYFUNCTION("""COMPUTED_VALUE"""),"Tim Kennedy")</f>
        <v>Tim Kennedy</v>
      </c>
      <c r="E236" s="16" t="str">
        <f>IFERROR(__xludf.DUMMYFUNCTION("""COMPUTED_VALUE"""),"Austria, Benelux, Canada, Denmark, Finland, France, Germany, Ireland, Italy, Spain, Sweden, Switzerland, UK, South Africa")</f>
        <v>Austria, Benelux, Canada, Denmark, Finland, France, Germany, Ireland, Italy, Spain, Sweden, Switzerland, UK, South Africa</v>
      </c>
      <c r="F236" s="16" t="str">
        <f>IFERROR(__xludf.DUMMYFUNCTION("""COMPUTED_VALUE"""),"PolicyCenter")</f>
        <v>PolicyCenter</v>
      </c>
      <c r="G236" s="13">
        <f>IFERROR(__xludf.DUMMYFUNCTION("""COMPUTED_VALUE"""),45232.0)</f>
        <v>45232</v>
      </c>
      <c r="H236" s="16"/>
      <c r="I236" s="13">
        <f>IFERROR(__xludf.DUMMYFUNCTION("""COMPUTED_VALUE"""),45293.0)</f>
        <v>45293</v>
      </c>
      <c r="J236" s="16"/>
      <c r="K236" s="13">
        <f>IFERROR(__xludf.DUMMYFUNCTION("""COMPUTED_VALUE"""),45639.0)</f>
        <v>45639</v>
      </c>
      <c r="L236" s="16" t="str">
        <f>IFERROR(__xludf.DUMMYFUNCTION("""COMPUTED_VALUE"""),"High")</f>
        <v>High</v>
      </c>
      <c r="M236" s="16" t="str">
        <f>IFERROR(__xludf.DUMMYFUNCTION("""COMPUTED_VALUE"""),"PartnerConnect  Technology")</f>
        <v>PartnerConnect  Technology</v>
      </c>
      <c r="N236" s="16" t="str">
        <f>IFERROR(__xludf.DUMMYFUNCTION("""COMPUTED_VALUE"""),"FY23 - Q2")</f>
        <v>FY23 - Q2</v>
      </c>
      <c r="O236" s="16">
        <f>IFERROR(__xludf.DUMMYFUNCTION("""COMPUTED_VALUE"""),2.0)</f>
        <v>2</v>
      </c>
      <c r="P236" s="16">
        <f>IFERROR(__xludf.DUMMYFUNCTION("""COMPUTED_VALUE"""),2.0)</f>
        <v>2</v>
      </c>
      <c r="Q236" s="16">
        <f>IFERROR(__xludf.DUMMYFUNCTION("""COMPUTED_VALUE"""),15.0)</f>
        <v>15</v>
      </c>
      <c r="R236" s="16">
        <f>IFERROR(__xludf.DUMMYFUNCTION("""COMPUTED_VALUE"""),15.0)</f>
        <v>15</v>
      </c>
      <c r="S236" s="16">
        <f>IFERROR(__xludf.DUMMYFUNCTION("""COMPUTED_VALUE"""),36307.0)</f>
        <v>36307</v>
      </c>
      <c r="T236" s="16">
        <f>IFERROR(__xludf.DUMMYFUNCTION("""COMPUTED_VALUE"""),9.0)</f>
        <v>9</v>
      </c>
      <c r="U236" s="16">
        <f>IFERROR(__xludf.DUMMYFUNCTION("""COMPUTED_VALUE"""),15.0)</f>
        <v>15</v>
      </c>
      <c r="V236" s="16">
        <f>IFERROR(__xludf.DUMMYFUNCTION("""COMPUTED_VALUE"""),15.0)</f>
        <v>15</v>
      </c>
      <c r="W236" s="16"/>
      <c r="X236" s="16" t="b">
        <f>IFERROR(__xludf.DUMMYFUNCTION("""COMPUTED_VALUE"""),FALSE)</f>
        <v>0</v>
      </c>
      <c r="Y236" s="16"/>
      <c r="Z236" s="16"/>
    </row>
    <row r="237">
      <c r="A237" s="16" t="str">
        <f>IFERROR(__xludf.DUMMYFUNCTION("""COMPUTED_VALUE"""),"Yarowa AG")</f>
        <v>Yarowa AG</v>
      </c>
      <c r="B237" s="16" t="str">
        <f>IFERROR(__xludf.DUMMYFUNCTION("""COMPUTED_VALUE"""),"Growth")</f>
        <v>Growth</v>
      </c>
      <c r="C237" s="16" t="str">
        <f>IFERROR(__xludf.DUMMYFUNCTION("""COMPUTED_VALUE"""),"EMEA")</f>
        <v>EMEA</v>
      </c>
      <c r="D237" s="16" t="str">
        <f>IFERROR(__xludf.DUMMYFUNCTION("""COMPUTED_VALUE"""),"Vivienne Hoary")</f>
        <v>Vivienne Hoary</v>
      </c>
      <c r="E237" s="16" t="str">
        <f>IFERROR(__xludf.DUMMYFUNCTION("""COMPUTED_VALUE"""),"Switzerland")</f>
        <v>Switzerland</v>
      </c>
      <c r="F237" s="16" t="str">
        <f>IFERROR(__xludf.DUMMYFUNCTION("""COMPUTED_VALUE"""),"ClaimCenter")</f>
        <v>ClaimCenter</v>
      </c>
      <c r="G237" s="13">
        <f>IFERROR(__xludf.DUMMYFUNCTION("""COMPUTED_VALUE"""),44890.0)</f>
        <v>44890</v>
      </c>
      <c r="H237" s="13">
        <f>IFERROR(__xludf.DUMMYFUNCTION("""COMPUTED_VALUE"""),45620.0)</f>
        <v>45620</v>
      </c>
      <c r="I237" s="13">
        <f>IFERROR(__xludf.DUMMYFUNCTION("""COMPUTED_VALUE"""),44890.0)</f>
        <v>44890</v>
      </c>
      <c r="J237" s="16"/>
      <c r="K237" s="16"/>
      <c r="L237" s="16" t="str">
        <f>IFERROR(__xludf.DUMMYFUNCTION("""COMPUTED_VALUE"""),"Medium")</f>
        <v>Medium</v>
      </c>
      <c r="M237" s="16" t="str">
        <f>IFERROR(__xludf.DUMMYFUNCTION("""COMPUTED_VALUE"""),"PartnerConnect  Technology")</f>
        <v>PartnerConnect  Technology</v>
      </c>
      <c r="N237" s="16" t="str">
        <f>IFERROR(__xludf.DUMMYFUNCTION("""COMPUTED_VALUE"""),"FY22 - Q2")</f>
        <v>FY22 - Q2</v>
      </c>
      <c r="O237" s="16">
        <f>IFERROR(__xludf.DUMMYFUNCTION("""COMPUTED_VALUE"""),1.0)</f>
        <v>1</v>
      </c>
      <c r="P237" s="16">
        <f>IFERROR(__xludf.DUMMYFUNCTION("""COMPUTED_VALUE"""),1.0)</f>
        <v>1</v>
      </c>
      <c r="Q237" s="16">
        <f>IFERROR(__xludf.DUMMYFUNCTION("""COMPUTED_VALUE"""),0.0)</f>
        <v>0</v>
      </c>
      <c r="R237" s="16">
        <f>IFERROR(__xludf.DUMMYFUNCTION("""COMPUTED_VALUE"""),0.0)</f>
        <v>0</v>
      </c>
      <c r="S237" s="16">
        <f>IFERROR(__xludf.DUMMYFUNCTION("""COMPUTED_VALUE"""),0.0)</f>
        <v>0</v>
      </c>
      <c r="T237" s="16">
        <f>IFERROR(__xludf.DUMMYFUNCTION("""COMPUTED_VALUE"""),0.0)</f>
        <v>0</v>
      </c>
      <c r="U237" s="16">
        <f>IFERROR(__xludf.DUMMYFUNCTION("""COMPUTED_VALUE"""),0.0)</f>
        <v>0</v>
      </c>
      <c r="V237" s="16">
        <f>IFERROR(__xludf.DUMMYFUNCTION("""COMPUTED_VALUE"""),0.0)</f>
        <v>0</v>
      </c>
      <c r="W237" s="16"/>
      <c r="X237" s="16" t="b">
        <f>IFERROR(__xludf.DUMMYFUNCTION("""COMPUTED_VALUE"""),FALSE)</f>
        <v>0</v>
      </c>
      <c r="Y237" s="16"/>
      <c r="Z237" s="16"/>
    </row>
    <row r="238">
      <c r="A238" s="16" t="str">
        <f>IFERROR(__xludf.DUMMYFUNCTION("""COMPUTED_VALUE"""),"Zelros")</f>
        <v>Zelros</v>
      </c>
      <c r="B238" s="16" t="str">
        <f>IFERROR(__xludf.DUMMYFUNCTION("""COMPUTED_VALUE"""),"Growth")</f>
        <v>Growth</v>
      </c>
      <c r="C238" s="16" t="str">
        <f>IFERROR(__xludf.DUMMYFUNCTION("""COMPUTED_VALUE"""),"EMEA")</f>
        <v>EMEA</v>
      </c>
      <c r="D238" s="16" t="str">
        <f>IFERROR(__xludf.DUMMYFUNCTION("""COMPUTED_VALUE"""),"Tim Kennedy")</f>
        <v>Tim Kennedy</v>
      </c>
      <c r="E238" s="16" t="str">
        <f>IFERROR(__xludf.DUMMYFUNCTION("""COMPUTED_VALUE"""),"Austria, Canada, France, Germany, UK, United States")</f>
        <v>Austria, Canada, France, Germany, UK, United States</v>
      </c>
      <c r="F238" s="16" t="str">
        <f>IFERROR(__xludf.DUMMYFUNCTION("""COMPUTED_VALUE"""),"ClaimCenter")</f>
        <v>ClaimCenter</v>
      </c>
      <c r="G238" s="13">
        <f>IFERROR(__xludf.DUMMYFUNCTION("""COMPUTED_VALUE"""),44449.0)</f>
        <v>44449</v>
      </c>
      <c r="H238" s="13">
        <f>IFERROR(__xludf.DUMMYFUNCTION("""COMPUTED_VALUE"""),45178.0)</f>
        <v>45178</v>
      </c>
      <c r="I238" s="13">
        <f>IFERROR(__xludf.DUMMYFUNCTION("""COMPUTED_VALUE"""),44461.0)</f>
        <v>44461</v>
      </c>
      <c r="J238" s="16"/>
      <c r="K238" s="13">
        <f>IFERROR(__xludf.DUMMYFUNCTION("""COMPUTED_VALUE"""),44662.0)</f>
        <v>44662</v>
      </c>
      <c r="L238" s="16" t="str">
        <f>IFERROR(__xludf.DUMMYFUNCTION("""COMPUTED_VALUE"""),"Medium")</f>
        <v>Medium</v>
      </c>
      <c r="M238" s="16" t="str">
        <f>IFERROR(__xludf.DUMMYFUNCTION("""COMPUTED_VALUE"""),"PartnerConnect  Technology")</f>
        <v>PartnerConnect  Technology</v>
      </c>
      <c r="N238" s="16" t="str">
        <f>IFERROR(__xludf.DUMMYFUNCTION("""COMPUTED_VALUE"""),"FY21 - Q1")</f>
        <v>FY21 - Q1</v>
      </c>
      <c r="O238" s="16">
        <f>IFERROR(__xludf.DUMMYFUNCTION("""COMPUTED_VALUE"""),1.0)</f>
        <v>1</v>
      </c>
      <c r="P238" s="16">
        <f>IFERROR(__xludf.DUMMYFUNCTION("""COMPUTED_VALUE"""),1.0)</f>
        <v>1</v>
      </c>
      <c r="Q238" s="16">
        <f>IFERROR(__xludf.DUMMYFUNCTION("""COMPUTED_VALUE"""),4.0)</f>
        <v>4</v>
      </c>
      <c r="R238" s="16">
        <f>IFERROR(__xludf.DUMMYFUNCTION("""COMPUTED_VALUE"""),0.0)</f>
        <v>0</v>
      </c>
      <c r="S238" s="16">
        <f>IFERROR(__xludf.DUMMYFUNCTION("""COMPUTED_VALUE"""),14585.0)</f>
        <v>14585</v>
      </c>
      <c r="T238" s="16">
        <f>IFERROR(__xludf.DUMMYFUNCTION("""COMPUTED_VALUE"""),3.0)</f>
        <v>3</v>
      </c>
      <c r="U238" s="16">
        <f>IFERROR(__xludf.DUMMYFUNCTION("""COMPUTED_VALUE"""),0.0)</f>
        <v>0</v>
      </c>
      <c r="V238" s="16">
        <f>IFERROR(__xludf.DUMMYFUNCTION("""COMPUTED_VALUE"""),0.0)</f>
        <v>0</v>
      </c>
      <c r="W238" s="16"/>
      <c r="X238" s="16" t="b">
        <f>IFERROR(__xludf.DUMMYFUNCTION("""COMPUTED_VALUE"""),FALSE)</f>
        <v>0</v>
      </c>
      <c r="Y238" s="16"/>
      <c r="Z238" s="16"/>
    </row>
    <row r="239">
      <c r="A239" s="16" t="str">
        <f>IFERROR(__xludf.DUMMYFUNCTION("""COMPUTED_VALUE"""),"Zesty.ai, Inc.")</f>
        <v>Zesty.ai, Inc.</v>
      </c>
      <c r="B239" s="16" t="str">
        <f>IFERROR(__xludf.DUMMYFUNCTION("""COMPUTED_VALUE"""),"Growth")</f>
        <v>Growth</v>
      </c>
      <c r="C239" s="16" t="str">
        <f>IFERROR(__xludf.DUMMYFUNCTION("""COMPUTED_VALUE"""),"NAM")</f>
        <v>NAM</v>
      </c>
      <c r="D239" s="16" t="str">
        <f>IFERROR(__xludf.DUMMYFUNCTION("""COMPUTED_VALUE"""),"Tim Kennedy")</f>
        <v>Tim Kennedy</v>
      </c>
      <c r="E239" s="16" t="str">
        <f>IFERROR(__xludf.DUMMYFUNCTION("""COMPUTED_VALUE"""),"United States")</f>
        <v>United States</v>
      </c>
      <c r="F239" s="16" t="str">
        <f>IFERROR(__xludf.DUMMYFUNCTION("""COMPUTED_VALUE"""),"PolicyCenter")</f>
        <v>PolicyCenter</v>
      </c>
      <c r="G239" s="13">
        <f>IFERROR(__xludf.DUMMYFUNCTION("""COMPUTED_VALUE"""),44965.0)</f>
        <v>44965</v>
      </c>
      <c r="H239" s="13">
        <f>IFERROR(__xludf.DUMMYFUNCTION("""COMPUTED_VALUE"""),45695.0)</f>
        <v>45695</v>
      </c>
      <c r="I239" s="13">
        <f>IFERROR(__xludf.DUMMYFUNCTION("""COMPUTED_VALUE"""),44965.0)</f>
        <v>44965</v>
      </c>
      <c r="J239" s="16"/>
      <c r="K239" s="16"/>
      <c r="L239" s="16" t="str">
        <f>IFERROR(__xludf.DUMMYFUNCTION("""COMPUTED_VALUE"""),"Medium")</f>
        <v>Medium</v>
      </c>
      <c r="M239" s="16" t="str">
        <f>IFERROR(__xludf.DUMMYFUNCTION("""COMPUTED_VALUE"""),"PartnerConnect  Technology")</f>
        <v>PartnerConnect  Technology</v>
      </c>
      <c r="N239" s="16" t="str">
        <f>IFERROR(__xludf.DUMMYFUNCTION("""COMPUTED_VALUE"""),"FY23 - Q2")</f>
        <v>FY23 - Q2</v>
      </c>
      <c r="O239" s="16">
        <f>IFERROR(__xludf.DUMMYFUNCTION("""COMPUTED_VALUE"""),0.0)</f>
        <v>0</v>
      </c>
      <c r="P239" s="16">
        <f>IFERROR(__xludf.DUMMYFUNCTION("""COMPUTED_VALUE"""),0.0)</f>
        <v>0</v>
      </c>
      <c r="Q239" s="16">
        <f>IFERROR(__xludf.DUMMYFUNCTION("""COMPUTED_VALUE"""),0.0)</f>
        <v>0</v>
      </c>
      <c r="R239" s="16">
        <f>IFERROR(__xludf.DUMMYFUNCTION("""COMPUTED_VALUE"""),0.0)</f>
        <v>0</v>
      </c>
      <c r="S239" s="16">
        <f>IFERROR(__xludf.DUMMYFUNCTION("""COMPUTED_VALUE"""),0.0)</f>
        <v>0</v>
      </c>
      <c r="T239" s="16">
        <f>IFERROR(__xludf.DUMMYFUNCTION("""COMPUTED_VALUE"""),0.0)</f>
        <v>0</v>
      </c>
      <c r="U239" s="16">
        <f>IFERROR(__xludf.DUMMYFUNCTION("""COMPUTED_VALUE"""),0.0)</f>
        <v>0</v>
      </c>
      <c r="V239" s="16">
        <f>IFERROR(__xludf.DUMMYFUNCTION("""COMPUTED_VALUE"""),0.0)</f>
        <v>0</v>
      </c>
      <c r="W239" s="16"/>
      <c r="X239" s="16" t="b">
        <f>IFERROR(__xludf.DUMMYFUNCTION("""COMPUTED_VALUE"""),FALSE)</f>
        <v>0</v>
      </c>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t="str">
        <f>IFERROR(__xludf.DUMMYFUNCTION("""COMPUTED_VALUE"""),"")</f>
        <v/>
      </c>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t="str">
        <f>IFERROR(__xludf.DUMMYFUNCTION("""COMPUTED_VALUE"""),"")</f>
        <v/>
      </c>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t="str">
        <f>IFERROR(__xludf.DUMMYFUNCTION("""COMPUTED_VALUE"""),"")</f>
        <v/>
      </c>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t="str">
        <f>IFERROR(__xludf.DUMMYFUNCTION("""COMPUTED_VALUE"""),"")</f>
        <v/>
      </c>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t="str">
        <f>IFERROR(__xludf.DUMMYFUNCTION("""COMPUTED_VALUE"""),"")</f>
        <v/>
      </c>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t="str">
        <f>IFERROR(__xludf.DUMMYFUNCTION("""COMPUTED_VALUE"""),"")</f>
        <v/>
      </c>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t="str">
        <f>IFERROR(__xludf.DUMMYFUNCTION("""COMPUTED_VALUE"""),"")</f>
        <v/>
      </c>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t="str">
        <f>IFERROR(__xludf.DUMMYFUNCTION("""COMPUTED_VALUE"""),"")</f>
        <v/>
      </c>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t="str">
        <f>IFERROR(__xludf.DUMMYFUNCTION("""COMPUTED_VALUE"""),"")</f>
        <v/>
      </c>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t="str">
        <f>IFERROR(__xludf.DUMMYFUNCTION("""COMPUTED_VALUE"""),"")</f>
        <v/>
      </c>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t="str">
        <f>IFERROR(__xludf.DUMMYFUNCTION("""COMPUTED_VALUE"""),"")</f>
        <v/>
      </c>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t="str">
        <f>IFERROR(__xludf.DUMMYFUNCTION("""COMPUTED_VALUE"""),"")</f>
        <v/>
      </c>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t="str">
        <f>IFERROR(__xludf.DUMMYFUNCTION("""COMPUTED_VALUE"""),"")</f>
        <v/>
      </c>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t="str">
        <f>IFERROR(__xludf.DUMMYFUNCTION("""COMPUTED_VALUE"""),"")</f>
        <v/>
      </c>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t="str">
        <f>IFERROR(__xludf.DUMMYFUNCTION("""COMPUTED_VALUE"""),"")</f>
        <v/>
      </c>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t="str">
        <f>IFERROR(__xludf.DUMMYFUNCTION("""COMPUTED_VALUE"""),"")</f>
        <v/>
      </c>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t="str">
        <f>IFERROR(__xludf.DUMMYFUNCTION("""COMPUTED_VALUE"""),"")</f>
        <v/>
      </c>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t="str">
        <f>IFERROR(__xludf.DUMMYFUNCTION("""COMPUTED_VALUE"""),"")</f>
        <v/>
      </c>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t="str">
        <f>IFERROR(__xludf.DUMMYFUNCTION("""COMPUTED_VALUE"""),"")</f>
        <v/>
      </c>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t="str">
        <f>IFERROR(__xludf.DUMMYFUNCTION("""COMPUTED_VALUE"""),"")</f>
        <v/>
      </c>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t="str">
        <f>IFERROR(__xludf.DUMMYFUNCTION("""COMPUTED_VALUE"""),"")</f>
        <v/>
      </c>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t="str">
        <f>IFERROR(__xludf.DUMMYFUNCTION("""COMPUTED_VALUE"""),"")</f>
        <v/>
      </c>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t="str">
        <f>IFERROR(__xludf.DUMMYFUNCTION("""COMPUTED_VALUE"""),"")</f>
        <v/>
      </c>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t="str">
        <f>IFERROR(__xludf.DUMMYFUNCTION("""COMPUTED_VALUE"""),"")</f>
        <v/>
      </c>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t="str">
        <f>IFERROR(__xludf.DUMMYFUNCTION("""COMPUTED_VALUE"""),"")</f>
        <v/>
      </c>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t="str">
        <f>IFERROR(__xludf.DUMMYFUNCTION("""COMPUTED_VALUE"""),"")</f>
        <v/>
      </c>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t="str">
        <f>IFERROR(__xludf.DUMMYFUNCTION("""COMPUTED_VALUE"""),"")</f>
        <v/>
      </c>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t="str">
        <f>IFERROR(__xludf.DUMMYFUNCTION("""COMPUTED_VALUE"""),"")</f>
        <v/>
      </c>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t="str">
        <f>IFERROR(__xludf.DUMMYFUNCTION("""COMPUTED_VALUE"""),"")</f>
        <v/>
      </c>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t="str">
        <f>IFERROR(__xludf.DUMMYFUNCTION("""COMPUTED_VALUE"""),"")</f>
        <v/>
      </c>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t="str">
        <f>IFERROR(__xludf.DUMMYFUNCTION("""COMPUTED_VALUE"""),"")</f>
        <v/>
      </c>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t="str">
        <f>IFERROR(__xludf.DUMMYFUNCTION("""COMPUTED_VALUE"""),"")</f>
        <v/>
      </c>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t="str">
        <f>IFERROR(__xludf.DUMMYFUNCTION("""COMPUTED_VALUE"""),"")</f>
        <v/>
      </c>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t="str">
        <f>IFERROR(__xludf.DUMMYFUNCTION("""COMPUTED_VALUE"""),"")</f>
        <v/>
      </c>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t="str">
        <f>IFERROR(__xludf.DUMMYFUNCTION("""COMPUTED_VALUE"""),"")</f>
        <v/>
      </c>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t="str">
        <f>IFERROR(__xludf.DUMMYFUNCTION("""COMPUTED_VALUE"""),"")</f>
        <v/>
      </c>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t="str">
        <f>IFERROR(__xludf.DUMMYFUNCTION("""COMPUTED_VALUE"""),"")</f>
        <v/>
      </c>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t="str">
        <f>IFERROR(__xludf.DUMMYFUNCTION("""COMPUTED_VALUE"""),"")</f>
        <v/>
      </c>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t="str">
        <f>IFERROR(__xludf.DUMMYFUNCTION("""COMPUTED_VALUE"""),"")</f>
        <v/>
      </c>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t="str">
        <f>IFERROR(__xludf.DUMMYFUNCTION("""COMPUTED_VALUE"""),"")</f>
        <v/>
      </c>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t="str">
        <f>IFERROR(__xludf.DUMMYFUNCTION("""COMPUTED_VALUE"""),"")</f>
        <v/>
      </c>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t="str">
        <f>IFERROR(__xludf.DUMMYFUNCTION("""COMPUTED_VALUE"""),"")</f>
        <v/>
      </c>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t="str">
        <f>IFERROR(__xludf.DUMMYFUNCTION("""COMPUTED_VALUE"""),"")</f>
        <v/>
      </c>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t="str">
        <f>IFERROR(__xludf.DUMMYFUNCTION("""COMPUTED_VALUE"""),"")</f>
        <v/>
      </c>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t="str">
        <f>IFERROR(__xludf.DUMMYFUNCTION("""COMPUTED_VALUE"""),"")</f>
        <v/>
      </c>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t="str">
        <f>IFERROR(__xludf.DUMMYFUNCTION("""COMPUTED_VALUE"""),"")</f>
        <v/>
      </c>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t="str">
        <f>IFERROR(__xludf.DUMMYFUNCTION("""COMPUTED_VALUE"""),"")</f>
        <v/>
      </c>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t="str">
        <f>IFERROR(__xludf.DUMMYFUNCTION("""COMPUTED_VALUE"""),"")</f>
        <v/>
      </c>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t="str">
        <f>IFERROR(__xludf.DUMMYFUNCTION("""COMPUTED_VALUE"""),"")</f>
        <v/>
      </c>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t="str">
        <f>IFERROR(__xludf.DUMMYFUNCTION("""COMPUTED_VALUE"""),"")</f>
        <v/>
      </c>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t="str">
        <f>IFERROR(__xludf.DUMMYFUNCTION("""COMPUTED_VALUE"""),"")</f>
        <v/>
      </c>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t="str">
        <f>IFERROR(__xludf.DUMMYFUNCTION("""COMPUTED_VALUE"""),"")</f>
        <v/>
      </c>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t="str">
        <f>IFERROR(__xludf.DUMMYFUNCTION("""COMPUTED_VALUE"""),"")</f>
        <v/>
      </c>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t="str">
        <f>IFERROR(__xludf.DUMMYFUNCTION("""COMPUTED_VALUE"""),"")</f>
        <v/>
      </c>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t="str">
        <f>IFERROR(__xludf.DUMMYFUNCTION("""COMPUTED_VALUE"""),"")</f>
        <v/>
      </c>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t="str">
        <f>IFERROR(__xludf.DUMMYFUNCTION("""COMPUTED_VALUE"""),"")</f>
        <v/>
      </c>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t="str">
        <f>IFERROR(__xludf.DUMMYFUNCTION("""COMPUTED_VALUE"""),"")</f>
        <v/>
      </c>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t="str">
        <f>IFERROR(__xludf.DUMMYFUNCTION("""COMPUTED_VALUE"""),"")</f>
        <v/>
      </c>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t="str">
        <f>IFERROR(__xludf.DUMMYFUNCTION("""COMPUTED_VALUE"""),"")</f>
        <v/>
      </c>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t="str">
        <f>IFERROR(__xludf.DUMMYFUNCTION("""COMPUTED_VALUE"""),"")</f>
        <v/>
      </c>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t="str">
        <f>IFERROR(__xludf.DUMMYFUNCTION("""COMPUTED_VALUE"""),"")</f>
        <v/>
      </c>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t="str">
        <f>IFERROR(__xludf.DUMMYFUNCTION("""COMPUTED_VALUE"""),"")</f>
        <v/>
      </c>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t="str">
        <f>IFERROR(__xludf.DUMMYFUNCTION("""COMPUTED_VALUE"""),"")</f>
        <v/>
      </c>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t="str">
        <f>IFERROR(__xludf.DUMMYFUNCTION("""COMPUTED_VALUE"""),"")</f>
        <v/>
      </c>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t="str">
        <f>IFERROR(__xludf.DUMMYFUNCTION("""COMPUTED_VALUE"""),"")</f>
        <v/>
      </c>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t="str">
        <f>IFERROR(__xludf.DUMMYFUNCTION("""COMPUTED_VALUE"""),"")</f>
        <v/>
      </c>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t="str">
        <f>IFERROR(__xludf.DUMMYFUNCTION("""COMPUTED_VALUE"""),"")</f>
        <v/>
      </c>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t="str">
        <f>IFERROR(__xludf.DUMMYFUNCTION("""COMPUTED_VALUE"""),"")</f>
        <v/>
      </c>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t="str">
        <f>IFERROR(__xludf.DUMMYFUNCTION("""COMPUTED_VALUE"""),"")</f>
        <v/>
      </c>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t="str">
        <f>IFERROR(__xludf.DUMMYFUNCTION("""COMPUTED_VALUE"""),"")</f>
        <v/>
      </c>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t="str">
        <f>IFERROR(__xludf.DUMMYFUNCTION("""COMPUTED_VALUE"""),"")</f>
        <v/>
      </c>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t="str">
        <f>IFERROR(__xludf.DUMMYFUNCTION("""COMPUTED_VALUE"""),"")</f>
        <v/>
      </c>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t="str">
        <f>IFERROR(__xludf.DUMMYFUNCTION("""COMPUTED_VALUE"""),"")</f>
        <v/>
      </c>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t="str">
        <f>IFERROR(__xludf.DUMMYFUNCTION("""COMPUTED_VALUE"""),"")</f>
        <v/>
      </c>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t="str">
        <f>IFERROR(__xludf.DUMMYFUNCTION("""COMPUTED_VALUE"""),"")</f>
        <v/>
      </c>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t="str">
        <f>IFERROR(__xludf.DUMMYFUNCTION("""COMPUTED_VALUE"""),"")</f>
        <v/>
      </c>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t="str">
        <f>IFERROR(__xludf.DUMMYFUNCTION("""COMPUTED_VALUE"""),"")</f>
        <v/>
      </c>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t="str">
        <f>IFERROR(__xludf.DUMMYFUNCTION("""COMPUTED_VALUE"""),"")</f>
        <v/>
      </c>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t="str">
        <f>IFERROR(__xludf.DUMMYFUNCTION("""COMPUTED_VALUE"""),"")</f>
        <v/>
      </c>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t="str">
        <f>IFERROR(__xludf.DUMMYFUNCTION("""COMPUTED_VALUE"""),"")</f>
        <v/>
      </c>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t="str">
        <f>IFERROR(__xludf.DUMMYFUNCTION("""COMPUTED_VALUE"""),"")</f>
        <v/>
      </c>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t="str">
        <f>IFERROR(__xludf.DUMMYFUNCTION("""COMPUTED_VALUE"""),"")</f>
        <v/>
      </c>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t="str">
        <f>IFERROR(__xludf.DUMMYFUNCTION("""COMPUTED_VALUE"""),"")</f>
        <v/>
      </c>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t="str">
        <f>IFERROR(__xludf.DUMMYFUNCTION("""COMPUTED_VALUE"""),"")</f>
        <v/>
      </c>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t="str">
        <f>IFERROR(__xludf.DUMMYFUNCTION("""COMPUTED_VALUE"""),"")</f>
        <v/>
      </c>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t="str">
        <f>IFERROR(__xludf.DUMMYFUNCTION("""COMPUTED_VALUE"""),"")</f>
        <v/>
      </c>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t="str">
        <f>IFERROR(__xludf.DUMMYFUNCTION("""COMPUTED_VALUE"""),"")</f>
        <v/>
      </c>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t="str">
        <f>IFERROR(__xludf.DUMMYFUNCTION("""COMPUTED_VALUE"""),"")</f>
        <v/>
      </c>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t="str">
        <f>IFERROR(__xludf.DUMMYFUNCTION("""COMPUTED_VALUE"""),"")</f>
        <v/>
      </c>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t="str">
        <f>IFERROR(__xludf.DUMMYFUNCTION("""COMPUTED_VALUE"""),"")</f>
        <v/>
      </c>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t="str">
        <f>IFERROR(__xludf.DUMMYFUNCTION("""COMPUTED_VALUE"""),"")</f>
        <v/>
      </c>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t="str">
        <f>IFERROR(__xludf.DUMMYFUNCTION("""COMPUTED_VALUE"""),"")</f>
        <v/>
      </c>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t="str">
        <f>IFERROR(__xludf.DUMMYFUNCTION("""COMPUTED_VALUE"""),"")</f>
        <v/>
      </c>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t="str">
        <f>IFERROR(__xludf.DUMMYFUNCTION("""COMPUTED_VALUE"""),"")</f>
        <v/>
      </c>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t="str">
        <f>IFERROR(__xludf.DUMMYFUNCTION("""COMPUTED_VALUE"""),"")</f>
        <v/>
      </c>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t="str">
        <f>IFERROR(__xludf.DUMMYFUNCTION("""COMPUTED_VALUE"""),"")</f>
        <v/>
      </c>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t="str">
        <f>IFERROR(__xludf.DUMMYFUNCTION("""COMPUTED_VALUE"""),"")</f>
        <v/>
      </c>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t="str">
        <f>IFERROR(__xludf.DUMMYFUNCTION("""COMPUTED_VALUE"""),"")</f>
        <v/>
      </c>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t="str">
        <f>IFERROR(__xludf.DUMMYFUNCTION("""COMPUTED_VALUE"""),"")</f>
        <v/>
      </c>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t="str">
        <f>IFERROR(__xludf.DUMMYFUNCTION("""COMPUTED_VALUE"""),"")</f>
        <v/>
      </c>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t="str">
        <f>IFERROR(__xludf.DUMMYFUNCTION("""COMPUTED_VALUE"""),"")</f>
        <v/>
      </c>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t="str">
        <f>IFERROR(__xludf.DUMMYFUNCTION("""COMPUTED_VALUE"""),"")</f>
        <v/>
      </c>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t="str">
        <f>IFERROR(__xludf.DUMMYFUNCTION("""COMPUTED_VALUE"""),"")</f>
        <v/>
      </c>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t="str">
        <f>IFERROR(__xludf.DUMMYFUNCTION("""COMPUTED_VALUE"""),"")</f>
        <v/>
      </c>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t="str">
        <f>IFERROR(__xludf.DUMMYFUNCTION("""COMPUTED_VALUE"""),"")</f>
        <v/>
      </c>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t="str">
        <f>IFERROR(__xludf.DUMMYFUNCTION("""COMPUTED_VALUE"""),"")</f>
        <v/>
      </c>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t="str">
        <f>IFERROR(__xludf.DUMMYFUNCTION("""COMPUTED_VALUE"""),"")</f>
        <v/>
      </c>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t="str">
        <f>IFERROR(__xludf.DUMMYFUNCTION("""COMPUTED_VALUE"""),"")</f>
        <v/>
      </c>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t="str">
        <f>IFERROR(__xludf.DUMMYFUNCTION("""COMPUTED_VALUE"""),"")</f>
        <v/>
      </c>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t="str">
        <f>IFERROR(__xludf.DUMMYFUNCTION("""COMPUTED_VALUE"""),"")</f>
        <v/>
      </c>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t="str">
        <f>IFERROR(__xludf.DUMMYFUNCTION("""COMPUTED_VALUE"""),"")</f>
        <v/>
      </c>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t="str">
        <f>IFERROR(__xludf.DUMMYFUNCTION("""COMPUTED_VALUE"""),"")</f>
        <v/>
      </c>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t="str">
        <f>IFERROR(__xludf.DUMMYFUNCTION("""COMPUTED_VALUE"""),"")</f>
        <v/>
      </c>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t="str">
        <f>IFERROR(__xludf.DUMMYFUNCTION("""COMPUTED_VALUE"""),"")</f>
        <v/>
      </c>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t="str">
        <f>IFERROR(__xludf.DUMMYFUNCTION("""COMPUTED_VALUE"""),"")</f>
        <v/>
      </c>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t="str">
        <f>IFERROR(__xludf.DUMMYFUNCTION("""COMPUTED_VALUE"""),"")</f>
        <v/>
      </c>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t="str">
        <f>IFERROR(__xludf.DUMMYFUNCTION("""COMPUTED_VALUE"""),"")</f>
        <v/>
      </c>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t="str">
        <f>IFERROR(__xludf.DUMMYFUNCTION("""COMPUTED_VALUE"""),"")</f>
        <v/>
      </c>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t="str">
        <f>IFERROR(__xludf.DUMMYFUNCTION("""COMPUTED_VALUE"""),"")</f>
        <v/>
      </c>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t="str">
        <f>IFERROR(__xludf.DUMMYFUNCTION("""COMPUTED_VALUE"""),"")</f>
        <v/>
      </c>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t="str">
        <f>IFERROR(__xludf.DUMMYFUNCTION("""COMPUTED_VALUE"""),"")</f>
        <v/>
      </c>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t="str">
        <f>IFERROR(__xludf.DUMMYFUNCTION("""COMPUTED_VALUE"""),"")</f>
        <v/>
      </c>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t="str">
        <f>IFERROR(__xludf.DUMMYFUNCTION("""COMPUTED_VALUE"""),"")</f>
        <v/>
      </c>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t="str">
        <f>IFERROR(__xludf.DUMMYFUNCTION("""COMPUTED_VALUE"""),"")</f>
        <v/>
      </c>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t="str">
        <f>IFERROR(__xludf.DUMMYFUNCTION("""COMPUTED_VALUE"""),"")</f>
        <v/>
      </c>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t="str">
        <f>IFERROR(__xludf.DUMMYFUNCTION("""COMPUTED_VALUE"""),"")</f>
        <v/>
      </c>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t="str">
        <f>IFERROR(__xludf.DUMMYFUNCTION("""COMPUTED_VALUE"""),"")</f>
        <v/>
      </c>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t="str">
        <f>IFERROR(__xludf.DUMMYFUNCTION("""COMPUTED_VALUE"""),"")</f>
        <v/>
      </c>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t="str">
        <f>IFERROR(__xludf.DUMMYFUNCTION("""COMPUTED_VALUE"""),"")</f>
        <v/>
      </c>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t="str">
        <f>IFERROR(__xludf.DUMMYFUNCTION("""COMPUTED_VALUE"""),"")</f>
        <v/>
      </c>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t="str">
        <f>IFERROR(__xludf.DUMMYFUNCTION("""COMPUTED_VALUE"""),"")</f>
        <v/>
      </c>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t="str">
        <f>IFERROR(__xludf.DUMMYFUNCTION("""COMPUTED_VALUE"""),"")</f>
        <v/>
      </c>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t="str">
        <f>IFERROR(__xludf.DUMMYFUNCTION("""COMPUTED_VALUE"""),"")</f>
        <v/>
      </c>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t="str">
        <f>IFERROR(__xludf.DUMMYFUNCTION("""COMPUTED_VALUE"""),"")</f>
        <v/>
      </c>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t="str">
        <f>IFERROR(__xludf.DUMMYFUNCTION("""COMPUTED_VALUE"""),"")</f>
        <v/>
      </c>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t="str">
        <f>IFERROR(__xludf.DUMMYFUNCTION("""COMPUTED_VALUE"""),"")</f>
        <v/>
      </c>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t="str">
        <f>IFERROR(__xludf.DUMMYFUNCTION("""COMPUTED_VALUE"""),"")</f>
        <v/>
      </c>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t="str">
        <f>IFERROR(__xludf.DUMMYFUNCTION("""COMPUTED_VALUE"""),"")</f>
        <v/>
      </c>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t="str">
        <f>IFERROR(__xludf.DUMMYFUNCTION("""COMPUTED_VALUE"""),"")</f>
        <v/>
      </c>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t="str">
        <f>IFERROR(__xludf.DUMMYFUNCTION("""COMPUTED_VALUE"""),"")</f>
        <v/>
      </c>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t="str">
        <f>IFERROR(__xludf.DUMMYFUNCTION("""COMPUTED_VALUE"""),"")</f>
        <v/>
      </c>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t="str">
        <f>IFERROR(__xludf.DUMMYFUNCTION("""COMPUTED_VALUE"""),"")</f>
        <v/>
      </c>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t="str">
        <f>IFERROR(__xludf.DUMMYFUNCTION("""COMPUTED_VALUE"""),"")</f>
        <v/>
      </c>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t="str">
        <f>IFERROR(__xludf.DUMMYFUNCTION("""COMPUTED_VALUE"""),"")</f>
        <v/>
      </c>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t="str">
        <f>IFERROR(__xludf.DUMMYFUNCTION("""COMPUTED_VALUE"""),"")</f>
        <v/>
      </c>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t="str">
        <f>IFERROR(__xludf.DUMMYFUNCTION("""COMPUTED_VALUE"""),"")</f>
        <v/>
      </c>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t="str">
        <f>IFERROR(__xludf.DUMMYFUNCTION("""COMPUTED_VALUE"""),"")</f>
        <v/>
      </c>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t="str">
        <f>IFERROR(__xludf.DUMMYFUNCTION("""COMPUTED_VALUE"""),"")</f>
        <v/>
      </c>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t="str">
        <f>IFERROR(__xludf.DUMMYFUNCTION("""COMPUTED_VALUE"""),"")</f>
        <v/>
      </c>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t="str">
        <f>IFERROR(__xludf.DUMMYFUNCTION("""COMPUTED_VALUE"""),"")</f>
        <v/>
      </c>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t="str">
        <f>IFERROR(__xludf.DUMMYFUNCTION("""COMPUTED_VALUE"""),"")</f>
        <v/>
      </c>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t="str">
        <f>IFERROR(__xludf.DUMMYFUNCTION("""COMPUTED_VALUE"""),"")</f>
        <v/>
      </c>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t="str">
        <f>IFERROR(__xludf.DUMMYFUNCTION("""COMPUTED_VALUE"""),"")</f>
        <v/>
      </c>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t="str">
        <f>IFERROR(__xludf.DUMMYFUNCTION("""COMPUTED_VALUE"""),"")</f>
        <v/>
      </c>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t="str">
        <f>IFERROR(__xludf.DUMMYFUNCTION("""COMPUTED_VALUE"""),"")</f>
        <v/>
      </c>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t="str">
        <f>IFERROR(__xludf.DUMMYFUNCTION("""COMPUTED_VALUE"""),"")</f>
        <v/>
      </c>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t="str">
        <f>IFERROR(__xludf.DUMMYFUNCTION("""COMPUTED_VALUE"""),"")</f>
        <v/>
      </c>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t="str">
        <f>IFERROR(__xludf.DUMMYFUNCTION("""COMPUTED_VALUE"""),"")</f>
        <v/>
      </c>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t="str">
        <f>IFERROR(__xludf.DUMMYFUNCTION("""COMPUTED_VALUE"""),"")</f>
        <v/>
      </c>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t="str">
        <f>IFERROR(__xludf.DUMMYFUNCTION("""COMPUTED_VALUE"""),"")</f>
        <v/>
      </c>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t="str">
        <f>IFERROR(__xludf.DUMMYFUNCTION("""COMPUTED_VALUE"""),"")</f>
        <v/>
      </c>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t="str">
        <f>IFERROR(__xludf.DUMMYFUNCTION("""COMPUTED_VALUE"""),"")</f>
        <v/>
      </c>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t="str">
        <f>IFERROR(__xludf.DUMMYFUNCTION("""COMPUTED_VALUE"""),"")</f>
        <v/>
      </c>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t="str">
        <f>IFERROR(__xludf.DUMMYFUNCTION("""COMPUTED_VALUE"""),"")</f>
        <v/>
      </c>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t="str">
        <f>IFERROR(__xludf.DUMMYFUNCTION("""COMPUTED_VALUE"""),"")</f>
        <v/>
      </c>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t="str">
        <f>IFERROR(__xludf.DUMMYFUNCTION("""COMPUTED_VALUE"""),"")</f>
        <v/>
      </c>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t="str">
        <f>IFERROR(__xludf.DUMMYFUNCTION("""COMPUTED_VALUE"""),"")</f>
        <v/>
      </c>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t="str">
        <f>IFERROR(__xludf.DUMMYFUNCTION("""COMPUTED_VALUE"""),"")</f>
        <v/>
      </c>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t="str">
        <f>IFERROR(__xludf.DUMMYFUNCTION("""COMPUTED_VALUE"""),"")</f>
        <v/>
      </c>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t="str">
        <f>IFERROR(__xludf.DUMMYFUNCTION("""COMPUTED_VALUE"""),"")</f>
        <v/>
      </c>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t="str">
        <f>IFERROR(__xludf.DUMMYFUNCTION("""COMPUTED_VALUE"""),"")</f>
        <v/>
      </c>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t="str">
        <f>IFERROR(__xludf.DUMMYFUNCTION("""COMPUTED_VALUE"""),"")</f>
        <v/>
      </c>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t="str">
        <f>IFERROR(__xludf.DUMMYFUNCTION("""COMPUTED_VALUE"""),"")</f>
        <v/>
      </c>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t="str">
        <f>IFERROR(__xludf.DUMMYFUNCTION("""COMPUTED_VALUE"""),"")</f>
        <v/>
      </c>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t="str">
        <f>IFERROR(__xludf.DUMMYFUNCTION("""COMPUTED_VALUE"""),"")</f>
        <v/>
      </c>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t="str">
        <f>IFERROR(__xludf.DUMMYFUNCTION("""COMPUTED_VALUE"""),"")</f>
        <v/>
      </c>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t="str">
        <f>IFERROR(__xludf.DUMMYFUNCTION("""COMPUTED_VALUE"""),"")</f>
        <v/>
      </c>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t="str">
        <f>IFERROR(__xludf.DUMMYFUNCTION("""COMPUTED_VALUE"""),"")</f>
        <v/>
      </c>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t="str">
        <f>IFERROR(__xludf.DUMMYFUNCTION("""COMPUTED_VALUE"""),"")</f>
        <v/>
      </c>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t="str">
        <f>IFERROR(__xludf.DUMMYFUNCTION("""COMPUTED_VALUE"""),"")</f>
        <v/>
      </c>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t="str">
        <f>IFERROR(__xludf.DUMMYFUNCTION("""COMPUTED_VALUE"""),"")</f>
        <v/>
      </c>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t="str">
        <f>IFERROR(__xludf.DUMMYFUNCTION("""COMPUTED_VALUE"""),"")</f>
        <v/>
      </c>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t="str">
        <f>IFERROR(__xludf.DUMMYFUNCTION("""COMPUTED_VALUE"""),"")</f>
        <v/>
      </c>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t="str">
        <f>IFERROR(__xludf.DUMMYFUNCTION("""COMPUTED_VALUE"""),"")</f>
        <v/>
      </c>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t="str">
        <f>IFERROR(__xludf.DUMMYFUNCTION("""COMPUTED_VALUE"""),"")</f>
        <v/>
      </c>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t="str">
        <f>IFERROR(__xludf.DUMMYFUNCTION("""COMPUTED_VALUE"""),"")</f>
        <v/>
      </c>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t="str">
        <f>IFERROR(__xludf.DUMMYFUNCTION("""COMPUTED_VALUE"""),"")</f>
        <v/>
      </c>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t="str">
        <f>IFERROR(__xludf.DUMMYFUNCTION("""COMPUTED_VALUE"""),"")</f>
        <v/>
      </c>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t="str">
        <f>IFERROR(__xludf.DUMMYFUNCTION("""COMPUTED_VALUE"""),"")</f>
        <v/>
      </c>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t="str">
        <f>IFERROR(__xludf.DUMMYFUNCTION("""COMPUTED_VALUE"""),"")</f>
        <v/>
      </c>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t="str">
        <f>IFERROR(__xludf.DUMMYFUNCTION("""COMPUTED_VALUE"""),"")</f>
        <v/>
      </c>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t="str">
        <f>IFERROR(__xludf.DUMMYFUNCTION("""COMPUTED_VALUE"""),"")</f>
        <v/>
      </c>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t="str">
        <f>IFERROR(__xludf.DUMMYFUNCTION("""COMPUTED_VALUE"""),"")</f>
        <v/>
      </c>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t="str">
        <f>IFERROR(__xludf.DUMMYFUNCTION("""COMPUTED_VALUE"""),"")</f>
        <v/>
      </c>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t="str">
        <f>IFERROR(__xludf.DUMMYFUNCTION("""COMPUTED_VALUE"""),"")</f>
        <v/>
      </c>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t="str">
        <f>IFERROR(__xludf.DUMMYFUNCTION("""COMPUTED_VALUE"""),"")</f>
        <v/>
      </c>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t="str">
        <f>IFERROR(__xludf.DUMMYFUNCTION("""COMPUTED_VALUE"""),"")</f>
        <v/>
      </c>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t="str">
        <f>IFERROR(__xludf.DUMMYFUNCTION("""COMPUTED_VALUE"""),"")</f>
        <v/>
      </c>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t="str">
        <f>IFERROR(__xludf.DUMMYFUNCTION("""COMPUTED_VALUE"""),"")</f>
        <v/>
      </c>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t="str">
        <f>IFERROR(__xludf.DUMMYFUNCTION("""COMPUTED_VALUE"""),"")</f>
        <v/>
      </c>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t="str">
        <f>IFERROR(__xludf.DUMMYFUNCTION("""COMPUTED_VALUE"""),"")</f>
        <v/>
      </c>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t="str">
        <f>IFERROR(__xludf.DUMMYFUNCTION("""COMPUTED_VALUE"""),"")</f>
        <v/>
      </c>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t="str">
        <f>IFERROR(__xludf.DUMMYFUNCTION("""COMPUTED_VALUE"""),"")</f>
        <v/>
      </c>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t="str">
        <f>IFERROR(__xludf.DUMMYFUNCTION("""COMPUTED_VALUE"""),"")</f>
        <v/>
      </c>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t="str">
        <f>IFERROR(__xludf.DUMMYFUNCTION("""COMPUTED_VALUE"""),"")</f>
        <v/>
      </c>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t="str">
        <f>IFERROR(__xludf.DUMMYFUNCTION("""COMPUTED_VALUE"""),"")</f>
        <v/>
      </c>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t="str">
        <f>IFERROR(__xludf.DUMMYFUNCTION("""COMPUTED_VALUE"""),"")</f>
        <v/>
      </c>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t="str">
        <f>IFERROR(__xludf.DUMMYFUNCTION("""COMPUTED_VALUE"""),"")</f>
        <v/>
      </c>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t="str">
        <f>IFERROR(__xludf.DUMMYFUNCTION("""COMPUTED_VALUE"""),"")</f>
        <v/>
      </c>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t="str">
        <f>IFERROR(__xludf.DUMMYFUNCTION("""COMPUTED_VALUE"""),"")</f>
        <v/>
      </c>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t="str">
        <f>IFERROR(__xludf.DUMMYFUNCTION("""COMPUTED_VALUE"""),"")</f>
        <v/>
      </c>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t="str">
        <f>IFERROR(__xludf.DUMMYFUNCTION("""COMPUTED_VALUE"""),"")</f>
        <v/>
      </c>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t="str">
        <f>IFERROR(__xludf.DUMMYFUNCTION("""COMPUTED_VALUE"""),"")</f>
        <v/>
      </c>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t="str">
        <f>IFERROR(__xludf.DUMMYFUNCTION("""COMPUTED_VALUE"""),"")</f>
        <v/>
      </c>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t="str">
        <f>IFERROR(__xludf.DUMMYFUNCTION("""COMPUTED_VALUE"""),"")</f>
        <v/>
      </c>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t="str">
        <f>IFERROR(__xludf.DUMMYFUNCTION("""COMPUTED_VALUE"""),"")</f>
        <v/>
      </c>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t="str">
        <f>IFERROR(__xludf.DUMMYFUNCTION("""COMPUTED_VALUE"""),"")</f>
        <v/>
      </c>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t="str">
        <f>IFERROR(__xludf.DUMMYFUNCTION("""COMPUTED_VALUE"""),"")</f>
        <v/>
      </c>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t="str">
        <f>IFERROR(__xludf.DUMMYFUNCTION("""COMPUTED_VALUE"""),"")</f>
        <v/>
      </c>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t="str">
        <f>IFERROR(__xludf.DUMMYFUNCTION("""COMPUTED_VALUE"""),"")</f>
        <v/>
      </c>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t="str">
        <f>IFERROR(__xludf.DUMMYFUNCTION("""COMPUTED_VALUE"""),"")</f>
        <v/>
      </c>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t="str">
        <f>IFERROR(__xludf.DUMMYFUNCTION("""COMPUTED_VALUE"""),"")</f>
        <v/>
      </c>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t="str">
        <f>IFERROR(__xludf.DUMMYFUNCTION("""COMPUTED_VALUE"""),"")</f>
        <v/>
      </c>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t="str">
        <f>IFERROR(__xludf.DUMMYFUNCTION("""COMPUTED_VALUE"""),"")</f>
        <v/>
      </c>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t="str">
        <f>IFERROR(__xludf.DUMMYFUNCTION("""COMPUTED_VALUE"""),"")</f>
        <v/>
      </c>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t="str">
        <f>IFERROR(__xludf.DUMMYFUNCTION("""COMPUTED_VALUE"""),"")</f>
        <v/>
      </c>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t="str">
        <f>IFERROR(__xludf.DUMMYFUNCTION("""COMPUTED_VALUE"""),"")</f>
        <v/>
      </c>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t="str">
        <f>IFERROR(__xludf.DUMMYFUNCTION("""COMPUTED_VALUE"""),"")</f>
        <v/>
      </c>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t="str">
        <f>IFERROR(__xludf.DUMMYFUNCTION("""COMPUTED_VALUE"""),"")</f>
        <v/>
      </c>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t="str">
        <f>IFERROR(__xludf.DUMMYFUNCTION("""COMPUTED_VALUE"""),"")</f>
        <v/>
      </c>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t="str">
        <f>IFERROR(__xludf.DUMMYFUNCTION("""COMPUTED_VALUE"""),"")</f>
        <v/>
      </c>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t="str">
        <f>IFERROR(__xludf.DUMMYFUNCTION("""COMPUTED_VALUE"""),"")</f>
        <v/>
      </c>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t="str">
        <f>IFERROR(__xludf.DUMMYFUNCTION("""COMPUTED_VALUE"""),"")</f>
        <v/>
      </c>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t="str">
        <f>IFERROR(__xludf.DUMMYFUNCTION("""COMPUTED_VALUE"""),"")</f>
        <v/>
      </c>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t="str">
        <f>IFERROR(__xludf.DUMMYFUNCTION("""COMPUTED_VALUE"""),"")</f>
        <v/>
      </c>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t="str">
        <f>IFERROR(__xludf.DUMMYFUNCTION("""COMPUTED_VALUE"""),"")</f>
        <v/>
      </c>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t="str">
        <f>IFERROR(__xludf.DUMMYFUNCTION("""COMPUTED_VALUE"""),"")</f>
        <v/>
      </c>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t="str">
        <f>IFERROR(__xludf.DUMMYFUNCTION("""COMPUTED_VALUE"""),"")</f>
        <v/>
      </c>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t="str">
        <f>IFERROR(__xludf.DUMMYFUNCTION("""COMPUTED_VALUE"""),"")</f>
        <v/>
      </c>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t="str">
        <f>IFERROR(__xludf.DUMMYFUNCTION("""COMPUTED_VALUE"""),"")</f>
        <v/>
      </c>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t="str">
        <f>IFERROR(__xludf.DUMMYFUNCTION("""COMPUTED_VALUE"""),"")</f>
        <v/>
      </c>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t="str">
        <f>IFERROR(__xludf.DUMMYFUNCTION("""COMPUTED_VALUE"""),"")</f>
        <v/>
      </c>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t="str">
        <f>IFERROR(__xludf.DUMMYFUNCTION("""COMPUTED_VALUE"""),"")</f>
        <v/>
      </c>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t="str">
        <f>IFERROR(__xludf.DUMMYFUNCTION("""COMPUTED_VALUE"""),"")</f>
        <v/>
      </c>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t="str">
        <f>IFERROR(__xludf.DUMMYFUNCTION("""COMPUTED_VALUE"""),"")</f>
        <v/>
      </c>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t="str">
        <f>IFERROR(__xludf.DUMMYFUNCTION("""COMPUTED_VALUE"""),"")</f>
        <v/>
      </c>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t="str">
        <f>IFERROR(__xludf.DUMMYFUNCTION("""COMPUTED_VALUE"""),"")</f>
        <v/>
      </c>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t="str">
        <f>IFERROR(__xludf.DUMMYFUNCTION("""COMPUTED_VALUE"""),"")</f>
        <v/>
      </c>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t="str">
        <f>IFERROR(__xludf.DUMMYFUNCTION("""COMPUTED_VALUE"""),"")</f>
        <v/>
      </c>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t="str">
        <f>IFERROR(__xludf.DUMMYFUNCTION("""COMPUTED_VALUE"""),"")</f>
        <v/>
      </c>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t="str">
        <f>IFERROR(__xludf.DUMMYFUNCTION("""COMPUTED_VALUE"""),"")</f>
        <v/>
      </c>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t="str">
        <f>IFERROR(__xludf.DUMMYFUNCTION("""COMPUTED_VALUE"""),"")</f>
        <v/>
      </c>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t="str">
        <f>IFERROR(__xludf.DUMMYFUNCTION("""COMPUTED_VALUE"""),"")</f>
        <v/>
      </c>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t="str">
        <f>IFERROR(__xludf.DUMMYFUNCTION("""COMPUTED_VALUE"""),"")</f>
        <v/>
      </c>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t="str">
        <f>IFERROR(__xludf.DUMMYFUNCTION("""COMPUTED_VALUE"""),"")</f>
        <v/>
      </c>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t="str">
        <f>IFERROR(__xludf.DUMMYFUNCTION("""COMPUTED_VALUE"""),"")</f>
        <v/>
      </c>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t="str">
        <f>IFERROR(__xludf.DUMMYFUNCTION("""COMPUTED_VALUE"""),"")</f>
        <v/>
      </c>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t="str">
        <f>IFERROR(__xludf.DUMMYFUNCTION("""COMPUTED_VALUE"""),"")</f>
        <v/>
      </c>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t="str">
        <f>IFERROR(__xludf.DUMMYFUNCTION("""COMPUTED_VALUE"""),"")</f>
        <v/>
      </c>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t="str">
        <f>IFERROR(__xludf.DUMMYFUNCTION("""COMPUTED_VALUE"""),"")</f>
        <v/>
      </c>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t="str">
        <f>IFERROR(__xludf.DUMMYFUNCTION("""COMPUTED_VALUE"""),"")</f>
        <v/>
      </c>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t="str">
        <f>IFERROR(__xludf.DUMMYFUNCTION("""COMPUTED_VALUE"""),"")</f>
        <v/>
      </c>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t="str">
        <f>IFERROR(__xludf.DUMMYFUNCTION("""COMPUTED_VALUE"""),"")</f>
        <v/>
      </c>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t="str">
        <f>IFERROR(__xludf.DUMMYFUNCTION("""COMPUTED_VALUE"""),"")</f>
        <v/>
      </c>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t="str">
        <f>IFERROR(__xludf.DUMMYFUNCTION("""COMPUTED_VALUE"""),"")</f>
        <v/>
      </c>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t="str">
        <f>IFERROR(__xludf.DUMMYFUNCTION("""COMPUTED_VALUE"""),"")</f>
        <v/>
      </c>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t="str">
        <f>IFERROR(__xludf.DUMMYFUNCTION("""COMPUTED_VALUE"""),"")</f>
        <v/>
      </c>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t="str">
        <f>IFERROR(__xludf.DUMMYFUNCTION("""COMPUTED_VALUE"""),"")</f>
        <v/>
      </c>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t="str">
        <f>IFERROR(__xludf.DUMMYFUNCTION("""COMPUTED_VALUE"""),"")</f>
        <v/>
      </c>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t="str">
        <f>IFERROR(__xludf.DUMMYFUNCTION("""COMPUTED_VALUE"""),"")</f>
        <v/>
      </c>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t="str">
        <f>IFERROR(__xludf.DUMMYFUNCTION("""COMPUTED_VALUE"""),"")</f>
        <v/>
      </c>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t="str">
        <f>IFERROR(__xludf.DUMMYFUNCTION("""COMPUTED_VALUE"""),"")</f>
        <v/>
      </c>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t="str">
        <f>IFERROR(__xludf.DUMMYFUNCTION("""COMPUTED_VALUE"""),"")</f>
        <v/>
      </c>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t="str">
        <f>IFERROR(__xludf.DUMMYFUNCTION("""COMPUTED_VALUE"""),"")</f>
        <v/>
      </c>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t="str">
        <f>IFERROR(__xludf.DUMMYFUNCTION("""COMPUTED_VALUE"""),"")</f>
        <v/>
      </c>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t="str">
        <f>IFERROR(__xludf.DUMMYFUNCTION("""COMPUTED_VALUE"""),"")</f>
        <v/>
      </c>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t="str">
        <f>IFERROR(__xludf.DUMMYFUNCTION("""COMPUTED_VALUE"""),"")</f>
        <v/>
      </c>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t="str">
        <f>IFERROR(__xludf.DUMMYFUNCTION("""COMPUTED_VALUE"""),"")</f>
        <v/>
      </c>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t="str">
        <f>IFERROR(__xludf.DUMMYFUNCTION("""COMPUTED_VALUE"""),"")</f>
        <v/>
      </c>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t="str">
        <f>IFERROR(__xludf.DUMMYFUNCTION("""COMPUTED_VALUE"""),"")</f>
        <v/>
      </c>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t="str">
        <f>IFERROR(__xludf.DUMMYFUNCTION("""COMPUTED_VALUE"""),"")</f>
        <v/>
      </c>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t="str">
        <f>IFERROR(__xludf.DUMMYFUNCTION("""COMPUTED_VALUE"""),"")</f>
        <v/>
      </c>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t="str">
        <f>IFERROR(__xludf.DUMMYFUNCTION("""COMPUTED_VALUE"""),"")</f>
        <v/>
      </c>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t="str">
        <f>IFERROR(__xludf.DUMMYFUNCTION("""COMPUTED_VALUE"""),"")</f>
        <v/>
      </c>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t="str">
        <f>IFERROR(__xludf.DUMMYFUNCTION("""COMPUTED_VALUE"""),"")</f>
        <v/>
      </c>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t="str">
        <f>IFERROR(__xludf.DUMMYFUNCTION("""COMPUTED_VALUE"""),"")</f>
        <v/>
      </c>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t="str">
        <f>IFERROR(__xludf.DUMMYFUNCTION("""COMPUTED_VALUE"""),"")</f>
        <v/>
      </c>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t="str">
        <f>IFERROR(__xludf.DUMMYFUNCTION("""COMPUTED_VALUE"""),"")</f>
        <v/>
      </c>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t="str">
        <f>IFERROR(__xludf.DUMMYFUNCTION("""COMPUTED_VALUE"""),"")</f>
        <v/>
      </c>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t="str">
        <f>IFERROR(__xludf.DUMMYFUNCTION("""COMPUTED_VALUE"""),"")</f>
        <v/>
      </c>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t="str">
        <f>IFERROR(__xludf.DUMMYFUNCTION("""COMPUTED_VALUE"""),"")</f>
        <v/>
      </c>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t="str">
        <f>IFERROR(__xludf.DUMMYFUNCTION("""COMPUTED_VALUE"""),"")</f>
        <v/>
      </c>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t="str">
        <f>IFERROR(__xludf.DUMMYFUNCTION("""COMPUTED_VALUE"""),"")</f>
        <v/>
      </c>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t="str">
        <f>IFERROR(__xludf.DUMMYFUNCTION("""COMPUTED_VALUE"""),"")</f>
        <v/>
      </c>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t="str">
        <f>IFERROR(__xludf.DUMMYFUNCTION("""COMPUTED_VALUE"""),"")</f>
        <v/>
      </c>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t="str">
        <f>IFERROR(__xludf.DUMMYFUNCTION("""COMPUTED_VALUE"""),"")</f>
        <v/>
      </c>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t="str">
        <f>IFERROR(__xludf.DUMMYFUNCTION("""COMPUTED_VALUE"""),"")</f>
        <v/>
      </c>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t="str">
        <f>IFERROR(__xludf.DUMMYFUNCTION("""COMPUTED_VALUE"""),"")</f>
        <v/>
      </c>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t="str">
        <f>IFERROR(__xludf.DUMMYFUNCTION("""COMPUTED_VALUE"""),"")</f>
        <v/>
      </c>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t="str">
        <f>IFERROR(__xludf.DUMMYFUNCTION("""COMPUTED_VALUE"""),"")</f>
        <v/>
      </c>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t="str">
        <f>IFERROR(__xludf.DUMMYFUNCTION("""COMPUTED_VALUE"""),"")</f>
        <v/>
      </c>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t="str">
        <f>IFERROR(__xludf.DUMMYFUNCTION("""COMPUTED_VALUE"""),"")</f>
        <v/>
      </c>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t="str">
        <f>IFERROR(__xludf.DUMMYFUNCTION("""COMPUTED_VALUE"""),"")</f>
        <v/>
      </c>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t="str">
        <f>IFERROR(__xludf.DUMMYFUNCTION("""COMPUTED_VALUE"""),"")</f>
        <v/>
      </c>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t="str">
        <f>IFERROR(__xludf.DUMMYFUNCTION("""COMPUTED_VALUE"""),"")</f>
        <v/>
      </c>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t="str">
        <f>IFERROR(__xludf.DUMMYFUNCTION("""COMPUTED_VALUE"""),"")</f>
        <v/>
      </c>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t="str">
        <f>IFERROR(__xludf.DUMMYFUNCTION("""COMPUTED_VALUE"""),"")</f>
        <v/>
      </c>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t="str">
        <f>IFERROR(__xludf.DUMMYFUNCTION("""COMPUTED_VALUE"""),"")</f>
        <v/>
      </c>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t="str">
        <f>IFERROR(__xludf.DUMMYFUNCTION("""COMPUTED_VALUE"""),"")</f>
        <v/>
      </c>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t="str">
        <f>IFERROR(__xludf.DUMMYFUNCTION("""COMPUTED_VALUE"""),"")</f>
        <v/>
      </c>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t="str">
        <f>IFERROR(__xludf.DUMMYFUNCTION("""COMPUTED_VALUE"""),"")</f>
        <v/>
      </c>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t="str">
        <f>IFERROR(__xludf.DUMMYFUNCTION("""COMPUTED_VALUE"""),"")</f>
        <v/>
      </c>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t="str">
        <f>IFERROR(__xludf.DUMMYFUNCTION("""COMPUTED_VALUE"""),"")</f>
        <v/>
      </c>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t="str">
        <f>IFERROR(__xludf.DUMMYFUNCTION("""COMPUTED_VALUE"""),"")</f>
        <v/>
      </c>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t="str">
        <f>IFERROR(__xludf.DUMMYFUNCTION("""COMPUTED_VALUE"""),"")</f>
        <v/>
      </c>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t="str">
        <f>IFERROR(__xludf.DUMMYFUNCTION("""COMPUTED_VALUE"""),"")</f>
        <v/>
      </c>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t="str">
        <f>IFERROR(__xludf.DUMMYFUNCTION("""COMPUTED_VALUE"""),"")</f>
        <v/>
      </c>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t="str">
        <f>IFERROR(__xludf.DUMMYFUNCTION("""COMPUTED_VALUE"""),"")</f>
        <v/>
      </c>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t="str">
        <f>IFERROR(__xludf.DUMMYFUNCTION("""COMPUTED_VALUE"""),"")</f>
        <v/>
      </c>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t="str">
        <f>IFERROR(__xludf.DUMMYFUNCTION("""COMPUTED_VALUE"""),"")</f>
        <v/>
      </c>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t="str">
        <f>IFERROR(__xludf.DUMMYFUNCTION("""COMPUTED_VALUE"""),"")</f>
        <v/>
      </c>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t="str">
        <f>IFERROR(__xludf.DUMMYFUNCTION("""COMPUTED_VALUE"""),"")</f>
        <v/>
      </c>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t="str">
        <f>IFERROR(__xludf.DUMMYFUNCTION("""COMPUTED_VALUE"""),"")</f>
        <v/>
      </c>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t="str">
        <f>IFERROR(__xludf.DUMMYFUNCTION("""COMPUTED_VALUE"""),"")</f>
        <v/>
      </c>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t="str">
        <f>IFERROR(__xludf.DUMMYFUNCTION("""COMPUTED_VALUE"""),"")</f>
        <v/>
      </c>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t="str">
        <f>IFERROR(__xludf.DUMMYFUNCTION("""COMPUTED_VALUE"""),"")</f>
        <v/>
      </c>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t="str">
        <f>IFERROR(__xludf.DUMMYFUNCTION("""COMPUTED_VALUE"""),"")</f>
        <v/>
      </c>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t="str">
        <f>IFERROR(__xludf.DUMMYFUNCTION("""COMPUTED_VALUE"""),"")</f>
        <v/>
      </c>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t="str">
        <f>IFERROR(__xludf.DUMMYFUNCTION("""COMPUTED_VALUE"""),"")</f>
        <v/>
      </c>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t="str">
        <f>IFERROR(__xludf.DUMMYFUNCTION("""COMPUTED_VALUE"""),"")</f>
        <v/>
      </c>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t="str">
        <f>IFERROR(__xludf.DUMMYFUNCTION("""COMPUTED_VALUE"""),"")</f>
        <v/>
      </c>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t="str">
        <f>IFERROR(__xludf.DUMMYFUNCTION("""COMPUTED_VALUE"""),"")</f>
        <v/>
      </c>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t="str">
        <f>IFERROR(__xludf.DUMMYFUNCTION("""COMPUTED_VALUE"""),"")</f>
        <v/>
      </c>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t="str">
        <f>IFERROR(__xludf.DUMMYFUNCTION("""COMPUTED_VALUE"""),"")</f>
        <v/>
      </c>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t="str">
        <f>IFERROR(__xludf.DUMMYFUNCTION("""COMPUTED_VALUE"""),"")</f>
        <v/>
      </c>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t="str">
        <f>IFERROR(__xludf.DUMMYFUNCTION("""COMPUTED_VALUE"""),"")</f>
        <v/>
      </c>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t="str">
        <f>IFERROR(__xludf.DUMMYFUNCTION("""COMPUTED_VALUE"""),"")</f>
        <v/>
      </c>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t="str">
        <f>IFERROR(__xludf.DUMMYFUNCTION("""COMPUTED_VALUE"""),"")</f>
        <v/>
      </c>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t="str">
        <f>IFERROR(__xludf.DUMMYFUNCTION("""COMPUTED_VALUE"""),"")</f>
        <v/>
      </c>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t="str">
        <f>IFERROR(__xludf.DUMMYFUNCTION("""COMPUTED_VALUE"""),"")</f>
        <v/>
      </c>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t="str">
        <f>IFERROR(__xludf.DUMMYFUNCTION("""COMPUTED_VALUE"""),"")</f>
        <v/>
      </c>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t="str">
        <f>IFERROR(__xludf.DUMMYFUNCTION("""COMPUTED_VALUE"""),"")</f>
        <v/>
      </c>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t="str">
        <f>IFERROR(__xludf.DUMMYFUNCTION("""COMPUTED_VALUE"""),"")</f>
        <v/>
      </c>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t="str">
        <f>IFERROR(__xludf.DUMMYFUNCTION("""COMPUTED_VALUE"""),"")</f>
        <v/>
      </c>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t="str">
        <f>IFERROR(__xludf.DUMMYFUNCTION("""COMPUTED_VALUE"""),"")</f>
        <v/>
      </c>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t="str">
        <f>IFERROR(__xludf.DUMMYFUNCTION("""COMPUTED_VALUE"""),"")</f>
        <v/>
      </c>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t="str">
        <f>IFERROR(__xludf.DUMMYFUNCTION("""COMPUTED_VALUE"""),"")</f>
        <v/>
      </c>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t="str">
        <f>IFERROR(__xludf.DUMMYFUNCTION("""COMPUTED_VALUE"""),"")</f>
        <v/>
      </c>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t="str">
        <f>IFERROR(__xludf.DUMMYFUNCTION("""COMPUTED_VALUE"""),"")</f>
        <v/>
      </c>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t="str">
        <f>IFERROR(__xludf.DUMMYFUNCTION("""COMPUTED_VALUE"""),"")</f>
        <v/>
      </c>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t="str">
        <f>IFERROR(__xludf.DUMMYFUNCTION("""COMPUTED_VALUE"""),"")</f>
        <v/>
      </c>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t="str">
        <f>IFERROR(__xludf.DUMMYFUNCTION("""COMPUTED_VALUE"""),"")</f>
        <v/>
      </c>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t="str">
        <f>IFERROR(__xludf.DUMMYFUNCTION("""COMPUTED_VALUE"""),"")</f>
        <v/>
      </c>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t="str">
        <f>IFERROR(__xludf.DUMMYFUNCTION("""COMPUTED_VALUE"""),"")</f>
        <v/>
      </c>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t="str">
        <f>IFERROR(__xludf.DUMMYFUNCTION("""COMPUTED_VALUE"""),"")</f>
        <v/>
      </c>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t="str">
        <f>IFERROR(__xludf.DUMMYFUNCTION("""COMPUTED_VALUE"""),"")</f>
        <v/>
      </c>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t="str">
        <f>IFERROR(__xludf.DUMMYFUNCTION("""COMPUTED_VALUE"""),"")</f>
        <v/>
      </c>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t="str">
        <f>IFERROR(__xludf.DUMMYFUNCTION("""COMPUTED_VALUE"""),"")</f>
        <v/>
      </c>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t="str">
        <f>IFERROR(__xludf.DUMMYFUNCTION("""COMPUTED_VALUE"""),"")</f>
        <v/>
      </c>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t="str">
        <f>IFERROR(__xludf.DUMMYFUNCTION("""COMPUTED_VALUE"""),"")</f>
        <v/>
      </c>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t="str">
        <f>IFERROR(__xludf.DUMMYFUNCTION("""COMPUTED_VALUE"""),"")</f>
        <v/>
      </c>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t="str">
        <f>IFERROR(__xludf.DUMMYFUNCTION("""COMPUTED_VALUE"""),"")</f>
        <v/>
      </c>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t="str">
        <f>IFERROR(__xludf.DUMMYFUNCTION("""COMPUTED_VALUE"""),"")</f>
        <v/>
      </c>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t="str">
        <f>IFERROR(__xludf.DUMMYFUNCTION("""COMPUTED_VALUE"""),"")</f>
        <v/>
      </c>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t="str">
        <f>IFERROR(__xludf.DUMMYFUNCTION("""COMPUTED_VALUE"""),"")</f>
        <v/>
      </c>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t="str">
        <f>IFERROR(__xludf.DUMMYFUNCTION("""COMPUTED_VALUE"""),"")</f>
        <v/>
      </c>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t="str">
        <f>IFERROR(__xludf.DUMMYFUNCTION("""COMPUTED_VALUE"""),"")</f>
        <v/>
      </c>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t="str">
        <f>IFERROR(__xludf.DUMMYFUNCTION("""COMPUTED_VALUE"""),"")</f>
        <v/>
      </c>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t="str">
        <f>IFERROR(__xludf.DUMMYFUNCTION("""COMPUTED_VALUE"""),"")</f>
        <v/>
      </c>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t="str">
        <f>IFERROR(__xludf.DUMMYFUNCTION("""COMPUTED_VALUE"""),"")</f>
        <v/>
      </c>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t="str">
        <f>IFERROR(__xludf.DUMMYFUNCTION("""COMPUTED_VALUE"""),"")</f>
        <v/>
      </c>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t="str">
        <f>IFERROR(__xludf.DUMMYFUNCTION("""COMPUTED_VALUE"""),"")</f>
        <v/>
      </c>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t="str">
        <f>IFERROR(__xludf.DUMMYFUNCTION("""COMPUTED_VALUE"""),"")</f>
        <v/>
      </c>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t="str">
        <f>IFERROR(__xludf.DUMMYFUNCTION("""COMPUTED_VALUE"""),"")</f>
        <v/>
      </c>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t="str">
        <f>IFERROR(__xludf.DUMMYFUNCTION("""COMPUTED_VALUE"""),"")</f>
        <v/>
      </c>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t="str">
        <f>IFERROR(__xludf.DUMMYFUNCTION("""COMPUTED_VALUE"""),"")</f>
        <v/>
      </c>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t="str">
        <f>IFERROR(__xludf.DUMMYFUNCTION("""COMPUTED_VALUE"""),"")</f>
        <v/>
      </c>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t="str">
        <f>IFERROR(__xludf.DUMMYFUNCTION("""COMPUTED_VALUE"""),"")</f>
        <v/>
      </c>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t="str">
        <f>IFERROR(__xludf.DUMMYFUNCTION("""COMPUTED_VALUE"""),"")</f>
        <v/>
      </c>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t="str">
        <f>IFERROR(__xludf.DUMMYFUNCTION("""COMPUTED_VALUE"""),"")</f>
        <v/>
      </c>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t="str">
        <f>IFERROR(__xludf.DUMMYFUNCTION("""COMPUTED_VALUE"""),"")</f>
        <v/>
      </c>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t="str">
        <f>IFERROR(__xludf.DUMMYFUNCTION("""COMPUTED_VALUE"""),"")</f>
        <v/>
      </c>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t="str">
        <f>IFERROR(__xludf.DUMMYFUNCTION("""COMPUTED_VALUE"""),"")</f>
        <v/>
      </c>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t="str">
        <f>IFERROR(__xludf.DUMMYFUNCTION("""COMPUTED_VALUE"""),"")</f>
        <v/>
      </c>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t="str">
        <f>IFERROR(__xludf.DUMMYFUNCTION("""COMPUTED_VALUE"""),"")</f>
        <v/>
      </c>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t="str">
        <f>IFERROR(__xludf.DUMMYFUNCTION("""COMPUTED_VALUE"""),"")</f>
        <v/>
      </c>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t="str">
        <f>IFERROR(__xludf.DUMMYFUNCTION("""COMPUTED_VALUE"""),"")</f>
        <v/>
      </c>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t="str">
        <f>IFERROR(__xludf.DUMMYFUNCTION("""COMPUTED_VALUE"""),"")</f>
        <v/>
      </c>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t="str">
        <f>IFERROR(__xludf.DUMMYFUNCTION("""COMPUTED_VALUE"""),"")</f>
        <v/>
      </c>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t="str">
        <f>IFERROR(__xludf.DUMMYFUNCTION("""COMPUTED_VALUE"""),"")</f>
        <v/>
      </c>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t="str">
        <f>IFERROR(__xludf.DUMMYFUNCTION("""COMPUTED_VALUE"""),"")</f>
        <v/>
      </c>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t="str">
        <f>IFERROR(__xludf.DUMMYFUNCTION("""COMPUTED_VALUE"""),"")</f>
        <v/>
      </c>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t="str">
        <f>IFERROR(__xludf.DUMMYFUNCTION("""COMPUTED_VALUE"""),"")</f>
        <v/>
      </c>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t="str">
        <f>IFERROR(__xludf.DUMMYFUNCTION("""COMPUTED_VALUE"""),"")</f>
        <v/>
      </c>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t="str">
        <f>IFERROR(__xludf.DUMMYFUNCTION("""COMPUTED_VALUE"""),"")</f>
        <v/>
      </c>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t="str">
        <f>IFERROR(__xludf.DUMMYFUNCTION("""COMPUTED_VALUE"""),"")</f>
        <v/>
      </c>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t="str">
        <f>IFERROR(__xludf.DUMMYFUNCTION("""COMPUTED_VALUE"""),"")</f>
        <v/>
      </c>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t="str">
        <f>IFERROR(__xludf.DUMMYFUNCTION("""COMPUTED_VALUE"""),"")</f>
        <v/>
      </c>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t="str">
        <f>IFERROR(__xludf.DUMMYFUNCTION("""COMPUTED_VALUE"""),"")</f>
        <v/>
      </c>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t="str">
        <f>IFERROR(__xludf.DUMMYFUNCTION("""COMPUTED_VALUE"""),"")</f>
        <v/>
      </c>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t="str">
        <f>IFERROR(__xludf.DUMMYFUNCTION("""COMPUTED_VALUE"""),"")</f>
        <v/>
      </c>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t="str">
        <f>IFERROR(__xludf.DUMMYFUNCTION("""COMPUTED_VALUE"""),"")</f>
        <v/>
      </c>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t="str">
        <f>IFERROR(__xludf.DUMMYFUNCTION("""COMPUTED_VALUE"""),"")</f>
        <v/>
      </c>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t="str">
        <f>IFERROR(__xludf.DUMMYFUNCTION("""COMPUTED_VALUE"""),"")</f>
        <v/>
      </c>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t="str">
        <f>IFERROR(__xludf.DUMMYFUNCTION("""COMPUTED_VALUE"""),"")</f>
        <v/>
      </c>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t="str">
        <f>IFERROR(__xludf.DUMMYFUNCTION("""COMPUTED_VALUE"""),"")</f>
        <v/>
      </c>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t="str">
        <f>IFERROR(__xludf.DUMMYFUNCTION("""COMPUTED_VALUE"""),"")</f>
        <v/>
      </c>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t="str">
        <f>IFERROR(__xludf.DUMMYFUNCTION("""COMPUTED_VALUE"""),"")</f>
        <v/>
      </c>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t="str">
        <f>IFERROR(__xludf.DUMMYFUNCTION("""COMPUTED_VALUE"""),"")</f>
        <v/>
      </c>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t="str">
        <f>IFERROR(__xludf.DUMMYFUNCTION("""COMPUTED_VALUE"""),"")</f>
        <v/>
      </c>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t="str">
        <f>IFERROR(__xludf.DUMMYFUNCTION("""COMPUTED_VALUE"""),"")</f>
        <v/>
      </c>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t="str">
        <f>IFERROR(__xludf.DUMMYFUNCTION("""COMPUTED_VALUE"""),"")</f>
        <v/>
      </c>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t="str">
        <f>IFERROR(__xludf.DUMMYFUNCTION("""COMPUTED_VALUE"""),"")</f>
        <v/>
      </c>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t="str">
        <f>IFERROR(__xludf.DUMMYFUNCTION("""COMPUTED_VALUE"""),"")</f>
        <v/>
      </c>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t="str">
        <f>IFERROR(__xludf.DUMMYFUNCTION("""COMPUTED_VALUE"""),"")</f>
        <v/>
      </c>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t="str">
        <f>IFERROR(__xludf.DUMMYFUNCTION("""COMPUTED_VALUE"""),"")</f>
        <v/>
      </c>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t="str">
        <f>IFERROR(__xludf.DUMMYFUNCTION("""COMPUTED_VALUE"""),"")</f>
        <v/>
      </c>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t="str">
        <f>IFERROR(__xludf.DUMMYFUNCTION("""COMPUTED_VALUE"""),"")</f>
        <v/>
      </c>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t="str">
        <f>IFERROR(__xludf.DUMMYFUNCTION("""COMPUTED_VALUE"""),"")</f>
        <v/>
      </c>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t="str">
        <f>IFERROR(__xludf.DUMMYFUNCTION("""COMPUTED_VALUE"""),"")</f>
        <v/>
      </c>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t="str">
        <f>IFERROR(__xludf.DUMMYFUNCTION("""COMPUTED_VALUE"""),"")</f>
        <v/>
      </c>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t="str">
        <f>IFERROR(__xludf.DUMMYFUNCTION("""COMPUTED_VALUE"""),"")</f>
        <v/>
      </c>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t="str">
        <f>IFERROR(__xludf.DUMMYFUNCTION("""COMPUTED_VALUE"""),"")</f>
        <v/>
      </c>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t="str">
        <f>IFERROR(__xludf.DUMMYFUNCTION("""COMPUTED_VALUE"""),"")</f>
        <v/>
      </c>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t="str">
        <f>IFERROR(__xludf.DUMMYFUNCTION("""COMPUTED_VALUE"""),"")</f>
        <v/>
      </c>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t="str">
        <f>IFERROR(__xludf.DUMMYFUNCTION("""COMPUTED_VALUE"""),"")</f>
        <v/>
      </c>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t="str">
        <f>IFERROR(__xludf.DUMMYFUNCTION("""COMPUTED_VALUE"""),"")</f>
        <v/>
      </c>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t="str">
        <f>IFERROR(__xludf.DUMMYFUNCTION("""COMPUTED_VALUE"""),"")</f>
        <v/>
      </c>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t="str">
        <f>IFERROR(__xludf.DUMMYFUNCTION("""COMPUTED_VALUE"""),"")</f>
        <v/>
      </c>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t="str">
        <f>IFERROR(__xludf.DUMMYFUNCTION("""COMPUTED_VALUE"""),"")</f>
        <v/>
      </c>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t="str">
        <f>IFERROR(__xludf.DUMMYFUNCTION("""COMPUTED_VALUE"""),"")</f>
        <v/>
      </c>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t="str">
        <f>IFERROR(__xludf.DUMMYFUNCTION("""COMPUTED_VALUE"""),"")</f>
        <v/>
      </c>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t="str">
        <f>IFERROR(__xludf.DUMMYFUNCTION("""COMPUTED_VALUE"""),"")</f>
        <v/>
      </c>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t="str">
        <f>IFERROR(__xludf.DUMMYFUNCTION("""COMPUTED_VALUE"""),"")</f>
        <v/>
      </c>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t="str">
        <f>IFERROR(__xludf.DUMMYFUNCTION("""COMPUTED_VALUE"""),"")</f>
        <v/>
      </c>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t="str">
        <f>IFERROR(__xludf.DUMMYFUNCTION("""COMPUTED_VALUE"""),"")</f>
        <v/>
      </c>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t="str">
        <f>IFERROR(__xludf.DUMMYFUNCTION("""COMPUTED_VALUE"""),"")</f>
        <v/>
      </c>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t="str">
        <f>IFERROR(__xludf.DUMMYFUNCTION("""COMPUTED_VALUE"""),"")</f>
        <v/>
      </c>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t="str">
        <f>IFERROR(__xludf.DUMMYFUNCTION("""COMPUTED_VALUE"""),"")</f>
        <v/>
      </c>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t="str">
        <f>IFERROR(__xludf.DUMMYFUNCTION("""COMPUTED_VALUE"""),"")</f>
        <v/>
      </c>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t="str">
        <f>IFERROR(__xludf.DUMMYFUNCTION("""COMPUTED_VALUE"""),"")</f>
        <v/>
      </c>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t="str">
        <f>IFERROR(__xludf.DUMMYFUNCTION("""COMPUTED_VALUE"""),"")</f>
        <v/>
      </c>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t="str">
        <f>IFERROR(__xludf.DUMMYFUNCTION("""COMPUTED_VALUE"""),"")</f>
        <v/>
      </c>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t="str">
        <f>IFERROR(__xludf.DUMMYFUNCTION("""COMPUTED_VALUE"""),"")</f>
        <v/>
      </c>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t="str">
        <f>IFERROR(__xludf.DUMMYFUNCTION("""COMPUTED_VALUE"""),"")</f>
        <v/>
      </c>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t="str">
        <f>IFERROR(__xludf.DUMMYFUNCTION("""COMPUTED_VALUE"""),"")</f>
        <v/>
      </c>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t="str">
        <f>IFERROR(__xludf.DUMMYFUNCTION("""COMPUTED_VALUE"""),"")</f>
        <v/>
      </c>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t="str">
        <f>IFERROR(__xludf.DUMMYFUNCTION("""COMPUTED_VALUE"""),"")</f>
        <v/>
      </c>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t="str">
        <f>IFERROR(__xludf.DUMMYFUNCTION("""COMPUTED_VALUE"""),"")</f>
        <v/>
      </c>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t="str">
        <f>IFERROR(__xludf.DUMMYFUNCTION("""COMPUTED_VALUE"""),"")</f>
        <v/>
      </c>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t="str">
        <f>IFERROR(__xludf.DUMMYFUNCTION("""COMPUTED_VALUE"""),"")</f>
        <v/>
      </c>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t="str">
        <f>IFERROR(__xludf.DUMMYFUNCTION("""COMPUTED_VALUE"""),"")</f>
        <v/>
      </c>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t="str">
        <f>IFERROR(__xludf.DUMMYFUNCTION("""COMPUTED_VALUE"""),"")</f>
        <v/>
      </c>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t="str">
        <f>IFERROR(__xludf.DUMMYFUNCTION("""COMPUTED_VALUE"""),"")</f>
        <v/>
      </c>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t="str">
        <f>IFERROR(__xludf.DUMMYFUNCTION("""COMPUTED_VALUE"""),"")</f>
        <v/>
      </c>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t="str">
        <f>IFERROR(__xludf.DUMMYFUNCTION("""COMPUTED_VALUE"""),"")</f>
        <v/>
      </c>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t="str">
        <f>IFERROR(__xludf.DUMMYFUNCTION("""COMPUTED_VALUE"""),"")</f>
        <v/>
      </c>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t="str">
        <f>IFERROR(__xludf.DUMMYFUNCTION("""COMPUTED_VALUE"""),"")</f>
        <v/>
      </c>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t="str">
        <f>IFERROR(__xludf.DUMMYFUNCTION("""COMPUTED_VALUE"""),"")</f>
        <v/>
      </c>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t="str">
        <f>IFERROR(__xludf.DUMMYFUNCTION("""COMPUTED_VALUE"""),"")</f>
        <v/>
      </c>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t="str">
        <f>IFERROR(__xludf.DUMMYFUNCTION("""COMPUTED_VALUE"""),"")</f>
        <v/>
      </c>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t="str">
        <f>IFERROR(__xludf.DUMMYFUNCTION("""COMPUTED_VALUE"""),"")</f>
        <v/>
      </c>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t="str">
        <f>IFERROR(__xludf.DUMMYFUNCTION("""COMPUTED_VALUE"""),"")</f>
        <v/>
      </c>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t="str">
        <f>IFERROR(__xludf.DUMMYFUNCTION("""COMPUTED_VALUE"""),"")</f>
        <v/>
      </c>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t="str">
        <f>IFERROR(__xludf.DUMMYFUNCTION("""COMPUTED_VALUE"""),"")</f>
        <v/>
      </c>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t="str">
        <f>IFERROR(__xludf.DUMMYFUNCTION("""COMPUTED_VALUE"""),"")</f>
        <v/>
      </c>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t="str">
        <f>IFERROR(__xludf.DUMMYFUNCTION("""COMPUTED_VALUE"""),"")</f>
        <v/>
      </c>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t="str">
        <f>IFERROR(__xludf.DUMMYFUNCTION("""COMPUTED_VALUE"""),"")</f>
        <v/>
      </c>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t="str">
        <f>IFERROR(__xludf.DUMMYFUNCTION("""COMPUTED_VALUE"""),"")</f>
        <v/>
      </c>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t="str">
        <f>IFERROR(__xludf.DUMMYFUNCTION("""COMPUTED_VALUE"""),"")</f>
        <v/>
      </c>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t="str">
        <f>IFERROR(__xludf.DUMMYFUNCTION("""COMPUTED_VALUE"""),"")</f>
        <v/>
      </c>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t="str">
        <f>IFERROR(__xludf.DUMMYFUNCTION("""COMPUTED_VALUE"""),"")</f>
        <v/>
      </c>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t="str">
        <f>IFERROR(__xludf.DUMMYFUNCTION("""COMPUTED_VALUE"""),"")</f>
        <v/>
      </c>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t="str">
        <f>IFERROR(__xludf.DUMMYFUNCTION("""COMPUTED_VALUE"""),"")</f>
        <v/>
      </c>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t="str">
        <f>IFERROR(__xludf.DUMMYFUNCTION("""COMPUTED_VALUE"""),"")</f>
        <v/>
      </c>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t="str">
        <f>IFERROR(__xludf.DUMMYFUNCTION("""COMPUTED_VALUE"""),"")</f>
        <v/>
      </c>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t="str">
        <f>IFERROR(__xludf.DUMMYFUNCTION("""COMPUTED_VALUE"""),"")</f>
        <v/>
      </c>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t="str">
        <f>IFERROR(__xludf.DUMMYFUNCTION("""COMPUTED_VALUE"""),"")</f>
        <v/>
      </c>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t="str">
        <f>IFERROR(__xludf.DUMMYFUNCTION("""COMPUTED_VALUE"""),"")</f>
        <v/>
      </c>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t="str">
        <f>IFERROR(__xludf.DUMMYFUNCTION("""COMPUTED_VALUE"""),"")</f>
        <v/>
      </c>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t="str">
        <f>IFERROR(__xludf.DUMMYFUNCTION("""COMPUTED_VALUE"""),"")</f>
        <v/>
      </c>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t="str">
        <f>IFERROR(__xludf.DUMMYFUNCTION("""COMPUTED_VALUE"""),"")</f>
        <v/>
      </c>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t="str">
        <f>IFERROR(__xludf.DUMMYFUNCTION("""COMPUTED_VALUE"""),"")</f>
        <v/>
      </c>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t="str">
        <f>IFERROR(__xludf.DUMMYFUNCTION("""COMPUTED_VALUE"""),"")</f>
        <v/>
      </c>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t="str">
        <f>IFERROR(__xludf.DUMMYFUNCTION("""COMPUTED_VALUE"""),"")</f>
        <v/>
      </c>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t="str">
        <f>IFERROR(__xludf.DUMMYFUNCTION("""COMPUTED_VALUE"""),"")</f>
        <v/>
      </c>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t="str">
        <f>IFERROR(__xludf.DUMMYFUNCTION("""COMPUTED_VALUE"""),"")</f>
        <v/>
      </c>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t="str">
        <f>IFERROR(__xludf.DUMMYFUNCTION("""COMPUTED_VALUE"""),"")</f>
        <v/>
      </c>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t="str">
        <f>IFERROR(__xludf.DUMMYFUNCTION("""COMPUTED_VALUE"""),"")</f>
        <v/>
      </c>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t="str">
        <f>IFERROR(__xludf.DUMMYFUNCTION("""COMPUTED_VALUE"""),"")</f>
        <v/>
      </c>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t="str">
        <f>IFERROR(__xludf.DUMMYFUNCTION("""COMPUTED_VALUE"""),"")</f>
        <v/>
      </c>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t="str">
        <f>IFERROR(__xludf.DUMMYFUNCTION("""COMPUTED_VALUE"""),"")</f>
        <v/>
      </c>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t="str">
        <f>IFERROR(__xludf.DUMMYFUNCTION("""COMPUTED_VALUE"""),"")</f>
        <v/>
      </c>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t="str">
        <f>IFERROR(__xludf.DUMMYFUNCTION("""COMPUTED_VALUE"""),"")</f>
        <v/>
      </c>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t="str">
        <f>IFERROR(__xludf.DUMMYFUNCTION("""COMPUTED_VALUE"""),"")</f>
        <v/>
      </c>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t="str">
        <f>IFERROR(__xludf.DUMMYFUNCTION("""COMPUTED_VALUE"""),"")</f>
        <v/>
      </c>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t="str">
        <f>IFERROR(__xludf.DUMMYFUNCTION("""COMPUTED_VALUE"""),"")</f>
        <v/>
      </c>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t="str">
        <f>IFERROR(__xludf.DUMMYFUNCTION("""COMPUTED_VALUE"""),"")</f>
        <v/>
      </c>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t="str">
        <f>IFERROR(__xludf.DUMMYFUNCTION("""COMPUTED_VALUE"""),"")</f>
        <v/>
      </c>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t="str">
        <f>IFERROR(__xludf.DUMMYFUNCTION("""COMPUTED_VALUE"""),"")</f>
        <v/>
      </c>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t="str">
        <f>IFERROR(__xludf.DUMMYFUNCTION("""COMPUTED_VALUE"""),"")</f>
        <v/>
      </c>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t="str">
        <f>IFERROR(__xludf.DUMMYFUNCTION("""COMPUTED_VALUE"""),"")</f>
        <v/>
      </c>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t="str">
        <f>IFERROR(__xludf.DUMMYFUNCTION("""COMPUTED_VALUE"""),"")</f>
        <v/>
      </c>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t="str">
        <f>IFERROR(__xludf.DUMMYFUNCTION("""COMPUTED_VALUE"""),"")</f>
        <v/>
      </c>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t="str">
        <f>IFERROR(__xludf.DUMMYFUNCTION("""COMPUTED_VALUE"""),"")</f>
        <v/>
      </c>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t="str">
        <f>IFERROR(__xludf.DUMMYFUNCTION("""COMPUTED_VALUE"""),"")</f>
        <v/>
      </c>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t="str">
        <f>IFERROR(__xludf.DUMMYFUNCTION("""COMPUTED_VALUE"""),"")</f>
        <v/>
      </c>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t="str">
        <f>IFERROR(__xludf.DUMMYFUNCTION("""COMPUTED_VALUE"""),"")</f>
        <v/>
      </c>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t="str">
        <f>IFERROR(__xludf.DUMMYFUNCTION("""COMPUTED_VALUE"""),"")</f>
        <v/>
      </c>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t="str">
        <f>IFERROR(__xludf.DUMMYFUNCTION("""COMPUTED_VALUE"""),"")</f>
        <v/>
      </c>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t="str">
        <f>IFERROR(__xludf.DUMMYFUNCTION("""COMPUTED_VALUE"""),"")</f>
        <v/>
      </c>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t="str">
        <f>IFERROR(__xludf.DUMMYFUNCTION("""COMPUTED_VALUE"""),"")</f>
        <v/>
      </c>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t="str">
        <f>IFERROR(__xludf.DUMMYFUNCTION("""COMPUTED_VALUE"""),"")</f>
        <v/>
      </c>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t="str">
        <f>IFERROR(__xludf.DUMMYFUNCTION("""COMPUTED_VALUE"""),"")</f>
        <v/>
      </c>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t="str">
        <f>IFERROR(__xludf.DUMMYFUNCTION("""COMPUTED_VALUE"""),"")</f>
        <v/>
      </c>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t="str">
        <f>IFERROR(__xludf.DUMMYFUNCTION("""COMPUTED_VALUE"""),"")</f>
        <v/>
      </c>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t="str">
        <f>IFERROR(__xludf.DUMMYFUNCTION("""COMPUTED_VALUE"""),"")</f>
        <v/>
      </c>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t="str">
        <f>IFERROR(__xludf.DUMMYFUNCTION("""COMPUTED_VALUE"""),"")</f>
        <v/>
      </c>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t="str">
        <f>IFERROR(__xludf.DUMMYFUNCTION("""COMPUTED_VALUE"""),"")</f>
        <v/>
      </c>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t="str">
        <f>IFERROR(__xludf.DUMMYFUNCTION("""COMPUTED_VALUE"""),"")</f>
        <v/>
      </c>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t="str">
        <f>IFERROR(__xludf.DUMMYFUNCTION("""COMPUTED_VALUE"""),"")</f>
        <v/>
      </c>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t="str">
        <f>IFERROR(__xludf.DUMMYFUNCTION("""COMPUTED_VALUE"""),"")</f>
        <v/>
      </c>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t="str">
        <f>IFERROR(__xludf.DUMMYFUNCTION("""COMPUTED_VALUE"""),"")</f>
        <v/>
      </c>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t="str">
        <f>IFERROR(__xludf.DUMMYFUNCTION("""COMPUTED_VALUE"""),"")</f>
        <v/>
      </c>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t="str">
        <f>IFERROR(__xludf.DUMMYFUNCTION("""COMPUTED_VALUE"""),"")</f>
        <v/>
      </c>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t="str">
        <f>IFERROR(__xludf.DUMMYFUNCTION("""COMPUTED_VALUE"""),"")</f>
        <v/>
      </c>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t="str">
        <f>IFERROR(__xludf.DUMMYFUNCTION("""COMPUTED_VALUE"""),"")</f>
        <v/>
      </c>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t="str">
        <f>IFERROR(__xludf.DUMMYFUNCTION("""COMPUTED_VALUE"""),"")</f>
        <v/>
      </c>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t="str">
        <f>IFERROR(__xludf.DUMMYFUNCTION("""COMPUTED_VALUE"""),"")</f>
        <v/>
      </c>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t="str">
        <f>IFERROR(__xludf.DUMMYFUNCTION("""COMPUTED_VALUE"""),"")</f>
        <v/>
      </c>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t="str">
        <f>IFERROR(__xludf.DUMMYFUNCTION("""COMPUTED_VALUE"""),"")</f>
        <v/>
      </c>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t="str">
        <f>IFERROR(__xludf.DUMMYFUNCTION("""COMPUTED_VALUE"""),"")</f>
        <v/>
      </c>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t="str">
        <f>IFERROR(__xludf.DUMMYFUNCTION("""COMPUTED_VALUE"""),"")</f>
        <v/>
      </c>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t="str">
        <f>IFERROR(__xludf.DUMMYFUNCTION("""COMPUTED_VALUE"""),"")</f>
        <v/>
      </c>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t="str">
        <f>IFERROR(__xludf.DUMMYFUNCTION("""COMPUTED_VALUE"""),"")</f>
        <v/>
      </c>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t="str">
        <f>IFERROR(__xludf.DUMMYFUNCTION("""COMPUTED_VALUE"""),"")</f>
        <v/>
      </c>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t="str">
        <f>IFERROR(__xludf.DUMMYFUNCTION("""COMPUTED_VALUE"""),"")</f>
        <v/>
      </c>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t="str">
        <f>IFERROR(__xludf.DUMMYFUNCTION("""COMPUTED_VALUE"""),"")</f>
        <v/>
      </c>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t="str">
        <f>IFERROR(__xludf.DUMMYFUNCTION("""COMPUTED_VALUE"""),"")</f>
        <v/>
      </c>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t="str">
        <f>IFERROR(__xludf.DUMMYFUNCTION("""COMPUTED_VALUE"""),"")</f>
        <v/>
      </c>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t="str">
        <f>IFERROR(__xludf.DUMMYFUNCTION("""COMPUTED_VALUE"""),"")</f>
        <v/>
      </c>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t="str">
        <f>IFERROR(__xludf.DUMMYFUNCTION("""COMPUTED_VALUE"""),"")</f>
        <v/>
      </c>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t="str">
        <f>IFERROR(__xludf.DUMMYFUNCTION("""COMPUTED_VALUE"""),"")</f>
        <v/>
      </c>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t="str">
        <f>IFERROR(__xludf.DUMMYFUNCTION("""COMPUTED_VALUE"""),"")</f>
        <v/>
      </c>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t="str">
        <f>IFERROR(__xludf.DUMMYFUNCTION("""COMPUTED_VALUE"""),"")</f>
        <v/>
      </c>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t="str">
        <f>IFERROR(__xludf.DUMMYFUNCTION("""COMPUTED_VALUE"""),"")</f>
        <v/>
      </c>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t="str">
        <f>IFERROR(__xludf.DUMMYFUNCTION("""COMPUTED_VALUE"""),"")</f>
        <v/>
      </c>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t="str">
        <f>IFERROR(__xludf.DUMMYFUNCTION("""COMPUTED_VALUE"""),"")</f>
        <v/>
      </c>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t="str">
        <f>IFERROR(__xludf.DUMMYFUNCTION("""COMPUTED_VALUE"""),"")</f>
        <v/>
      </c>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t="str">
        <f>IFERROR(__xludf.DUMMYFUNCTION("""COMPUTED_VALUE"""),"")</f>
        <v/>
      </c>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t="str">
        <f>IFERROR(__xludf.DUMMYFUNCTION("""COMPUTED_VALUE"""),"")</f>
        <v/>
      </c>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t="str">
        <f>IFERROR(__xludf.DUMMYFUNCTION("""COMPUTED_VALUE"""),"")</f>
        <v/>
      </c>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t="str">
        <f>IFERROR(__xludf.DUMMYFUNCTION("""COMPUTED_VALUE"""),"")</f>
        <v/>
      </c>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t="str">
        <f>IFERROR(__xludf.DUMMYFUNCTION("""COMPUTED_VALUE"""),"")</f>
        <v/>
      </c>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t="str">
        <f>IFERROR(__xludf.DUMMYFUNCTION("""COMPUTED_VALUE"""),"")</f>
        <v/>
      </c>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t="str">
        <f>IFERROR(__xludf.DUMMYFUNCTION("""COMPUTED_VALUE"""),"")</f>
        <v/>
      </c>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t="str">
        <f>IFERROR(__xludf.DUMMYFUNCTION("""COMPUTED_VALUE"""),"")</f>
        <v/>
      </c>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t="str">
        <f>IFERROR(__xludf.DUMMYFUNCTION("""COMPUTED_VALUE"""),"")</f>
        <v/>
      </c>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t="str">
        <f>IFERROR(__xludf.DUMMYFUNCTION("""COMPUTED_VALUE"""),"")</f>
        <v/>
      </c>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t="str">
        <f>IFERROR(__xludf.DUMMYFUNCTION("""COMPUTED_VALUE"""),"")</f>
        <v/>
      </c>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t="str">
        <f>IFERROR(__xludf.DUMMYFUNCTION("""COMPUTED_VALUE"""),"")</f>
        <v/>
      </c>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t="str">
        <f>IFERROR(__xludf.DUMMYFUNCTION("""COMPUTED_VALUE"""),"")</f>
        <v/>
      </c>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t="str">
        <f>IFERROR(__xludf.DUMMYFUNCTION("""COMPUTED_VALUE"""),"")</f>
        <v/>
      </c>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t="str">
        <f>IFERROR(__xludf.DUMMYFUNCTION("""COMPUTED_VALUE"""),"")</f>
        <v/>
      </c>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t="str">
        <f>IFERROR(__xludf.DUMMYFUNCTION("""COMPUTED_VALUE"""),"")</f>
        <v/>
      </c>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t="str">
        <f>IFERROR(__xludf.DUMMYFUNCTION("""COMPUTED_VALUE"""),"")</f>
        <v/>
      </c>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t="str">
        <f>IFERROR(__xludf.DUMMYFUNCTION("""COMPUTED_VALUE"""),"")</f>
        <v/>
      </c>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t="str">
        <f>IFERROR(__xludf.DUMMYFUNCTION("""COMPUTED_VALUE"""),"")</f>
        <v/>
      </c>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t="str">
        <f>IFERROR(__xludf.DUMMYFUNCTION("""COMPUTED_VALUE"""),"")</f>
        <v/>
      </c>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t="str">
        <f>IFERROR(__xludf.DUMMYFUNCTION("""COMPUTED_VALUE"""),"")</f>
        <v/>
      </c>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t="str">
        <f>IFERROR(__xludf.DUMMYFUNCTION("""COMPUTED_VALUE"""),"")</f>
        <v/>
      </c>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t="str">
        <f>IFERROR(__xludf.DUMMYFUNCTION("""COMPUTED_VALUE"""),"")</f>
        <v/>
      </c>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t="str">
        <f>IFERROR(__xludf.DUMMYFUNCTION("""COMPUTED_VALUE"""),"")</f>
        <v/>
      </c>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t="str">
        <f>IFERROR(__xludf.DUMMYFUNCTION("""COMPUTED_VALUE"""),"")</f>
        <v/>
      </c>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t="str">
        <f>IFERROR(__xludf.DUMMYFUNCTION("""COMPUTED_VALUE"""),"")</f>
        <v/>
      </c>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t="str">
        <f>IFERROR(__xludf.DUMMYFUNCTION("""COMPUTED_VALUE"""),"")</f>
        <v/>
      </c>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t="str">
        <f>IFERROR(__xludf.DUMMYFUNCTION("""COMPUTED_VALUE"""),"")</f>
        <v/>
      </c>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t="str">
        <f>IFERROR(__xludf.DUMMYFUNCTION("""COMPUTED_VALUE"""),"")</f>
        <v/>
      </c>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t="str">
        <f>IFERROR(__xludf.DUMMYFUNCTION("""COMPUTED_VALUE"""),"")</f>
        <v/>
      </c>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t="str">
        <f>IFERROR(__xludf.DUMMYFUNCTION("""COMPUTED_VALUE"""),"")</f>
        <v/>
      </c>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t="str">
        <f>IFERROR(__xludf.DUMMYFUNCTION("""COMPUTED_VALUE"""),"")</f>
        <v/>
      </c>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t="str">
        <f>IFERROR(__xludf.DUMMYFUNCTION("""COMPUTED_VALUE"""),"")</f>
        <v/>
      </c>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t="str">
        <f>IFERROR(__xludf.DUMMYFUNCTION("""COMPUTED_VALUE"""),"")</f>
        <v/>
      </c>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t="str">
        <f>IFERROR(__xludf.DUMMYFUNCTION("""COMPUTED_VALUE"""),"")</f>
        <v/>
      </c>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t="str">
        <f>IFERROR(__xludf.DUMMYFUNCTION("""COMPUTED_VALUE"""),"")</f>
        <v/>
      </c>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t="str">
        <f>IFERROR(__xludf.DUMMYFUNCTION("""COMPUTED_VALUE"""),"")</f>
        <v/>
      </c>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t="str">
        <f>IFERROR(__xludf.DUMMYFUNCTION("""COMPUTED_VALUE"""),"")</f>
        <v/>
      </c>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t="str">
        <f>IFERROR(__xludf.DUMMYFUNCTION("""COMPUTED_VALUE"""),"")</f>
        <v/>
      </c>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t="str">
        <f>IFERROR(__xludf.DUMMYFUNCTION("""COMPUTED_VALUE"""),"")</f>
        <v/>
      </c>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t="str">
        <f>IFERROR(__xludf.DUMMYFUNCTION("""COMPUTED_VALUE"""),"")</f>
        <v/>
      </c>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t="str">
        <f>IFERROR(__xludf.DUMMYFUNCTION("""COMPUTED_VALUE"""),"")</f>
        <v/>
      </c>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t="str">
        <f>IFERROR(__xludf.DUMMYFUNCTION("""COMPUTED_VALUE"""),"")</f>
        <v/>
      </c>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t="str">
        <f>IFERROR(__xludf.DUMMYFUNCTION("""COMPUTED_VALUE"""),"")</f>
        <v/>
      </c>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t="str">
        <f>IFERROR(__xludf.DUMMYFUNCTION("""COMPUTED_VALUE"""),"")</f>
        <v/>
      </c>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t="str">
        <f>IFERROR(__xludf.DUMMYFUNCTION("""COMPUTED_VALUE"""),"")</f>
        <v/>
      </c>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t="str">
        <f>IFERROR(__xludf.DUMMYFUNCTION("""COMPUTED_VALUE"""),"")</f>
        <v/>
      </c>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t="str">
        <f>IFERROR(__xludf.DUMMYFUNCTION("""COMPUTED_VALUE"""),"")</f>
        <v/>
      </c>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t="str">
        <f>IFERROR(__xludf.DUMMYFUNCTION("""COMPUTED_VALUE"""),"")</f>
        <v/>
      </c>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t="str">
        <f>IFERROR(__xludf.DUMMYFUNCTION("""COMPUTED_VALUE"""),"")</f>
        <v/>
      </c>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t="str">
        <f>IFERROR(__xludf.DUMMYFUNCTION("""COMPUTED_VALUE"""),"")</f>
        <v/>
      </c>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t="str">
        <f>IFERROR(__xludf.DUMMYFUNCTION("""COMPUTED_VALUE"""),"")</f>
        <v/>
      </c>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t="str">
        <f>IFERROR(__xludf.DUMMYFUNCTION("""COMPUTED_VALUE"""),"")</f>
        <v/>
      </c>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t="str">
        <f>IFERROR(__xludf.DUMMYFUNCTION("""COMPUTED_VALUE"""),"")</f>
        <v/>
      </c>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t="str">
        <f>IFERROR(__xludf.DUMMYFUNCTION("""COMPUTED_VALUE"""),"")</f>
        <v/>
      </c>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t="str">
        <f>IFERROR(__xludf.DUMMYFUNCTION("""COMPUTED_VALUE"""),"")</f>
        <v/>
      </c>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t="str">
        <f>IFERROR(__xludf.DUMMYFUNCTION("""COMPUTED_VALUE"""),"")</f>
        <v/>
      </c>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t="str">
        <f>IFERROR(__xludf.DUMMYFUNCTION("""COMPUTED_VALUE"""),"")</f>
        <v/>
      </c>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t="str">
        <f>IFERROR(__xludf.DUMMYFUNCTION("""COMPUTED_VALUE"""),"")</f>
        <v/>
      </c>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t="str">
        <f>IFERROR(__xludf.DUMMYFUNCTION("""COMPUTED_VALUE"""),"")</f>
        <v/>
      </c>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t="str">
        <f>IFERROR(__xludf.DUMMYFUNCTION("""COMPUTED_VALUE"""),"")</f>
        <v/>
      </c>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t="str">
        <f>IFERROR(__xludf.DUMMYFUNCTION("""COMPUTED_VALUE"""),"")</f>
        <v/>
      </c>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t="str">
        <f>IFERROR(__xludf.DUMMYFUNCTION("""COMPUTED_VALUE"""),"")</f>
        <v/>
      </c>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t="str">
        <f>IFERROR(__xludf.DUMMYFUNCTION("""COMPUTED_VALUE"""),"")</f>
        <v/>
      </c>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t="str">
        <f>IFERROR(__xludf.DUMMYFUNCTION("""COMPUTED_VALUE"""),"")</f>
        <v/>
      </c>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t="str">
        <f>IFERROR(__xludf.DUMMYFUNCTION("""COMPUTED_VALUE"""),"")</f>
        <v/>
      </c>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t="str">
        <f>IFERROR(__xludf.DUMMYFUNCTION("""COMPUTED_VALUE"""),"")</f>
        <v/>
      </c>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t="str">
        <f>IFERROR(__xludf.DUMMYFUNCTION("""COMPUTED_VALUE"""),"")</f>
        <v/>
      </c>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t="str">
        <f>IFERROR(__xludf.DUMMYFUNCTION("""COMPUTED_VALUE"""),"")</f>
        <v/>
      </c>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t="str">
        <f>IFERROR(__xludf.DUMMYFUNCTION("""COMPUTED_VALUE"""),"")</f>
        <v/>
      </c>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t="str">
        <f>IFERROR(__xludf.DUMMYFUNCTION("""COMPUTED_VALUE"""),"")</f>
        <v/>
      </c>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t="str">
        <f>IFERROR(__xludf.DUMMYFUNCTION("""COMPUTED_VALUE"""),"")</f>
        <v/>
      </c>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t="str">
        <f>IFERROR(__xludf.DUMMYFUNCTION("""COMPUTED_VALUE"""),"")</f>
        <v/>
      </c>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t="str">
        <f>IFERROR(__xludf.DUMMYFUNCTION("""COMPUTED_VALUE"""),"")</f>
        <v/>
      </c>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t="str">
        <f>IFERROR(__xludf.DUMMYFUNCTION("""COMPUTED_VALUE"""),"")</f>
        <v/>
      </c>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t="str">
        <f>IFERROR(__xludf.DUMMYFUNCTION("""COMPUTED_VALUE"""),"")</f>
        <v/>
      </c>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t="str">
        <f>IFERROR(__xludf.DUMMYFUNCTION("""COMPUTED_VALUE"""),"")</f>
        <v/>
      </c>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t="str">
        <f>IFERROR(__xludf.DUMMYFUNCTION("""COMPUTED_VALUE"""),"")</f>
        <v/>
      </c>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t="str">
        <f>IFERROR(__xludf.DUMMYFUNCTION("""COMPUTED_VALUE"""),"")</f>
        <v/>
      </c>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t="str">
        <f>IFERROR(__xludf.DUMMYFUNCTION("""COMPUTED_VALUE"""),"")</f>
        <v/>
      </c>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t="str">
        <f>IFERROR(__xludf.DUMMYFUNCTION("""COMPUTED_VALUE"""),"")</f>
        <v/>
      </c>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t="str">
        <f>IFERROR(__xludf.DUMMYFUNCTION("""COMPUTED_VALUE"""),"")</f>
        <v/>
      </c>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t="str">
        <f>IFERROR(__xludf.DUMMYFUNCTION("""COMPUTED_VALUE"""),"")</f>
        <v/>
      </c>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t="str">
        <f>IFERROR(__xludf.DUMMYFUNCTION("""COMPUTED_VALUE"""),"")</f>
        <v/>
      </c>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t="str">
        <f>IFERROR(__xludf.DUMMYFUNCTION("""COMPUTED_VALUE"""),"")</f>
        <v/>
      </c>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t="str">
        <f>IFERROR(__xludf.DUMMYFUNCTION("""COMPUTED_VALUE"""),"")</f>
        <v/>
      </c>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t="str">
        <f>IFERROR(__xludf.DUMMYFUNCTION("""COMPUTED_VALUE"""),"")</f>
        <v/>
      </c>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t="str">
        <f>IFERROR(__xludf.DUMMYFUNCTION("""COMPUTED_VALUE"""),"")</f>
        <v/>
      </c>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t="str">
        <f>IFERROR(__xludf.DUMMYFUNCTION("""COMPUTED_VALUE"""),"")</f>
        <v/>
      </c>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t="str">
        <f>IFERROR(__xludf.DUMMYFUNCTION("""COMPUTED_VALUE"""),"")</f>
        <v/>
      </c>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t="str">
        <f>IFERROR(__xludf.DUMMYFUNCTION("""COMPUTED_VALUE"""),"")</f>
        <v/>
      </c>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t="str">
        <f>IFERROR(__xludf.DUMMYFUNCTION("""COMPUTED_VALUE"""),"")</f>
        <v/>
      </c>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t="str">
        <f>IFERROR(__xludf.DUMMYFUNCTION("""COMPUTED_VALUE"""),"")</f>
        <v/>
      </c>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t="str">
        <f>IFERROR(__xludf.DUMMYFUNCTION("""COMPUTED_VALUE"""),"")</f>
        <v/>
      </c>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t="str">
        <f>IFERROR(__xludf.DUMMYFUNCTION("""COMPUTED_VALUE"""),"")</f>
        <v/>
      </c>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t="str">
        <f>IFERROR(__xludf.DUMMYFUNCTION("""COMPUTED_VALUE"""),"")</f>
        <v/>
      </c>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t="str">
        <f>IFERROR(__xludf.DUMMYFUNCTION("""COMPUTED_VALUE"""),"")</f>
        <v/>
      </c>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t="str">
        <f>IFERROR(__xludf.DUMMYFUNCTION("""COMPUTED_VALUE"""),"")</f>
        <v/>
      </c>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t="str">
        <f>IFERROR(__xludf.DUMMYFUNCTION("""COMPUTED_VALUE"""),"")</f>
        <v/>
      </c>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t="str">
        <f>IFERROR(__xludf.DUMMYFUNCTION("""COMPUTED_VALUE"""),"")</f>
        <v/>
      </c>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t="str">
        <f>IFERROR(__xludf.DUMMYFUNCTION("""COMPUTED_VALUE"""),"")</f>
        <v/>
      </c>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t="str">
        <f>IFERROR(__xludf.DUMMYFUNCTION("""COMPUTED_VALUE"""),"")</f>
        <v/>
      </c>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t="str">
        <f>IFERROR(__xludf.DUMMYFUNCTION("""COMPUTED_VALUE"""),"")</f>
        <v/>
      </c>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t="str">
        <f>IFERROR(__xludf.DUMMYFUNCTION("""COMPUTED_VALUE"""),"")</f>
        <v/>
      </c>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t="str">
        <f>IFERROR(__xludf.DUMMYFUNCTION("""COMPUTED_VALUE"""),"")</f>
        <v/>
      </c>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t="str">
        <f>IFERROR(__xludf.DUMMYFUNCTION("""COMPUTED_VALUE"""),"")</f>
        <v/>
      </c>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t="str">
        <f>IFERROR(__xludf.DUMMYFUNCTION("""COMPUTED_VALUE"""),"")</f>
        <v/>
      </c>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t="str">
        <f>IFERROR(__xludf.DUMMYFUNCTION("""COMPUTED_VALUE"""),"")</f>
        <v/>
      </c>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t="str">
        <f>IFERROR(__xludf.DUMMYFUNCTION("""COMPUTED_VALUE"""),"")</f>
        <v/>
      </c>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t="str">
        <f>IFERROR(__xludf.DUMMYFUNCTION("""COMPUTED_VALUE"""),"")</f>
        <v/>
      </c>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t="str">
        <f>IFERROR(__xludf.DUMMYFUNCTION("""COMPUTED_VALUE"""),"")</f>
        <v/>
      </c>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t="str">
        <f>IFERROR(__xludf.DUMMYFUNCTION("""COMPUTED_VALUE"""),"")</f>
        <v/>
      </c>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t="str">
        <f>IFERROR(__xludf.DUMMYFUNCTION("""COMPUTED_VALUE"""),"")</f>
        <v/>
      </c>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t="str">
        <f>IFERROR(__xludf.DUMMYFUNCTION("""COMPUTED_VALUE"""),"")</f>
        <v/>
      </c>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t="str">
        <f>IFERROR(__xludf.DUMMYFUNCTION("""COMPUTED_VALUE"""),"")</f>
        <v/>
      </c>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t="str">
        <f>IFERROR(__xludf.DUMMYFUNCTION("""COMPUTED_VALUE"""),"")</f>
        <v/>
      </c>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t="str">
        <f>IFERROR(__xludf.DUMMYFUNCTION("""COMPUTED_VALUE"""),"")</f>
        <v/>
      </c>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t="str">
        <f>IFERROR(__xludf.DUMMYFUNCTION("""COMPUTED_VALUE"""),"")</f>
        <v/>
      </c>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t="str">
        <f>IFERROR(__xludf.DUMMYFUNCTION("""COMPUTED_VALUE"""),"")</f>
        <v/>
      </c>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t="str">
        <f>IFERROR(__xludf.DUMMYFUNCTION("""COMPUTED_VALUE"""),"")</f>
        <v/>
      </c>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t="str">
        <f>IFERROR(__xludf.DUMMYFUNCTION("""COMPUTED_VALUE"""),"")</f>
        <v/>
      </c>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t="str">
        <f>IFERROR(__xludf.DUMMYFUNCTION("""COMPUTED_VALUE"""),"")</f>
        <v/>
      </c>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t="str">
        <f>IFERROR(__xludf.DUMMYFUNCTION("""COMPUTED_VALUE"""),"")</f>
        <v/>
      </c>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t="str">
        <f>IFERROR(__xludf.DUMMYFUNCTION("""COMPUTED_VALUE"""),"")</f>
        <v/>
      </c>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t="str">
        <f>IFERROR(__xludf.DUMMYFUNCTION("""COMPUTED_VALUE"""),"")</f>
        <v/>
      </c>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t="str">
        <f>IFERROR(__xludf.DUMMYFUNCTION("""COMPUTED_VALUE"""),"")</f>
        <v/>
      </c>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t="str">
        <f>IFERROR(__xludf.DUMMYFUNCTION("""COMPUTED_VALUE"""),"")</f>
        <v/>
      </c>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t="str">
        <f>IFERROR(__xludf.DUMMYFUNCTION("""COMPUTED_VALUE"""),"")</f>
        <v/>
      </c>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t="str">
        <f>IFERROR(__xludf.DUMMYFUNCTION("""COMPUTED_VALUE"""),"")</f>
        <v/>
      </c>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t="str">
        <f>IFERROR(__xludf.DUMMYFUNCTION("""COMPUTED_VALUE"""),"")</f>
        <v/>
      </c>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t="str">
        <f>IFERROR(__xludf.DUMMYFUNCTION("""COMPUTED_VALUE"""),"")</f>
        <v/>
      </c>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t="str">
        <f>IFERROR(__xludf.DUMMYFUNCTION("""COMPUTED_VALUE"""),"")</f>
        <v/>
      </c>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t="str">
        <f>IFERROR(__xludf.DUMMYFUNCTION("""COMPUTED_VALUE"""),"")</f>
        <v/>
      </c>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t="str">
        <f>IFERROR(__xludf.DUMMYFUNCTION("""COMPUTED_VALUE"""),"")</f>
        <v/>
      </c>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t="str">
        <f>IFERROR(__xludf.DUMMYFUNCTION("""COMPUTED_VALUE"""),"")</f>
        <v/>
      </c>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t="str">
        <f>IFERROR(__xludf.DUMMYFUNCTION("""COMPUTED_VALUE"""),"")</f>
        <v/>
      </c>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t="str">
        <f>IFERROR(__xludf.DUMMYFUNCTION("""COMPUTED_VALUE"""),"")</f>
        <v/>
      </c>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t="str">
        <f>IFERROR(__xludf.DUMMYFUNCTION("""COMPUTED_VALUE"""),"")</f>
        <v/>
      </c>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t="str">
        <f>IFERROR(__xludf.DUMMYFUNCTION("""COMPUTED_VALUE"""),"")</f>
        <v/>
      </c>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t="str">
        <f>IFERROR(__xludf.DUMMYFUNCTION("""COMPUTED_VALUE"""),"")</f>
        <v/>
      </c>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t="str">
        <f>IFERROR(__xludf.DUMMYFUNCTION("""COMPUTED_VALUE"""),"")</f>
        <v/>
      </c>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t="str">
        <f>IFERROR(__xludf.DUMMYFUNCTION("""COMPUTED_VALUE"""),"")</f>
        <v/>
      </c>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t="str">
        <f>IFERROR(__xludf.DUMMYFUNCTION("""COMPUTED_VALUE"""),"")</f>
        <v/>
      </c>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t="str">
        <f>IFERROR(__xludf.DUMMYFUNCTION("""COMPUTED_VALUE"""),"")</f>
        <v/>
      </c>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t="str">
        <f>IFERROR(__xludf.DUMMYFUNCTION("""COMPUTED_VALUE"""),"")</f>
        <v/>
      </c>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t="str">
        <f>IFERROR(__xludf.DUMMYFUNCTION("""COMPUTED_VALUE"""),"")</f>
        <v/>
      </c>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t="str">
        <f>IFERROR(__xludf.DUMMYFUNCTION("""COMPUTED_VALUE"""),"")</f>
        <v/>
      </c>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t="str">
        <f>IFERROR(__xludf.DUMMYFUNCTION("""COMPUTED_VALUE"""),"")</f>
        <v/>
      </c>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t="str">
        <f>IFERROR(__xludf.DUMMYFUNCTION("""COMPUTED_VALUE"""),"")</f>
        <v/>
      </c>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t="str">
        <f>IFERROR(__xludf.DUMMYFUNCTION("""COMPUTED_VALUE"""),"")</f>
        <v/>
      </c>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t="str">
        <f>IFERROR(__xludf.DUMMYFUNCTION("""COMPUTED_VALUE"""),"")</f>
        <v/>
      </c>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t="str">
        <f>IFERROR(__xludf.DUMMYFUNCTION("""COMPUTED_VALUE"""),"")</f>
        <v/>
      </c>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t="str">
        <f>IFERROR(__xludf.DUMMYFUNCTION("""COMPUTED_VALUE"""),"")</f>
        <v/>
      </c>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t="str">
        <f>IFERROR(__xludf.DUMMYFUNCTION("""COMPUTED_VALUE"""),"")</f>
        <v/>
      </c>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t="str">
        <f>IFERROR(__xludf.DUMMYFUNCTION("""COMPUTED_VALUE"""),"")</f>
        <v/>
      </c>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t="str">
        <f>IFERROR(__xludf.DUMMYFUNCTION("""COMPUTED_VALUE"""),"")</f>
        <v/>
      </c>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t="str">
        <f>IFERROR(__xludf.DUMMYFUNCTION("""COMPUTED_VALUE"""),"")</f>
        <v/>
      </c>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t="str">
        <f>IFERROR(__xludf.DUMMYFUNCTION("""COMPUTED_VALUE"""),"")</f>
        <v/>
      </c>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t="str">
        <f>IFERROR(__xludf.DUMMYFUNCTION("""COMPUTED_VALUE"""),"")</f>
        <v/>
      </c>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t="str">
        <f>IFERROR(__xludf.DUMMYFUNCTION("""COMPUTED_VALUE"""),"")</f>
        <v/>
      </c>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t="str">
        <f>IFERROR(__xludf.DUMMYFUNCTION("""COMPUTED_VALUE"""),"")</f>
        <v/>
      </c>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t="str">
        <f>IFERROR(__xludf.DUMMYFUNCTION("""COMPUTED_VALUE"""),"")</f>
        <v/>
      </c>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t="str">
        <f>IFERROR(__xludf.DUMMYFUNCTION("""COMPUTED_VALUE"""),"")</f>
        <v/>
      </c>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t="str">
        <f>IFERROR(__xludf.DUMMYFUNCTION("""COMPUTED_VALUE"""),"")</f>
        <v/>
      </c>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t="str">
        <f>IFERROR(__xludf.DUMMYFUNCTION("""COMPUTED_VALUE"""),"")</f>
        <v/>
      </c>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t="str">
        <f>IFERROR(__xludf.DUMMYFUNCTION("""COMPUTED_VALUE"""),"")</f>
        <v/>
      </c>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t="str">
        <f>IFERROR(__xludf.DUMMYFUNCTION("""COMPUTED_VALUE"""),"")</f>
        <v/>
      </c>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t="str">
        <f>IFERROR(__xludf.DUMMYFUNCTION("""COMPUTED_VALUE"""),"")</f>
        <v/>
      </c>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t="str">
        <f>IFERROR(__xludf.DUMMYFUNCTION("""COMPUTED_VALUE"""),"")</f>
        <v/>
      </c>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t="str">
        <f>IFERROR(__xludf.DUMMYFUNCTION("""COMPUTED_VALUE"""),"")</f>
        <v/>
      </c>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t="str">
        <f>IFERROR(__xludf.DUMMYFUNCTION("""COMPUTED_VALUE"""),"")</f>
        <v/>
      </c>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t="str">
        <f>IFERROR(__xludf.DUMMYFUNCTION("""COMPUTED_VALUE"""),"")</f>
        <v/>
      </c>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t="str">
        <f>IFERROR(__xludf.DUMMYFUNCTION("""COMPUTED_VALUE"""),"")</f>
        <v/>
      </c>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t="str">
        <f>IFERROR(__xludf.DUMMYFUNCTION("""COMPUTED_VALUE"""),"")</f>
        <v/>
      </c>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t="str">
        <f>IFERROR(__xludf.DUMMYFUNCTION("""COMPUTED_VALUE"""),"")</f>
        <v/>
      </c>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t="str">
        <f>IFERROR(__xludf.DUMMYFUNCTION("""COMPUTED_VALUE"""),"")</f>
        <v/>
      </c>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t="str">
        <f>IFERROR(__xludf.DUMMYFUNCTION("""COMPUTED_VALUE"""),"")</f>
        <v/>
      </c>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t="str">
        <f>IFERROR(__xludf.DUMMYFUNCTION("""COMPUTED_VALUE"""),"")</f>
        <v/>
      </c>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t="str">
        <f>IFERROR(__xludf.DUMMYFUNCTION("""COMPUTED_VALUE"""),"")</f>
        <v/>
      </c>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t="str">
        <f>IFERROR(__xludf.DUMMYFUNCTION("""COMPUTED_VALUE"""),"")</f>
        <v/>
      </c>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t="str">
        <f>IFERROR(__xludf.DUMMYFUNCTION("""COMPUTED_VALUE"""),"")</f>
        <v/>
      </c>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t="str">
        <f>IFERROR(__xludf.DUMMYFUNCTION("""COMPUTED_VALUE"""),"")</f>
        <v/>
      </c>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t="str">
        <f>IFERROR(__xludf.DUMMYFUNCTION("""COMPUTED_VALUE"""),"")</f>
        <v/>
      </c>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t="str">
        <f>IFERROR(__xludf.DUMMYFUNCTION("""COMPUTED_VALUE"""),"")</f>
        <v/>
      </c>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t="str">
        <f>IFERROR(__xludf.DUMMYFUNCTION("""COMPUTED_VALUE"""),"")</f>
        <v/>
      </c>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t="str">
        <f>IFERROR(__xludf.DUMMYFUNCTION("""COMPUTED_VALUE"""),"")</f>
        <v/>
      </c>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t="str">
        <f>IFERROR(__xludf.DUMMYFUNCTION("""COMPUTED_VALUE"""),"")</f>
        <v/>
      </c>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t="str">
        <f>IFERROR(__xludf.DUMMYFUNCTION("""COMPUTED_VALUE"""),"")</f>
        <v/>
      </c>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t="str">
        <f>IFERROR(__xludf.DUMMYFUNCTION("""COMPUTED_VALUE"""),"")</f>
        <v/>
      </c>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t="str">
        <f>IFERROR(__xludf.DUMMYFUNCTION("""COMPUTED_VALUE"""),"")</f>
        <v/>
      </c>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t="str">
        <f>IFERROR(__xludf.DUMMYFUNCTION("""COMPUTED_VALUE"""),"")</f>
        <v/>
      </c>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t="str">
        <f>IFERROR(__xludf.DUMMYFUNCTION("""COMPUTED_VALUE"""),"")</f>
        <v/>
      </c>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t="str">
        <f>IFERROR(__xludf.DUMMYFUNCTION("""COMPUTED_VALUE"""),"")</f>
        <v/>
      </c>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t="str">
        <f>IFERROR(__xludf.DUMMYFUNCTION("""COMPUTED_VALUE"""),"")</f>
        <v/>
      </c>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t="str">
        <f>IFERROR(__xludf.DUMMYFUNCTION("""COMPUTED_VALUE"""),"")</f>
        <v/>
      </c>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t="str">
        <f>IFERROR(__xludf.DUMMYFUNCTION("""COMPUTED_VALUE"""),"")</f>
        <v/>
      </c>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t="str">
        <f>IFERROR(__xludf.DUMMYFUNCTION("""COMPUTED_VALUE"""),"")</f>
        <v/>
      </c>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t="str">
        <f>IFERROR(__xludf.DUMMYFUNCTION("""COMPUTED_VALUE"""),"")</f>
        <v/>
      </c>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t="str">
        <f>IFERROR(__xludf.DUMMYFUNCTION("""COMPUTED_VALUE"""),"")</f>
        <v/>
      </c>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t="str">
        <f>IFERROR(__xludf.DUMMYFUNCTION("""COMPUTED_VALUE"""),"")</f>
        <v/>
      </c>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t="str">
        <f>IFERROR(__xludf.DUMMYFUNCTION("""COMPUTED_VALUE"""),"")</f>
        <v/>
      </c>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t="str">
        <f>IFERROR(__xludf.DUMMYFUNCTION("""COMPUTED_VALUE"""),"")</f>
        <v/>
      </c>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t="str">
        <f>IFERROR(__xludf.DUMMYFUNCTION("""COMPUTED_VALUE"""),"")</f>
        <v/>
      </c>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t="str">
        <f>IFERROR(__xludf.DUMMYFUNCTION("""COMPUTED_VALUE"""),"")</f>
        <v/>
      </c>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t="str">
        <f>IFERROR(__xludf.DUMMYFUNCTION("""COMPUTED_VALUE"""),"")</f>
        <v/>
      </c>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t="str">
        <f>IFERROR(__xludf.DUMMYFUNCTION("""COMPUTED_VALUE"""),"")</f>
        <v/>
      </c>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t="str">
        <f>IFERROR(__xludf.DUMMYFUNCTION("""COMPUTED_VALUE"""),"")</f>
        <v/>
      </c>
      <c r="Y995" s="16"/>
      <c r="Z995" s="16"/>
    </row>
  </sheetData>
  <hyperlinks>
    <hyperlink r:id="rId1" ref="A46"/>
    <hyperlink r:id="rId2" ref="A94"/>
    <hyperlink r:id="rId3" ref="A95"/>
    <hyperlink r:id="rId4" ref="A201"/>
  </hyperlinks>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s>
  <sheetData>
    <row r="1">
      <c r="B1" s="1" t="s">
        <v>1065</v>
      </c>
      <c r="C1" s="1" t="s">
        <v>1066</v>
      </c>
      <c r="D1" s="1" t="s">
        <v>1067</v>
      </c>
      <c r="E1" s="1" t="s">
        <v>1068</v>
      </c>
      <c r="F1" s="1" t="s">
        <v>1069</v>
      </c>
      <c r="G1" s="1" t="s">
        <v>1070</v>
      </c>
      <c r="H1" s="1" t="s">
        <v>1071</v>
      </c>
      <c r="I1" s="1" t="s">
        <v>897</v>
      </c>
      <c r="J1" s="1" t="s">
        <v>894</v>
      </c>
      <c r="K1" s="1" t="s">
        <v>901</v>
      </c>
      <c r="L1" s="1" t="s">
        <v>903</v>
      </c>
      <c r="M1" s="1" t="s">
        <v>916</v>
      </c>
    </row>
    <row r="2">
      <c r="A2" s="16" t="str">
        <f t="array" ref="A2:A11">sort(unique(MarketingCalendar!K2:K1000),1,1)</f>
        <v>Blogs</v>
      </c>
      <c r="B2" s="16">
        <f>COUNTIFS(MarketingCalendar!$K$2:$K1000, $A2, MarketingCalendar!$G$2:$G1000, B$1)</f>
        <v>0</v>
      </c>
      <c r="C2" s="16">
        <f>COUNTIFS(MarketingCalendar!$K$2:$K1000, $A2, MarketingCalendar!$G$2:$G1000, C$1)</f>
        <v>0</v>
      </c>
      <c r="D2" s="16">
        <f>COUNTIFS(MarketingCalendar!$K$2:$K1000, $A2, MarketingCalendar!$G$2:$G1000, D$1)</f>
        <v>0</v>
      </c>
      <c r="E2" s="16">
        <f>COUNTIFS(MarketingCalendar!$K$2:$K1000, $A2, MarketingCalendar!$G$2:$G1000, E$1)</f>
        <v>0</v>
      </c>
      <c r="F2" s="16">
        <f>COUNTIFS(MarketingCalendar!$K$2:$K1000, $A2, MarketingCalendar!$G$2:$G1000, F$1)</f>
        <v>0</v>
      </c>
      <c r="G2" s="16">
        <f>COUNTIFS(MarketingCalendar!$K$2:$K1000, $A2, MarketingCalendar!$G$2:$G1000, G$1)</f>
        <v>0</v>
      </c>
      <c r="H2" s="16">
        <f>COUNTIFS(MarketingCalendar!$K$2:$K1000, $A2, MarketingCalendar!$G$2:$G1000, H$1)</f>
        <v>0</v>
      </c>
      <c r="I2" s="16">
        <f>COUNTIFS(MarketingCalendar!$K$2:$K1000, $A2, MarketingCalendar!$G$2:$G1000, I$1)</f>
        <v>2</v>
      </c>
      <c r="J2" s="16">
        <f>COUNTIFS(MarketingCalendar!$K$2:$K1000, $A2, MarketingCalendar!$G$2:$G1000, J$1)</f>
        <v>2</v>
      </c>
      <c r="K2" s="16">
        <f>COUNTIFS(MarketingCalendar!$K$2:$K1000, $A2, MarketingCalendar!$G$2:$G1000, K$1)</f>
        <v>0</v>
      </c>
      <c r="L2" s="16">
        <f>COUNTIFS(MarketingCalendar!$K$2:$K1000, $A2, MarketingCalendar!$G$2:$G1000, L$1)</f>
        <v>2</v>
      </c>
      <c r="M2" s="16">
        <f>COUNTIFS(MarketingCalendar!$K$2:$K1000, $A2, MarketingCalendar!$G$2:$G1000, M$1)</f>
        <v>1</v>
      </c>
    </row>
    <row r="3">
      <c r="A3" s="16" t="s">
        <v>898</v>
      </c>
      <c r="B3" s="16">
        <f>COUNTIFS(MarketingCalendar!$K$2:$K1000, $A3, MarketingCalendar!$G$2:$G1000, B$1)</f>
        <v>0</v>
      </c>
      <c r="C3" s="16">
        <f>COUNTIFS(MarketingCalendar!$K$2:$K1000, $A3, MarketingCalendar!$G$2:$G1000, C$1)</f>
        <v>0</v>
      </c>
      <c r="D3" s="16">
        <f>COUNTIFS(MarketingCalendar!$K$2:$K1000, $A3, MarketingCalendar!$G$2:$G1000, D$1)</f>
        <v>0</v>
      </c>
      <c r="E3" s="16">
        <f>COUNTIFS(MarketingCalendar!$K$2:$K1000, $A3, MarketingCalendar!$G$2:$G1000, E$1)</f>
        <v>0</v>
      </c>
      <c r="F3" s="16">
        <f>COUNTIFS(MarketingCalendar!$K$2:$K1000, $A3, MarketingCalendar!$G$2:$G1000, F$1)</f>
        <v>0</v>
      </c>
      <c r="G3" s="16">
        <f>COUNTIFS(MarketingCalendar!$K$2:$K1000, $A3, MarketingCalendar!$G$2:$G1000, G$1)</f>
        <v>0</v>
      </c>
      <c r="H3" s="16">
        <f>COUNTIFS(MarketingCalendar!$K$2:$K1000, $A3, MarketingCalendar!$G$2:$G1000, H$1)</f>
        <v>0</v>
      </c>
      <c r="I3" s="16">
        <f>COUNTIFS(MarketingCalendar!$K$2:$K1000, $A3, MarketingCalendar!$G$2:$G1000, I$1)</f>
        <v>1</v>
      </c>
      <c r="J3" s="16">
        <f>COUNTIFS(MarketingCalendar!$K$2:$K1000, $A3, MarketingCalendar!$G$2:$G1000, J$1)</f>
        <v>0</v>
      </c>
      <c r="K3" s="16">
        <f>COUNTIFS(MarketingCalendar!$K$2:$K1000, $A3, MarketingCalendar!$G$2:$G1000, K$1)</f>
        <v>1</v>
      </c>
      <c r="L3" s="16">
        <f>COUNTIFS(MarketingCalendar!$K$2:$K1000, $A3, MarketingCalendar!$G$2:$G1000, L$1)</f>
        <v>1</v>
      </c>
      <c r="M3" s="16">
        <f>COUNTIFS(MarketingCalendar!$K$2:$K1000, $A3, MarketingCalendar!$G$2:$G1000, M$1)</f>
        <v>0</v>
      </c>
    </row>
    <row r="4">
      <c r="A4" s="16" t="s">
        <v>950</v>
      </c>
      <c r="B4" s="16">
        <f>COUNTIFS(MarketingCalendar!$K$2:$K1000, $A4, MarketingCalendar!$G$2:$G1000, B$1)</f>
        <v>0</v>
      </c>
      <c r="C4" s="16">
        <f>COUNTIFS(MarketingCalendar!$K$2:$K1000, $A4, MarketingCalendar!$G$2:$G1000, C$1)</f>
        <v>0</v>
      </c>
      <c r="D4" s="16">
        <f>COUNTIFS(MarketingCalendar!$K$2:$K1000, $A4, MarketingCalendar!$G$2:$G1000, D$1)</f>
        <v>0</v>
      </c>
      <c r="E4" s="16">
        <f>COUNTIFS(MarketingCalendar!$K$2:$K1000, $A4, MarketingCalendar!$G$2:$G1000, E$1)</f>
        <v>0</v>
      </c>
      <c r="F4" s="16">
        <f>COUNTIFS(MarketingCalendar!$K$2:$K1000, $A4, MarketingCalendar!$G$2:$G1000, F$1)</f>
        <v>0</v>
      </c>
      <c r="G4" s="16">
        <f>COUNTIFS(MarketingCalendar!$K$2:$K1000, $A4, MarketingCalendar!$G$2:$G1000, G$1)</f>
        <v>0</v>
      </c>
      <c r="H4" s="16">
        <f>COUNTIFS(MarketingCalendar!$K$2:$K1000, $A4, MarketingCalendar!$G$2:$G1000, H$1)</f>
        <v>0</v>
      </c>
      <c r="I4" s="16">
        <f>COUNTIFS(MarketingCalendar!$K$2:$K1000, $A4, MarketingCalendar!$G$2:$G1000, I$1)</f>
        <v>5</v>
      </c>
      <c r="J4" s="16">
        <f>COUNTIFS(MarketingCalendar!$K$2:$K1000, $A4, MarketingCalendar!$G$2:$G1000, J$1)</f>
        <v>5</v>
      </c>
      <c r="K4" s="16">
        <f>COUNTIFS(MarketingCalendar!$K$2:$K1000, $A4, MarketingCalendar!$G$2:$G1000, K$1)</f>
        <v>5</v>
      </c>
      <c r="L4" s="16">
        <f>COUNTIFS(MarketingCalendar!$K$2:$K1000, $A4, MarketingCalendar!$G$2:$G1000, L$1)</f>
        <v>0</v>
      </c>
      <c r="M4" s="16">
        <f>COUNTIFS(MarketingCalendar!$K$2:$K1000, $A4, MarketingCalendar!$G$2:$G1000, M$1)</f>
        <v>0</v>
      </c>
    </row>
    <row r="5">
      <c r="A5" s="16" t="s">
        <v>905</v>
      </c>
      <c r="B5" s="16">
        <f>COUNTIFS(MarketingCalendar!$K$2:$K1000, $A5, MarketingCalendar!$G$2:$G1000, B$1)</f>
        <v>0</v>
      </c>
      <c r="C5" s="16">
        <f>COUNTIFS(MarketingCalendar!$K$2:$K1000, $A5, MarketingCalendar!$G$2:$G1000, C$1)</f>
        <v>0</v>
      </c>
      <c r="D5" s="16">
        <f>COUNTIFS(MarketingCalendar!$K$2:$K1000, $A5, MarketingCalendar!$G$2:$G1000, D$1)</f>
        <v>0</v>
      </c>
      <c r="E5" s="16">
        <f>COUNTIFS(MarketingCalendar!$K$2:$K1000, $A5, MarketingCalendar!$G$2:$G1000, E$1)</f>
        <v>0</v>
      </c>
      <c r="F5" s="16">
        <f>COUNTIFS(MarketingCalendar!$K$2:$K1000, $A5, MarketingCalendar!$G$2:$G1000, F$1)</f>
        <v>0</v>
      </c>
      <c r="G5" s="16">
        <f>COUNTIFS(MarketingCalendar!$K$2:$K1000, $A5, MarketingCalendar!$G$2:$G1000, G$1)</f>
        <v>0</v>
      </c>
      <c r="H5" s="16">
        <f>COUNTIFS(MarketingCalendar!$K$2:$K1000, $A5, MarketingCalendar!$G$2:$G1000, H$1)</f>
        <v>0</v>
      </c>
      <c r="I5" s="16">
        <f>COUNTIFS(MarketingCalendar!$K$2:$K1000, $A5, MarketingCalendar!$G$2:$G1000, I$1)</f>
        <v>0</v>
      </c>
      <c r="J5" s="16">
        <f>COUNTIFS(MarketingCalendar!$K$2:$K1000, $A5, MarketingCalendar!$G$2:$G1000, J$1)</f>
        <v>5</v>
      </c>
      <c r="K5" s="16">
        <f>COUNTIFS(MarketingCalendar!$K$2:$K1000, $A5, MarketingCalendar!$G$2:$G1000, K$1)</f>
        <v>7</v>
      </c>
      <c r="L5" s="16">
        <f>COUNTIFS(MarketingCalendar!$K$2:$K1000, $A5, MarketingCalendar!$G$2:$G1000, L$1)</f>
        <v>3</v>
      </c>
      <c r="M5" s="16">
        <f>COUNTIFS(MarketingCalendar!$K$2:$K1000, $A5, MarketingCalendar!$G$2:$G1000, M$1)</f>
        <v>0</v>
      </c>
    </row>
    <row r="6">
      <c r="A6" s="16" t="s">
        <v>895</v>
      </c>
      <c r="B6" s="16">
        <f>COUNTIFS(MarketingCalendar!$K$2:$K1000, $A6, MarketingCalendar!$G$2:$G1000, B$1)</f>
        <v>0</v>
      </c>
      <c r="C6" s="16">
        <f>COUNTIFS(MarketingCalendar!$K$2:$K1000, $A6, MarketingCalendar!$G$2:$G1000, C$1)</f>
        <v>0</v>
      </c>
      <c r="D6" s="16">
        <f>COUNTIFS(MarketingCalendar!$K$2:$K1000, $A6, MarketingCalendar!$G$2:$G1000, D$1)</f>
        <v>0</v>
      </c>
      <c r="E6" s="16">
        <f>COUNTIFS(MarketingCalendar!$K$2:$K1000, $A6, MarketingCalendar!$G$2:$G1000, E$1)</f>
        <v>0</v>
      </c>
      <c r="F6" s="16">
        <f>COUNTIFS(MarketingCalendar!$K$2:$K1000, $A6, MarketingCalendar!$G$2:$G1000, F$1)</f>
        <v>0</v>
      </c>
      <c r="G6" s="16">
        <f>COUNTIFS(MarketingCalendar!$K$2:$K1000, $A6, MarketingCalendar!$G$2:$G1000, G$1)</f>
        <v>0</v>
      </c>
      <c r="H6" s="16">
        <f>COUNTIFS(MarketingCalendar!$K$2:$K1000, $A6, MarketingCalendar!$G$2:$G1000, H$1)</f>
        <v>0</v>
      </c>
      <c r="I6" s="16">
        <f>COUNTIFS(MarketingCalendar!$K$2:$K1000, $A6, MarketingCalendar!$G$2:$G1000, I$1)</f>
        <v>4</v>
      </c>
      <c r="J6" s="16">
        <f>COUNTIFS(MarketingCalendar!$K$2:$K1000, $A6, MarketingCalendar!$G$2:$G1000, J$1)</f>
        <v>3</v>
      </c>
      <c r="K6" s="16">
        <f>COUNTIFS(MarketingCalendar!$K$2:$K1000, $A6, MarketingCalendar!$G$2:$G1000, K$1)</f>
        <v>1</v>
      </c>
      <c r="L6" s="16">
        <f>COUNTIFS(MarketingCalendar!$K$2:$K1000, $A6, MarketingCalendar!$G$2:$G1000, L$1)</f>
        <v>3</v>
      </c>
      <c r="M6" s="16">
        <f>COUNTIFS(MarketingCalendar!$K$2:$K1000, $A6, MarketingCalendar!$G$2:$G1000, M$1)</f>
        <v>2</v>
      </c>
    </row>
    <row r="7">
      <c r="A7" s="16" t="s">
        <v>910</v>
      </c>
      <c r="B7" s="16">
        <f>COUNTIFS(MarketingCalendar!$K$2:$K1000, $A7, MarketingCalendar!$G$2:$G1000, B$1)</f>
        <v>0</v>
      </c>
      <c r="C7" s="16">
        <f>COUNTIFS(MarketingCalendar!$K$2:$K1000, $A7, MarketingCalendar!$G$2:$G1000, C$1)</f>
        <v>0</v>
      </c>
      <c r="D7" s="16">
        <f>COUNTIFS(MarketingCalendar!$K$2:$K1000, $A7, MarketingCalendar!$G$2:$G1000, D$1)</f>
        <v>0</v>
      </c>
      <c r="E7" s="16">
        <f>COUNTIFS(MarketingCalendar!$K$2:$K1000, $A7, MarketingCalendar!$G$2:$G1000, E$1)</f>
        <v>0</v>
      </c>
      <c r="F7" s="16">
        <f>COUNTIFS(MarketingCalendar!$K$2:$K1000, $A7, MarketingCalendar!$G$2:$G1000, F$1)</f>
        <v>0</v>
      </c>
      <c r="G7" s="16">
        <f>COUNTIFS(MarketingCalendar!$K$2:$K1000, $A7, MarketingCalendar!$G$2:$G1000, G$1)</f>
        <v>0</v>
      </c>
      <c r="H7" s="16">
        <f>COUNTIFS(MarketingCalendar!$K$2:$K1000, $A7, MarketingCalendar!$G$2:$G1000, H$1)</f>
        <v>0</v>
      </c>
      <c r="I7" s="16">
        <f>COUNTIFS(MarketingCalendar!$K$2:$K1000, $A7, MarketingCalendar!$G$2:$G1000, I$1)</f>
        <v>0</v>
      </c>
      <c r="J7" s="16">
        <f>COUNTIFS(MarketingCalendar!$K$2:$K1000, $A7, MarketingCalendar!$G$2:$G1000, J$1)</f>
        <v>2</v>
      </c>
      <c r="K7" s="16">
        <f>COUNTIFS(MarketingCalendar!$K$2:$K1000, $A7, MarketingCalendar!$G$2:$G1000, K$1)</f>
        <v>0</v>
      </c>
      <c r="L7" s="16">
        <f>COUNTIFS(MarketingCalendar!$K$2:$K1000, $A7, MarketingCalendar!$G$2:$G1000, L$1)</f>
        <v>0</v>
      </c>
      <c r="M7" s="16">
        <f>COUNTIFS(MarketingCalendar!$K$2:$K1000, $A7, MarketingCalendar!$G$2:$G1000, M$1)</f>
        <v>0</v>
      </c>
    </row>
    <row r="8">
      <c r="A8" s="16" t="s">
        <v>959</v>
      </c>
      <c r="B8" s="16">
        <f>COUNTIFS(MarketingCalendar!$K$2:$K1000, $A8, MarketingCalendar!$G$2:$G1000, B$1)</f>
        <v>0</v>
      </c>
      <c r="C8" s="16">
        <f>COUNTIFS(MarketingCalendar!$K$2:$K1000, $A8, MarketingCalendar!$G$2:$G1000, C$1)</f>
        <v>0</v>
      </c>
      <c r="D8" s="16">
        <f>COUNTIFS(MarketingCalendar!$K$2:$K1000, $A8, MarketingCalendar!$G$2:$G1000, D$1)</f>
        <v>0</v>
      </c>
      <c r="E8" s="16">
        <f>COUNTIFS(MarketingCalendar!$K$2:$K1000, $A8, MarketingCalendar!$G$2:$G1000, E$1)</f>
        <v>0</v>
      </c>
      <c r="F8" s="16">
        <f>COUNTIFS(MarketingCalendar!$K$2:$K1000, $A8, MarketingCalendar!$G$2:$G1000, F$1)</f>
        <v>0</v>
      </c>
      <c r="G8" s="16">
        <f>COUNTIFS(MarketingCalendar!$K$2:$K1000, $A8, MarketingCalendar!$G$2:$G1000, G$1)</f>
        <v>0</v>
      </c>
      <c r="H8" s="16">
        <f>COUNTIFS(MarketingCalendar!$K$2:$K1000, $A8, MarketingCalendar!$G$2:$G1000, H$1)</f>
        <v>0</v>
      </c>
      <c r="I8" s="16">
        <f>COUNTIFS(MarketingCalendar!$K$2:$K1000, $A8, MarketingCalendar!$G$2:$G1000, I$1)</f>
        <v>2</v>
      </c>
      <c r="J8" s="16">
        <f>COUNTIFS(MarketingCalendar!$K$2:$K1000, $A8, MarketingCalendar!$G$2:$G1000, J$1)</f>
        <v>0</v>
      </c>
      <c r="K8" s="16">
        <f>COUNTIFS(MarketingCalendar!$K$2:$K1000, $A8, MarketingCalendar!$G$2:$G1000, K$1)</f>
        <v>0</v>
      </c>
      <c r="L8" s="16">
        <f>COUNTIFS(MarketingCalendar!$K$2:$K1000, $A8, MarketingCalendar!$G$2:$G1000, L$1)</f>
        <v>0</v>
      </c>
      <c r="M8" s="16">
        <f>COUNTIFS(MarketingCalendar!$K$2:$K1000, $A8, MarketingCalendar!$G$2:$G1000, M$1)</f>
        <v>0</v>
      </c>
    </row>
    <row r="9">
      <c r="A9" s="16" t="s">
        <v>920</v>
      </c>
      <c r="B9" s="16">
        <f>COUNTIFS(MarketingCalendar!$K$2:$K1000, $A9, MarketingCalendar!$G$2:$G1000, B$1)</f>
        <v>0</v>
      </c>
      <c r="C9" s="16">
        <f>COUNTIFS(MarketingCalendar!$K$2:$K1000, $A9, MarketingCalendar!$G$2:$G1000, C$1)</f>
        <v>0</v>
      </c>
      <c r="D9" s="16">
        <f>COUNTIFS(MarketingCalendar!$K$2:$K1000, $A9, MarketingCalendar!$G$2:$G1000, D$1)</f>
        <v>0</v>
      </c>
      <c r="E9" s="16">
        <f>COUNTIFS(MarketingCalendar!$K$2:$K1000, $A9, MarketingCalendar!$G$2:$G1000, E$1)</f>
        <v>0</v>
      </c>
      <c r="F9" s="16">
        <f>COUNTIFS(MarketingCalendar!$K$2:$K1000, $A9, MarketingCalendar!$G$2:$G1000, F$1)</f>
        <v>0</v>
      </c>
      <c r="G9" s="16">
        <f>COUNTIFS(MarketingCalendar!$K$2:$K1000, $A9, MarketingCalendar!$G$2:$G1000, G$1)</f>
        <v>0</v>
      </c>
      <c r="H9" s="16">
        <f>COUNTIFS(MarketingCalendar!$K$2:$K1000, $A9, MarketingCalendar!$G$2:$G1000, H$1)</f>
        <v>0</v>
      </c>
      <c r="I9" s="16">
        <f>COUNTIFS(MarketingCalendar!$K$2:$K1000, $A9, MarketingCalendar!$G$2:$G1000, I$1)</f>
        <v>3</v>
      </c>
      <c r="J9" s="16">
        <f>COUNTIFS(MarketingCalendar!$K$2:$K1000, $A9, MarketingCalendar!$G$2:$G1000, J$1)</f>
        <v>3</v>
      </c>
      <c r="K9" s="16">
        <f>COUNTIFS(MarketingCalendar!$K$2:$K1000, $A9, MarketingCalendar!$G$2:$G1000, K$1)</f>
        <v>0</v>
      </c>
      <c r="L9" s="16">
        <f>COUNTIFS(MarketingCalendar!$K$2:$K1000, $A9, MarketingCalendar!$G$2:$G1000, L$1)</f>
        <v>1</v>
      </c>
      <c r="M9" s="16">
        <f>COUNTIFS(MarketingCalendar!$K$2:$K1000, $A9, MarketingCalendar!$G$2:$G1000, M$1)</f>
        <v>0</v>
      </c>
    </row>
    <row r="10">
      <c r="A10" s="16" t="s">
        <v>936</v>
      </c>
      <c r="B10" s="16">
        <f>COUNTIFS(MarketingCalendar!$K$2:$K1000, $A10, MarketingCalendar!$G$2:$G1000, B$1)</f>
        <v>0</v>
      </c>
      <c r="C10" s="16">
        <f>COUNTIFS(MarketingCalendar!$K$2:$K1000, $A10, MarketingCalendar!$G$2:$G1000, C$1)</f>
        <v>0</v>
      </c>
      <c r="D10" s="16">
        <f>COUNTIFS(MarketingCalendar!$K$2:$K1000, $A10, MarketingCalendar!$G$2:$G1000, D$1)</f>
        <v>0</v>
      </c>
      <c r="E10" s="16">
        <f>COUNTIFS(MarketingCalendar!$K$2:$K1000, $A10, MarketingCalendar!$G$2:$G1000, E$1)</f>
        <v>0</v>
      </c>
      <c r="F10" s="16">
        <f>COUNTIFS(MarketingCalendar!$K$2:$K1000, $A10, MarketingCalendar!$G$2:$G1000, F$1)</f>
        <v>0</v>
      </c>
      <c r="G10" s="16">
        <f>COUNTIFS(MarketingCalendar!$K$2:$K1000, $A10, MarketingCalendar!$G$2:$G1000, G$1)</f>
        <v>0</v>
      </c>
      <c r="H10" s="16">
        <f>COUNTIFS(MarketingCalendar!$K$2:$K1000, $A10, MarketingCalendar!$G$2:$G1000, H$1)</f>
        <v>0</v>
      </c>
      <c r="I10" s="16">
        <f>COUNTIFS(MarketingCalendar!$K$2:$K1000, $A10, MarketingCalendar!$G$2:$G1000, I$1)</f>
        <v>2</v>
      </c>
      <c r="J10" s="16">
        <f>COUNTIFS(MarketingCalendar!$K$2:$K1000, $A10, MarketingCalendar!$G$2:$G1000, J$1)</f>
        <v>3</v>
      </c>
      <c r="K10" s="16">
        <f>COUNTIFS(MarketingCalendar!$K$2:$K1000, $A10, MarketingCalendar!$G$2:$G1000, K$1)</f>
        <v>1</v>
      </c>
      <c r="L10" s="16">
        <f>COUNTIFS(MarketingCalendar!$K$2:$K1000, $A10, MarketingCalendar!$G$2:$G1000, L$1)</f>
        <v>1</v>
      </c>
      <c r="M10" s="16">
        <f>COUNTIFS(MarketingCalendar!$K$2:$K1000, $A10, MarketingCalendar!$G$2:$G1000, M$1)</f>
        <v>0</v>
      </c>
    </row>
    <row r="11">
      <c r="A11" s="1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tr">
        <f>IFERROR(__xludf.DUMMYFUNCTION("IMPORTRANGE(""https://docs.google.com/spreadsheets/d/1AAHebsqOhZBPBThpph8nqUNepw0z5WQpk2Qam2KXOV0/edit"", ""Contacts!A1:X400"")"),"First Name")</f>
        <v>First Name</v>
      </c>
      <c r="B1" s="16" t="str">
        <f>IFERROR(__xludf.DUMMYFUNCTION("""COMPUTED_VALUE"""),"Last Name")</f>
        <v>Last Name</v>
      </c>
      <c r="C1" s="16" t="str">
        <f>IFERROR(__xludf.DUMMYFUNCTION("""COMPUTED_VALUE"""),"Title")</f>
        <v>Title</v>
      </c>
      <c r="D1" s="16" t="str">
        <f>IFERROR(__xludf.DUMMYFUNCTION("""COMPUTED_VALUE"""),"Account Name")</f>
        <v>Account Name</v>
      </c>
      <c r="E1" s="16" t="str">
        <f>IFERROR(__xludf.DUMMYFUNCTION("""COMPUTED_VALUE"""),"Tier")</f>
        <v>Tier</v>
      </c>
      <c r="F1" s="16" t="str">
        <f>IFERROR(__xludf.DUMMYFUNCTION("""COMPUTED_VALUE"""),"Email")</f>
        <v>Email</v>
      </c>
      <c r="G1" s="16" t="str">
        <f>IFERROR(__xludf.DUMMYFUNCTION("""COMPUTED_VALUE"""),"Account Owner")</f>
        <v>Account Owner</v>
      </c>
      <c r="H1" s="16" t="str">
        <f>IFERROR(__xludf.DUMMYFUNCTION("""COMPUTED_VALUE"""),"Partner - Alliance Type")</f>
        <v>Partner - Alliance Type</v>
      </c>
      <c r="I1" s="16" t="str">
        <f>IFERROR(__xludf.DUMMYFUNCTION("""COMPUTED_VALUE"""),"Mailing Address Line 1")</f>
        <v>Mailing Address Line 1</v>
      </c>
      <c r="J1" s="16" t="str">
        <f>IFERROR(__xludf.DUMMYFUNCTION("""COMPUTED_VALUE"""),"Mailing Address Line 2")</f>
        <v>Mailing Address Line 2</v>
      </c>
      <c r="K1" s="16" t="str">
        <f>IFERROR(__xludf.DUMMYFUNCTION("""COMPUTED_VALUE"""),"Mailing City")</f>
        <v>Mailing City</v>
      </c>
      <c r="L1" s="16" t="str">
        <f>IFERROR(__xludf.DUMMYFUNCTION("""COMPUTED_VALUE"""),"Mailing State/Province")</f>
        <v>Mailing State/Province</v>
      </c>
      <c r="M1" s="16" t="str">
        <f>IFERROR(__xludf.DUMMYFUNCTION("""COMPUTED_VALUE"""),"Mailing Zip/Postal Code")</f>
        <v>Mailing Zip/Postal Code</v>
      </c>
      <c r="N1" s="16" t="str">
        <f>IFERROR(__xludf.DUMMYFUNCTION("""COMPUTED_VALUE"""),"Mailing Country")</f>
        <v>Mailing Country</v>
      </c>
      <c r="O1" s="16" t="str">
        <f>IFERROR(__xludf.DUMMYFUNCTION("""COMPUTED_VALUE"""),"Alliances Marketing Tier Level")</f>
        <v>Alliances Marketing Tier Level</v>
      </c>
      <c r="P1" s="16" t="str">
        <f>IFERROR(__xludf.DUMMYFUNCTION("""COMPUTED_VALUE"""),"Is Primary Account Contact")</f>
        <v>Is Primary Account Contact</v>
      </c>
      <c r="Q1" s="16" t="str">
        <f>IFERROR(__xludf.DUMMYFUNCTION("""COMPUTED_VALUE"""),"Connections (Partner Contact)")</f>
        <v>Connections (Partner Contact)</v>
      </c>
      <c r="R1" s="16" t="str">
        <f>IFERROR(__xludf.DUMMYFUNCTION("""COMPUTED_VALUE"""),"Partner Persona")</f>
        <v>Partner Persona</v>
      </c>
      <c r="S1" s="16" t="str">
        <f>IFERROR(__xludf.DUMMYFUNCTION("""COMPUTED_VALUE"""),"Account Short Name")</f>
        <v>Account Short Name</v>
      </c>
      <c r="T1" s="16" t="str">
        <f>IFERROR(__xludf.DUMMYFUNCTION("""COMPUTED_VALUE"""),"Partner Status")</f>
        <v>Partner Status</v>
      </c>
      <c r="U1" s="16" t="str">
        <f>IFERROR(__xludf.DUMMYFUNCTION("""COMPUTED_VALUE"""),"NPE User")</f>
        <v>NPE User</v>
      </c>
      <c r="V1" s="16"/>
      <c r="W1" s="16"/>
      <c r="X1" s="16"/>
    </row>
    <row r="2">
      <c r="A2" s="16" t="str">
        <f>IFERROR(__xludf.DUMMYFUNCTION("""COMPUTED_VALUE"""),"Derrick")</f>
        <v>Derrick</v>
      </c>
      <c r="B2" s="16" t="str">
        <f>IFERROR(__xludf.DUMMYFUNCTION("""COMPUTED_VALUE"""),"Chan-Sew")</f>
        <v>Chan-Sew</v>
      </c>
      <c r="C2" s="16" t="str">
        <f>IFERROR(__xludf.DUMMYFUNCTION("""COMPUTED_VALUE"""),"Director, Information Systems")</f>
        <v>Director, Information Systems</v>
      </c>
      <c r="D2" s="16" t="str">
        <f>IFERROR(__xludf.DUMMYFUNCTION("""COMPUTED_VALUE"""),"ABI Document Support Services(R) LLC")</f>
        <v>ABI Document Support Services(R) LLC</v>
      </c>
      <c r="E2" s="16" t="str">
        <f>IFERROR(__xludf.DUMMYFUNCTION("""COMPUTED_VALUE"""),"Growth")</f>
        <v>Growth</v>
      </c>
      <c r="F2" s="16" t="str">
        <f>IFERROR(__xludf.DUMMYFUNCTION("""COMPUTED_VALUE"""),"dchan-sew@abidss.com")</f>
        <v>dchan-sew@abidss.com</v>
      </c>
      <c r="G2" s="16" t="str">
        <f>IFERROR(__xludf.DUMMYFUNCTION("""COMPUTED_VALUE"""),"Aaron Shaw")</f>
        <v>Aaron Shaw</v>
      </c>
      <c r="H2" s="16" t="str">
        <f>IFERROR(__xludf.DUMMYFUNCTION("""COMPUTED_VALUE"""),"PartnerConnect - Technology")</f>
        <v>PartnerConnect - Technology</v>
      </c>
      <c r="I2" s="16" t="str">
        <f>IFERROR(__xludf.DUMMYFUNCTION("""COMPUTED_VALUE"""),"10459 Mountain View Ave. Suite E")</f>
        <v>10459 Mountain View Ave. Suite E</v>
      </c>
      <c r="J2" s="16"/>
      <c r="K2" s="16" t="str">
        <f>IFERROR(__xludf.DUMMYFUNCTION("""COMPUTED_VALUE"""),"Loma Linda")</f>
        <v>Loma Linda</v>
      </c>
      <c r="L2" s="16" t="str">
        <f>IFERROR(__xludf.DUMMYFUNCTION("""COMPUTED_VALUE"""),"CA")</f>
        <v>CA</v>
      </c>
      <c r="M2" s="16">
        <f>IFERROR(__xludf.DUMMYFUNCTION("""COMPUTED_VALUE"""),92354.0)</f>
        <v>92354</v>
      </c>
      <c r="N2" s="16" t="str">
        <f>IFERROR(__xludf.DUMMYFUNCTION("""COMPUTED_VALUE"""),"United States")</f>
        <v>United States</v>
      </c>
      <c r="O2" s="16" t="str">
        <f>IFERROR(__xludf.DUMMYFUNCTION("""COMPUTED_VALUE"""),"Low")</f>
        <v>Low</v>
      </c>
      <c r="P2" s="16" t="b">
        <f>IFERROR(__xludf.DUMMYFUNCTION("""COMPUTED_VALUE"""),TRUE)</f>
        <v>1</v>
      </c>
      <c r="Q2" s="16" t="b">
        <f>IFERROR(__xludf.DUMMYFUNCTION("""COMPUTED_VALUE"""),TRUE)</f>
        <v>1</v>
      </c>
      <c r="R2" s="16" t="str">
        <f>IFERROR(__xludf.DUMMYFUNCTION("""COMPUTED_VALUE"""),"Admin, Admin, Business, Events, Marketing, Technical")</f>
        <v>Admin, Admin, Business, Events, Marketing, Technical</v>
      </c>
      <c r="S2" s="16" t="str">
        <f>IFERROR(__xludf.DUMMYFUNCTION("""COMPUTED_VALUE"""),"ABI")</f>
        <v>ABI</v>
      </c>
      <c r="T2" s="16" t="str">
        <f>IFERROR(__xludf.DUMMYFUNCTION("""COMPUTED_VALUE"""),"Current Partner")</f>
        <v>Current Partner</v>
      </c>
      <c r="U2" s="16" t="b">
        <f>IFERROR(__xludf.DUMMYFUNCTION("""COMPUTED_VALUE"""),FALSE)</f>
        <v>0</v>
      </c>
      <c r="V2" s="16"/>
      <c r="W2" s="16"/>
      <c r="X2" s="16"/>
    </row>
    <row r="3">
      <c r="A3" s="16" t="str">
        <f>IFERROR(__xludf.DUMMYFUNCTION("""COMPUTED_VALUE"""),"Leslee")</f>
        <v>Leslee</v>
      </c>
      <c r="B3" s="16" t="str">
        <f>IFERROR(__xludf.DUMMYFUNCTION("""COMPUTED_VALUE"""),"Detillo")</f>
        <v>Detillo</v>
      </c>
      <c r="C3" s="16" t="str">
        <f>IFERROR(__xludf.DUMMYFUNCTION("""COMPUTED_VALUE"""),"VP, Marketing &amp; Communications")</f>
        <v>VP, Marketing &amp; Communications</v>
      </c>
      <c r="D3" s="16" t="str">
        <f>IFERROR(__xludf.DUMMYFUNCTION("""COMPUTED_VALUE"""),"ABI Document Support Services(R) LLC")</f>
        <v>ABI Document Support Services(R) LLC</v>
      </c>
      <c r="E3" s="16" t="str">
        <f>IFERROR(__xludf.DUMMYFUNCTION("""COMPUTED_VALUE"""),"Growth")</f>
        <v>Growth</v>
      </c>
      <c r="F3" s="16" t="str">
        <f>IFERROR(__xludf.DUMMYFUNCTION("""COMPUTED_VALUE"""),"ldetillo@abidss.com")</f>
        <v>ldetillo@abidss.com</v>
      </c>
      <c r="G3" s="16" t="str">
        <f>IFERROR(__xludf.DUMMYFUNCTION("""COMPUTED_VALUE"""),"Aaron Shaw")</f>
        <v>Aaron Shaw</v>
      </c>
      <c r="H3" s="16" t="str">
        <f>IFERROR(__xludf.DUMMYFUNCTION("""COMPUTED_VALUE"""),"PartnerConnect - Technology")</f>
        <v>PartnerConnect - Technology</v>
      </c>
      <c r="I3" s="16"/>
      <c r="J3" s="16"/>
      <c r="K3" s="16"/>
      <c r="L3" s="16"/>
      <c r="M3" s="16"/>
      <c r="N3" s="16" t="str">
        <f>IFERROR(__xludf.DUMMYFUNCTION("""COMPUTED_VALUE"""),"United States")</f>
        <v>United States</v>
      </c>
      <c r="O3" s="16" t="str">
        <f>IFERROR(__xludf.DUMMYFUNCTION("""COMPUTED_VALUE"""),"Low")</f>
        <v>Low</v>
      </c>
      <c r="P3" s="16" t="b">
        <f>IFERROR(__xludf.DUMMYFUNCTION("""COMPUTED_VALUE"""),FALSE)</f>
        <v>0</v>
      </c>
      <c r="Q3" s="16" t="b">
        <f>IFERROR(__xludf.DUMMYFUNCTION("""COMPUTED_VALUE"""),TRUE)</f>
        <v>1</v>
      </c>
      <c r="R3" s="16" t="str">
        <f>IFERROR(__xludf.DUMMYFUNCTION("""COMPUTED_VALUE"""),"Business, Events, Marketing")</f>
        <v>Business, Events, Marketing</v>
      </c>
      <c r="S3" s="16" t="str">
        <f>IFERROR(__xludf.DUMMYFUNCTION("""COMPUTED_VALUE"""),"ABI")</f>
        <v>ABI</v>
      </c>
      <c r="T3" s="16" t="str">
        <f>IFERROR(__xludf.DUMMYFUNCTION("""COMPUTED_VALUE"""),"Current Partner")</f>
        <v>Current Partner</v>
      </c>
      <c r="U3" s="16" t="b">
        <f>IFERROR(__xludf.DUMMYFUNCTION("""COMPUTED_VALUE"""),FALSE)</f>
        <v>0</v>
      </c>
      <c r="V3" s="16"/>
      <c r="W3" s="16"/>
      <c r="X3" s="16"/>
    </row>
    <row r="4">
      <c r="A4" s="16" t="str">
        <f>IFERROR(__xludf.DUMMYFUNCTION("""COMPUTED_VALUE"""),"Stephen")</f>
        <v>Stephen</v>
      </c>
      <c r="B4" s="16" t="str">
        <f>IFERROR(__xludf.DUMMYFUNCTION("""COMPUTED_VALUE"""),"Junker")</f>
        <v>Junker</v>
      </c>
      <c r="C4" s="16" t="str">
        <f>IFERROR(__xludf.DUMMYFUNCTION("""COMPUTED_VALUE"""),"CIO")</f>
        <v>CIO</v>
      </c>
      <c r="D4" s="16" t="str">
        <f>IFERROR(__xludf.DUMMYFUNCTION("""COMPUTED_VALUE"""),"accuro Solutions")</f>
        <v>accuro Solutions</v>
      </c>
      <c r="E4" s="16" t="str">
        <f>IFERROR(__xludf.DUMMYFUNCTION("""COMPUTED_VALUE"""),"Growth")</f>
        <v>Growth</v>
      </c>
      <c r="F4" s="16" t="str">
        <f>IFERROR(__xludf.DUMMYFUNCTION("""COMPUTED_VALUE"""),"steve.junker@accurosolutions.com")</f>
        <v>steve.junker@accurosolutions.com</v>
      </c>
      <c r="G4" s="16" t="str">
        <f>IFERROR(__xludf.DUMMYFUNCTION("""COMPUTED_VALUE"""),"Rod Gowin")</f>
        <v>Rod Gowin</v>
      </c>
      <c r="H4" s="16" t="str">
        <f>IFERROR(__xludf.DUMMYFUNCTION("""COMPUTED_VALUE"""),"PartnerConnect - Technology")</f>
        <v>PartnerConnect - Technology</v>
      </c>
      <c r="I4" s="16" t="str">
        <f>IFERROR(__xludf.DUMMYFUNCTION("""COMPUTED_VALUE"""),"2100 Wharton St")</f>
        <v>2100 Wharton St</v>
      </c>
      <c r="J4" s="16"/>
      <c r="K4" s="16" t="str">
        <f>IFERROR(__xludf.DUMMYFUNCTION("""COMPUTED_VALUE"""),"Pittsburgh")</f>
        <v>Pittsburgh</v>
      </c>
      <c r="L4" s="16" t="str">
        <f>IFERROR(__xludf.DUMMYFUNCTION("""COMPUTED_VALUE"""),"Pennsylvania")</f>
        <v>Pennsylvania</v>
      </c>
      <c r="M4" s="16">
        <f>IFERROR(__xludf.DUMMYFUNCTION("""COMPUTED_VALUE"""),15642.0)</f>
        <v>15642</v>
      </c>
      <c r="N4" s="16" t="str">
        <f>IFERROR(__xludf.DUMMYFUNCTION("""COMPUTED_VALUE"""),"United States")</f>
        <v>United States</v>
      </c>
      <c r="O4" s="16" t="str">
        <f>IFERROR(__xludf.DUMMYFUNCTION("""COMPUTED_VALUE"""),"Medium")</f>
        <v>Medium</v>
      </c>
      <c r="P4" s="16" t="b">
        <f>IFERROR(__xludf.DUMMYFUNCTION("""COMPUTED_VALUE"""),TRUE)</f>
        <v>1</v>
      </c>
      <c r="Q4" s="16" t="b">
        <f>IFERROR(__xludf.DUMMYFUNCTION("""COMPUTED_VALUE"""),FALSE)</f>
        <v>0</v>
      </c>
      <c r="R4" s="16" t="str">
        <f>IFERROR(__xludf.DUMMYFUNCTION("""COMPUTED_VALUE"""),"Admin")</f>
        <v>Admin</v>
      </c>
      <c r="S4" s="16" t="str">
        <f>IFERROR(__xludf.DUMMYFUNCTION("""COMPUTED_VALUE"""),"Accuro solutions")</f>
        <v>Accuro solutions</v>
      </c>
      <c r="T4" s="16" t="str">
        <f>IFERROR(__xludf.DUMMYFUNCTION("""COMPUTED_VALUE"""),"Current Partner")</f>
        <v>Current Partner</v>
      </c>
      <c r="U4" s="16" t="b">
        <f>IFERROR(__xludf.DUMMYFUNCTION("""COMPUTED_VALUE"""),FALSE)</f>
        <v>0</v>
      </c>
      <c r="V4" s="16"/>
      <c r="W4" s="16"/>
      <c r="X4" s="16"/>
    </row>
    <row r="5">
      <c r="A5" s="16" t="str">
        <f>IFERROR(__xludf.DUMMYFUNCTION("""COMPUTED_VALUE"""),"Donna")</f>
        <v>Donna</v>
      </c>
      <c r="B5" s="16" t="str">
        <f>IFERROR(__xludf.DUMMYFUNCTION("""COMPUTED_VALUE"""),"Harper")</f>
        <v>Harper</v>
      </c>
      <c r="C5" s="16" t="str">
        <f>IFERROR(__xludf.DUMMYFUNCTION("""COMPUTED_VALUE"""),"Senior Channel Partner Manager, Corporates/Biller")</f>
        <v>Senior Channel Partner Manager, Corporates/Biller</v>
      </c>
      <c r="D5" s="16" t="str">
        <f>IFERROR(__xludf.DUMMYFUNCTION("""COMPUTED_VALUE"""),"ACI Worldwide")</f>
        <v>ACI Worldwide</v>
      </c>
      <c r="E5" s="16" t="str">
        <f>IFERROR(__xludf.DUMMYFUNCTION("""COMPUTED_VALUE"""),"Growth")</f>
        <v>Growth</v>
      </c>
      <c r="F5" s="16" t="str">
        <f>IFERROR(__xludf.DUMMYFUNCTION("""COMPUTED_VALUE"""),"donna.harper@aciworldwide.com")</f>
        <v>donna.harper@aciworldwide.com</v>
      </c>
      <c r="G5" s="16" t="str">
        <f>IFERROR(__xludf.DUMMYFUNCTION("""COMPUTED_VALUE"""),"Aaron Shaw")</f>
        <v>Aaron Shaw</v>
      </c>
      <c r="H5" s="16" t="str">
        <f>IFERROR(__xludf.DUMMYFUNCTION("""COMPUTED_VALUE"""),"PartnerConnect - Technology")</f>
        <v>PartnerConnect - Technology</v>
      </c>
      <c r="I5" s="16" t="str">
        <f>IFERROR(__xludf.DUMMYFUNCTION("""COMPUTED_VALUE"""),"17408 Magnolia Island Blvd Ste 300")</f>
        <v>17408 Magnolia Island Blvd Ste 300</v>
      </c>
      <c r="J5" s="16"/>
      <c r="K5" s="16" t="str">
        <f>IFERROR(__xludf.DUMMYFUNCTION("""COMPUTED_VALUE"""),"Clermont")</f>
        <v>Clermont</v>
      </c>
      <c r="L5" s="16" t="str">
        <f>IFERROR(__xludf.DUMMYFUNCTION("""COMPUTED_VALUE"""),"FL")</f>
        <v>FL</v>
      </c>
      <c r="M5" s="16">
        <f>IFERROR(__xludf.DUMMYFUNCTION("""COMPUTED_VALUE"""),34711.0)</f>
        <v>34711</v>
      </c>
      <c r="N5" s="16" t="str">
        <f>IFERROR(__xludf.DUMMYFUNCTION("""COMPUTED_VALUE"""),"United States")</f>
        <v>United States</v>
      </c>
      <c r="O5" s="16" t="str">
        <f>IFERROR(__xludf.DUMMYFUNCTION("""COMPUTED_VALUE"""),"Low")</f>
        <v>Low</v>
      </c>
      <c r="P5" s="16" t="b">
        <f>IFERROR(__xludf.DUMMYFUNCTION("""COMPUTED_VALUE"""),TRUE)</f>
        <v>1</v>
      </c>
      <c r="Q5" s="16" t="b">
        <f>IFERROR(__xludf.DUMMYFUNCTION("""COMPUTED_VALUE"""),FALSE)</f>
        <v>0</v>
      </c>
      <c r="R5" s="16" t="str">
        <f>IFERROR(__xludf.DUMMYFUNCTION("""COMPUTED_VALUE"""),"Admin, Business, Marketing, Client Partner / Partner Account Executive")</f>
        <v>Admin, Business, Marketing, Client Partner / Partner Account Executive</v>
      </c>
      <c r="S5" s="16" t="str">
        <f>IFERROR(__xludf.DUMMYFUNCTION("""COMPUTED_VALUE"""),"ACI")</f>
        <v>ACI</v>
      </c>
      <c r="T5" s="16" t="str">
        <f>IFERROR(__xludf.DUMMYFUNCTION("""COMPUTED_VALUE"""),"Current Partner")</f>
        <v>Current Partner</v>
      </c>
      <c r="U5" s="16" t="b">
        <f>IFERROR(__xludf.DUMMYFUNCTION("""COMPUTED_VALUE"""),FALSE)</f>
        <v>0</v>
      </c>
      <c r="V5" s="16"/>
      <c r="W5" s="16"/>
      <c r="X5" s="16"/>
    </row>
    <row r="6">
      <c r="A6" s="16" t="str">
        <f>IFERROR(__xludf.DUMMYFUNCTION("""COMPUTED_VALUE"""),"Max")</f>
        <v>Max</v>
      </c>
      <c r="B6" s="16" t="str">
        <f>IFERROR(__xludf.DUMMYFUNCTION("""COMPUTED_VALUE"""),"Di Paola")</f>
        <v>Di Paola</v>
      </c>
      <c r="C6" s="16" t="str">
        <f>IFERROR(__xludf.DUMMYFUNCTION("""COMPUTED_VALUE"""),"CEO-President")</f>
        <v>CEO-President</v>
      </c>
      <c r="D6" s="16" t="str">
        <f>IFERROR(__xludf.DUMMYFUNCTION("""COMPUTED_VALUE"""),"ADDATECH Systems")</f>
        <v>ADDATECH Systems</v>
      </c>
      <c r="E6" s="16" t="str">
        <f>IFERROR(__xludf.DUMMYFUNCTION("""COMPUTED_VALUE"""),"Growth")</f>
        <v>Growth</v>
      </c>
      <c r="F6" s="16" t="str">
        <f>IFERROR(__xludf.DUMMYFUNCTION("""COMPUTED_VALUE"""),"max@addatech.ca")</f>
        <v>max@addatech.ca</v>
      </c>
      <c r="G6" s="16" t="str">
        <f>IFERROR(__xludf.DUMMYFUNCTION("""COMPUTED_VALUE"""),"Rod Gowin")</f>
        <v>Rod Gowin</v>
      </c>
      <c r="H6" s="16" t="str">
        <f>IFERROR(__xludf.DUMMYFUNCTION("""COMPUTED_VALUE"""),"PartnerConnect - Technology")</f>
        <v>PartnerConnect - Technology</v>
      </c>
      <c r="I6" s="16" t="str">
        <f>IFERROR(__xludf.DUMMYFUNCTION("""COMPUTED_VALUE"""),"1800 Rue Berlier #300. Laval, QC. H7L 4S4")</f>
        <v>1800 Rue Berlier #300. Laval, QC. H7L 4S4</v>
      </c>
      <c r="J6" s="16"/>
      <c r="K6" s="16" t="str">
        <f>IFERROR(__xludf.DUMMYFUNCTION("""COMPUTED_VALUE"""),"Laval")</f>
        <v>Laval</v>
      </c>
      <c r="L6" s="16" t="str">
        <f>IFERROR(__xludf.DUMMYFUNCTION("""COMPUTED_VALUE"""),"Quebec")</f>
        <v>Quebec</v>
      </c>
      <c r="M6" s="16" t="str">
        <f>IFERROR(__xludf.DUMMYFUNCTION("""COMPUTED_VALUE"""),"H7L 4S4")</f>
        <v>H7L 4S4</v>
      </c>
      <c r="N6" s="16" t="str">
        <f>IFERROR(__xludf.DUMMYFUNCTION("""COMPUTED_VALUE"""),"Canada")</f>
        <v>Canada</v>
      </c>
      <c r="O6" s="16" t="str">
        <f>IFERROR(__xludf.DUMMYFUNCTION("""COMPUTED_VALUE"""),"Low")</f>
        <v>Low</v>
      </c>
      <c r="P6" s="16" t="b">
        <f>IFERROR(__xludf.DUMMYFUNCTION("""COMPUTED_VALUE"""),TRUE)</f>
        <v>1</v>
      </c>
      <c r="Q6" s="16" t="b">
        <f>IFERROR(__xludf.DUMMYFUNCTION("""COMPUTED_VALUE"""),FALSE)</f>
        <v>0</v>
      </c>
      <c r="R6" s="16" t="str">
        <f>IFERROR(__xludf.DUMMYFUNCTION("""COMPUTED_VALUE"""),"Admin, Business")</f>
        <v>Admin, Business</v>
      </c>
      <c r="S6" s="16" t="str">
        <f>IFERROR(__xludf.DUMMYFUNCTION("""COMPUTED_VALUE"""),"Addatech")</f>
        <v>Addatech</v>
      </c>
      <c r="T6" s="16" t="str">
        <f>IFERROR(__xludf.DUMMYFUNCTION("""COMPUTED_VALUE"""),"Current Partner")</f>
        <v>Current Partner</v>
      </c>
      <c r="U6" s="16" t="b">
        <f>IFERROR(__xludf.DUMMYFUNCTION("""COMPUTED_VALUE"""),FALSE)</f>
        <v>0</v>
      </c>
      <c r="V6" s="16"/>
      <c r="W6" s="16"/>
      <c r="X6" s="16"/>
    </row>
    <row r="7">
      <c r="A7" s="16" t="str">
        <f>IFERROR(__xludf.DUMMYFUNCTION("""COMPUTED_VALUE"""),"Adam")</f>
        <v>Adam</v>
      </c>
      <c r="B7" s="16" t="str">
        <f>IFERROR(__xludf.DUMMYFUNCTION("""COMPUTED_VALUE"""),"Di Paola")</f>
        <v>Di Paola</v>
      </c>
      <c r="C7" s="16" t="str">
        <f>IFERROR(__xludf.DUMMYFUNCTION("""COMPUTED_VALUE"""),"Director of Marketing|Directeur de Marketing")</f>
        <v>Director of Marketing|Directeur de Marketing</v>
      </c>
      <c r="D7" s="16" t="str">
        <f>IFERROR(__xludf.DUMMYFUNCTION("""COMPUTED_VALUE"""),"ADDATECH Systems")</f>
        <v>ADDATECH Systems</v>
      </c>
      <c r="E7" s="16" t="str">
        <f>IFERROR(__xludf.DUMMYFUNCTION("""COMPUTED_VALUE"""),"Growth")</f>
        <v>Growth</v>
      </c>
      <c r="F7" s="16" t="str">
        <f>IFERROR(__xludf.DUMMYFUNCTION("""COMPUTED_VALUE"""),"adam@addatech.ca")</f>
        <v>adam@addatech.ca</v>
      </c>
      <c r="G7" s="16" t="str">
        <f>IFERROR(__xludf.DUMMYFUNCTION("""COMPUTED_VALUE"""),"Rod Gowin")</f>
        <v>Rod Gowin</v>
      </c>
      <c r="H7" s="16" t="str">
        <f>IFERROR(__xludf.DUMMYFUNCTION("""COMPUTED_VALUE"""),"PartnerConnect - Technology")</f>
        <v>PartnerConnect - Technology</v>
      </c>
      <c r="I7" s="16" t="str">
        <f>IFERROR(__xludf.DUMMYFUNCTION("""COMPUTED_VALUE"""),"300-1800 rue Berlier")</f>
        <v>300-1800 rue Berlier</v>
      </c>
      <c r="J7" s="16"/>
      <c r="K7" s="16" t="str">
        <f>IFERROR(__xludf.DUMMYFUNCTION("""COMPUTED_VALUE"""),"Laval")</f>
        <v>Laval</v>
      </c>
      <c r="L7" s="16"/>
      <c r="M7" s="16" t="str">
        <f>IFERROR(__xludf.DUMMYFUNCTION("""COMPUTED_VALUE"""),"H7L 4S4")</f>
        <v>H7L 4S4</v>
      </c>
      <c r="N7" s="16" t="str">
        <f>IFERROR(__xludf.DUMMYFUNCTION("""COMPUTED_VALUE"""),"Canada")</f>
        <v>Canada</v>
      </c>
      <c r="O7" s="16" t="str">
        <f>IFERROR(__xludf.DUMMYFUNCTION("""COMPUTED_VALUE"""),"Low")</f>
        <v>Low</v>
      </c>
      <c r="P7" s="16" t="b">
        <f>IFERROR(__xludf.DUMMYFUNCTION("""COMPUTED_VALUE"""),FALSE)</f>
        <v>0</v>
      </c>
      <c r="Q7" s="16" t="b">
        <f>IFERROR(__xludf.DUMMYFUNCTION("""COMPUTED_VALUE"""),TRUE)</f>
        <v>1</v>
      </c>
      <c r="R7" s="16" t="str">
        <f>IFERROR(__xludf.DUMMYFUNCTION("""COMPUTED_VALUE"""),"Events, Marketing")</f>
        <v>Events, Marketing</v>
      </c>
      <c r="S7" s="16" t="str">
        <f>IFERROR(__xludf.DUMMYFUNCTION("""COMPUTED_VALUE"""),"Addatech")</f>
        <v>Addatech</v>
      </c>
      <c r="T7" s="16" t="str">
        <f>IFERROR(__xludf.DUMMYFUNCTION("""COMPUTED_VALUE"""),"Current Partner")</f>
        <v>Current Partner</v>
      </c>
      <c r="U7" s="16" t="b">
        <f>IFERROR(__xludf.DUMMYFUNCTION("""COMPUTED_VALUE"""),FALSE)</f>
        <v>0</v>
      </c>
      <c r="V7" s="16"/>
      <c r="W7" s="16"/>
      <c r="X7" s="16"/>
    </row>
    <row r="8">
      <c r="A8" s="16" t="str">
        <f>IFERROR(__xludf.DUMMYFUNCTION("""COMPUTED_VALUE"""),"Jonathan")</f>
        <v>Jonathan</v>
      </c>
      <c r="B8" s="16" t="str">
        <f>IFERROR(__xludf.DUMMYFUNCTION("""COMPUTED_VALUE"""),"Garland")</f>
        <v>Garland</v>
      </c>
      <c r="C8" s="16" t="str">
        <f>IFERROR(__xludf.DUMMYFUNCTION("""COMPUTED_VALUE"""),"Account Manager")</f>
        <v>Account Manager</v>
      </c>
      <c r="D8" s="16" t="str">
        <f>IFERROR(__xludf.DUMMYFUNCTION("""COMPUTED_VALUE"""),"Administrative Claim Service, Inc.")</f>
        <v>Administrative Claim Service, Inc.</v>
      </c>
      <c r="E8" s="16" t="str">
        <f>IFERROR(__xludf.DUMMYFUNCTION("""COMPUTED_VALUE"""),"Growth")</f>
        <v>Growth</v>
      </c>
      <c r="F8" s="16" t="str">
        <f>IFERROR(__xludf.DUMMYFUNCTION("""COMPUTED_VALUE"""),"jgarland@acsacc.com")</f>
        <v>jgarland@acsacc.com</v>
      </c>
      <c r="G8" s="16" t="str">
        <f>IFERROR(__xludf.DUMMYFUNCTION("""COMPUTED_VALUE"""),"Rod Gowin")</f>
        <v>Rod Gowin</v>
      </c>
      <c r="H8" s="16" t="str">
        <f>IFERROR(__xludf.DUMMYFUNCTION("""COMPUTED_VALUE"""),"PartnerConnect - Technology")</f>
        <v>PartnerConnect - Technology</v>
      </c>
      <c r="I8" s="16"/>
      <c r="J8" s="16"/>
      <c r="K8" s="16" t="str">
        <f>IFERROR(__xludf.DUMMYFUNCTION("""COMPUTED_VALUE"""),"Wakefield")</f>
        <v>Wakefield</v>
      </c>
      <c r="L8" s="16" t="str">
        <f>IFERROR(__xludf.DUMMYFUNCTION("""COMPUTED_VALUE"""),"MA")</f>
        <v>MA</v>
      </c>
      <c r="M8" s="16">
        <f>IFERROR(__xludf.DUMMYFUNCTION("""COMPUTED_VALUE"""),1880.0)</f>
        <v>1880</v>
      </c>
      <c r="N8" s="16" t="str">
        <f>IFERROR(__xludf.DUMMYFUNCTION("""COMPUTED_VALUE"""),"United States")</f>
        <v>United States</v>
      </c>
      <c r="O8" s="16" t="str">
        <f>IFERROR(__xludf.DUMMYFUNCTION("""COMPUTED_VALUE"""),"Medium")</f>
        <v>Medium</v>
      </c>
      <c r="P8" s="16" t="b">
        <f>IFERROR(__xludf.DUMMYFUNCTION("""COMPUTED_VALUE"""),TRUE)</f>
        <v>1</v>
      </c>
      <c r="Q8" s="16" t="b">
        <f>IFERROR(__xludf.DUMMYFUNCTION("""COMPUTED_VALUE"""),FALSE)</f>
        <v>0</v>
      </c>
      <c r="R8" s="16" t="str">
        <f>IFERROR(__xludf.DUMMYFUNCTION("""COMPUTED_VALUE"""),"Business")</f>
        <v>Business</v>
      </c>
      <c r="S8" s="16" t="str">
        <f>IFERROR(__xludf.DUMMYFUNCTION("""COMPUTED_VALUE"""),"ACS")</f>
        <v>ACS</v>
      </c>
      <c r="T8" s="16" t="str">
        <f>IFERROR(__xludf.DUMMYFUNCTION("""COMPUTED_VALUE"""),"Current Partner")</f>
        <v>Current Partner</v>
      </c>
      <c r="U8" s="16" t="b">
        <f>IFERROR(__xludf.DUMMYFUNCTION("""COMPUTED_VALUE"""),FALSE)</f>
        <v>0</v>
      </c>
      <c r="V8" s="16"/>
      <c r="W8" s="16"/>
      <c r="X8" s="16"/>
    </row>
    <row r="9">
      <c r="A9" s="16" t="str">
        <f>IFERROR(__xludf.DUMMYFUNCTION("""COMPUTED_VALUE"""),"Zack")</f>
        <v>Zack</v>
      </c>
      <c r="B9" s="16" t="str">
        <f>IFERROR(__xludf.DUMMYFUNCTION("""COMPUTED_VALUE"""),"Lasky")</f>
        <v>Lasky</v>
      </c>
      <c r="C9" s="16" t="str">
        <f>IFERROR(__xludf.DUMMYFUNCTION("""COMPUTED_VALUE"""),"Analytics Manager")</f>
        <v>Analytics Manager</v>
      </c>
      <c r="D9" s="16" t="str">
        <f>IFERROR(__xludf.DUMMYFUNCTION("""COMPUTED_VALUE"""),"Advanced Remarketing Services, Inc.")</f>
        <v>Advanced Remarketing Services, Inc.</v>
      </c>
      <c r="E9" s="16" t="str">
        <f>IFERROR(__xludf.DUMMYFUNCTION("""COMPUTED_VALUE"""),"Growth")</f>
        <v>Growth</v>
      </c>
      <c r="F9" s="16" t="str">
        <f>IFERROR(__xludf.DUMMYFUNCTION("""COMPUTED_VALUE"""),"zlasky@arscars.com")</f>
        <v>zlasky@arscars.com</v>
      </c>
      <c r="G9" s="16" t="str">
        <f>IFERROR(__xludf.DUMMYFUNCTION("""COMPUTED_VALUE"""),"Rod Gowin")</f>
        <v>Rod Gowin</v>
      </c>
      <c r="H9" s="16" t="str">
        <f>IFERROR(__xludf.DUMMYFUNCTION("""COMPUTED_VALUE"""),"PartnerConnect - Technology")</f>
        <v>PartnerConnect - Technology</v>
      </c>
      <c r="I9" s="16"/>
      <c r="J9" s="16"/>
      <c r="K9" s="16"/>
      <c r="L9" s="16"/>
      <c r="M9" s="16"/>
      <c r="N9" s="16" t="str">
        <f>IFERROR(__xludf.DUMMYFUNCTION("""COMPUTED_VALUE"""),"United States")</f>
        <v>United States</v>
      </c>
      <c r="O9" s="16" t="str">
        <f>IFERROR(__xludf.DUMMYFUNCTION("""COMPUTED_VALUE"""),"Low")</f>
        <v>Low</v>
      </c>
      <c r="P9" s="16" t="b">
        <f>IFERROR(__xludf.DUMMYFUNCTION("""COMPUTED_VALUE"""),FALSE)</f>
        <v>0</v>
      </c>
      <c r="Q9" s="16" t="b">
        <f>IFERROR(__xludf.DUMMYFUNCTION("""COMPUTED_VALUE"""),TRUE)</f>
        <v>1</v>
      </c>
      <c r="R9" s="16" t="str">
        <f>IFERROR(__xludf.DUMMYFUNCTION("""COMPUTED_VALUE"""),"Business, Marketing")</f>
        <v>Business, Marketing</v>
      </c>
      <c r="S9" s="16" t="str">
        <f>IFERROR(__xludf.DUMMYFUNCTION("""COMPUTED_VALUE"""),"Advanced Remarketing")</f>
        <v>Advanced Remarketing</v>
      </c>
      <c r="T9" s="16" t="str">
        <f>IFERROR(__xludf.DUMMYFUNCTION("""COMPUTED_VALUE"""),"Current Partner")</f>
        <v>Current Partner</v>
      </c>
      <c r="U9" s="16" t="b">
        <f>IFERROR(__xludf.DUMMYFUNCTION("""COMPUTED_VALUE"""),FALSE)</f>
        <v>0</v>
      </c>
      <c r="V9" s="16"/>
      <c r="W9" s="16"/>
      <c r="X9" s="16"/>
    </row>
    <row r="10">
      <c r="A10" s="16" t="str">
        <f>IFERROR(__xludf.DUMMYFUNCTION("""COMPUTED_VALUE"""),"Silvana")</f>
        <v>Silvana</v>
      </c>
      <c r="B10" s="16" t="str">
        <f>IFERROR(__xludf.DUMMYFUNCTION("""COMPUTED_VALUE"""),"Bucca")</f>
        <v>Bucca</v>
      </c>
      <c r="C10" s="16" t="str">
        <f>IFERROR(__xludf.DUMMYFUNCTION("""COMPUTED_VALUE"""),"Director of Product Development")</f>
        <v>Director of Product Development</v>
      </c>
      <c r="D10" s="16" t="str">
        <f>IFERROR(__xludf.DUMMYFUNCTION("""COMPUTED_VALUE"""),"Advanced Remarketing Services, Inc.")</f>
        <v>Advanced Remarketing Services, Inc.</v>
      </c>
      <c r="E10" s="16" t="str">
        <f>IFERROR(__xludf.DUMMYFUNCTION("""COMPUTED_VALUE"""),"Growth")</f>
        <v>Growth</v>
      </c>
      <c r="F10" s="16" t="str">
        <f>IFERROR(__xludf.DUMMYFUNCTION("""COMPUTED_VALUE"""),"sbucca@arscars.com")</f>
        <v>sbucca@arscars.com</v>
      </c>
      <c r="G10" s="16" t="str">
        <f>IFERROR(__xludf.DUMMYFUNCTION("""COMPUTED_VALUE"""),"Rod Gowin")</f>
        <v>Rod Gowin</v>
      </c>
      <c r="H10" s="16" t="str">
        <f>IFERROR(__xludf.DUMMYFUNCTION("""COMPUTED_VALUE"""),"PartnerConnect - Technology")</f>
        <v>PartnerConnect - Technology</v>
      </c>
      <c r="I10" s="16"/>
      <c r="J10" s="16"/>
      <c r="K10" s="16"/>
      <c r="L10" s="16"/>
      <c r="M10" s="16"/>
      <c r="N10" s="16" t="str">
        <f>IFERROR(__xludf.DUMMYFUNCTION("""COMPUTED_VALUE"""),"United States")</f>
        <v>United States</v>
      </c>
      <c r="O10" s="16" t="str">
        <f>IFERROR(__xludf.DUMMYFUNCTION("""COMPUTED_VALUE"""),"Low")</f>
        <v>Low</v>
      </c>
      <c r="P10" s="16" t="b">
        <f>IFERROR(__xludf.DUMMYFUNCTION("""COMPUTED_VALUE"""),TRUE)</f>
        <v>1</v>
      </c>
      <c r="Q10" s="16" t="b">
        <f>IFERROR(__xludf.DUMMYFUNCTION("""COMPUTED_VALUE"""),TRUE)</f>
        <v>1</v>
      </c>
      <c r="R10" s="16" t="str">
        <f>IFERROR(__xludf.DUMMYFUNCTION("""COMPUTED_VALUE"""),"Admin, Business, Events, Marketing, Client Partner / Partner Account Executive")</f>
        <v>Admin, Business, Events, Marketing, Client Partner / Partner Account Executive</v>
      </c>
      <c r="S10" s="16" t="str">
        <f>IFERROR(__xludf.DUMMYFUNCTION("""COMPUTED_VALUE"""),"Advanced Remarketing")</f>
        <v>Advanced Remarketing</v>
      </c>
      <c r="T10" s="16" t="str">
        <f>IFERROR(__xludf.DUMMYFUNCTION("""COMPUTED_VALUE"""),"Current Partner")</f>
        <v>Current Partner</v>
      </c>
      <c r="U10" s="16" t="b">
        <f>IFERROR(__xludf.DUMMYFUNCTION("""COMPUTED_VALUE"""),FALSE)</f>
        <v>0</v>
      </c>
      <c r="V10" s="16"/>
      <c r="W10" s="16"/>
      <c r="X10" s="16"/>
    </row>
    <row r="11">
      <c r="A11" s="16" t="str">
        <f>IFERROR(__xludf.DUMMYFUNCTION("""COMPUTED_VALUE"""),"Niranjan")</f>
        <v>Niranjan</v>
      </c>
      <c r="B11" s="16" t="str">
        <f>IFERROR(__xludf.DUMMYFUNCTION("""COMPUTED_VALUE"""),"Sabharwal")</f>
        <v>Sabharwal</v>
      </c>
      <c r="C11" s="16"/>
      <c r="D11" s="16" t="str">
        <f>IFERROR(__xludf.DUMMYFUNCTION("""COMPUTED_VALUE"""),"AgentSync")</f>
        <v>AgentSync</v>
      </c>
      <c r="E11" s="16" t="str">
        <f>IFERROR(__xludf.DUMMYFUNCTION("""COMPUTED_VALUE"""),"Growth")</f>
        <v>Growth</v>
      </c>
      <c r="F11" s="16" t="str">
        <f>IFERROR(__xludf.DUMMYFUNCTION("""COMPUTED_VALUE"""),"niji@agentsync.io")</f>
        <v>niji@agentsync.io</v>
      </c>
      <c r="G11" s="16" t="str">
        <f>IFERROR(__xludf.DUMMYFUNCTION("""COMPUTED_VALUE"""),"Shannon Spies")</f>
        <v>Shannon Spies</v>
      </c>
      <c r="H11" s="16" t="str">
        <f>IFERROR(__xludf.DUMMYFUNCTION("""COMPUTED_VALUE"""),"PartnerConnect - Technology")</f>
        <v>PartnerConnect - Technology</v>
      </c>
      <c r="I11" s="16" t="str">
        <f>IFERROR(__xludf.DUMMYFUNCTION("""COMPUTED_VALUE"""),"3601 Walnut St
")</f>
        <v>3601 Walnut St
</v>
      </c>
      <c r="J11" s="16" t="str">
        <f>IFERROR(__xludf.DUMMYFUNCTION("""COMPUTED_VALUE"""),"#450")</f>
        <v>#450</v>
      </c>
      <c r="K11" s="16" t="str">
        <f>IFERROR(__xludf.DUMMYFUNCTION("""COMPUTED_VALUE"""),"Denver")</f>
        <v>Denver</v>
      </c>
      <c r="L11" s="16" t="str">
        <f>IFERROR(__xludf.DUMMYFUNCTION("""COMPUTED_VALUE"""),"Colorado")</f>
        <v>Colorado</v>
      </c>
      <c r="M11" s="16">
        <f>IFERROR(__xludf.DUMMYFUNCTION("""COMPUTED_VALUE"""),80205.0)</f>
        <v>80205</v>
      </c>
      <c r="N11" s="16" t="str">
        <f>IFERROR(__xludf.DUMMYFUNCTION("""COMPUTED_VALUE"""),"United States")</f>
        <v>United States</v>
      </c>
      <c r="O11" s="16" t="str">
        <f>IFERROR(__xludf.DUMMYFUNCTION("""COMPUTED_VALUE"""),"High")</f>
        <v>High</v>
      </c>
      <c r="P11" s="16" t="b">
        <f>IFERROR(__xludf.DUMMYFUNCTION("""COMPUTED_VALUE"""),TRUE)</f>
        <v>1</v>
      </c>
      <c r="Q11" s="16" t="b">
        <f>IFERROR(__xludf.DUMMYFUNCTION("""COMPUTED_VALUE"""),FALSE)</f>
        <v>0</v>
      </c>
      <c r="R11" s="16" t="str">
        <f>IFERROR(__xludf.DUMMYFUNCTION("""COMPUTED_VALUE"""),"")</f>
        <v/>
      </c>
      <c r="S11" s="16" t="str">
        <f>IFERROR(__xludf.DUMMYFUNCTION("""COMPUTED_VALUE"""),"AgentSync")</f>
        <v>AgentSync</v>
      </c>
      <c r="T11" s="16" t="str">
        <f>IFERROR(__xludf.DUMMYFUNCTION("""COMPUTED_VALUE"""),"Current Partner")</f>
        <v>Current Partner</v>
      </c>
      <c r="U11" s="16" t="b">
        <f>IFERROR(__xludf.DUMMYFUNCTION("""COMPUTED_VALUE"""),FALSE)</f>
        <v>0</v>
      </c>
      <c r="V11" s="16"/>
      <c r="W11" s="16"/>
      <c r="X11" s="16"/>
    </row>
    <row r="12">
      <c r="A12" s="16" t="str">
        <f>IFERROR(__xludf.DUMMYFUNCTION("""COMPUTED_VALUE"""),"Toni")</f>
        <v>Toni</v>
      </c>
      <c r="B12" s="16" t="str">
        <f>IFERROR(__xludf.DUMMYFUNCTION("""COMPUTED_VALUE"""),"Moscozo")</f>
        <v>Moscozo</v>
      </c>
      <c r="C12" s="16" t="str">
        <f>IFERROR(__xludf.DUMMYFUNCTION("""COMPUTED_VALUE"""),"Event Manager")</f>
        <v>Event Manager</v>
      </c>
      <c r="D12" s="16" t="str">
        <f>IFERROR(__xludf.DUMMYFUNCTION("""COMPUTED_VALUE"""),"AgentSync")</f>
        <v>AgentSync</v>
      </c>
      <c r="E12" s="16" t="str">
        <f>IFERROR(__xludf.DUMMYFUNCTION("""COMPUTED_VALUE"""),"Growth")</f>
        <v>Growth</v>
      </c>
      <c r="F12" s="16" t="str">
        <f>IFERROR(__xludf.DUMMYFUNCTION("""COMPUTED_VALUE"""),"toni.moscozo@agentsync.io")</f>
        <v>toni.moscozo@agentsync.io</v>
      </c>
      <c r="G12" s="16" t="str">
        <f>IFERROR(__xludf.DUMMYFUNCTION("""COMPUTED_VALUE"""),"Shannon Spies")</f>
        <v>Shannon Spies</v>
      </c>
      <c r="H12" s="16" t="str">
        <f>IFERROR(__xludf.DUMMYFUNCTION("""COMPUTED_VALUE"""),"PartnerConnect - Technology")</f>
        <v>PartnerConnect - Technology</v>
      </c>
      <c r="I12" s="16" t="str">
        <f>IFERROR(__xludf.DUMMYFUNCTION("""COMPUTED_VALUE"""),"3601 Walnut St #450")</f>
        <v>3601 Walnut St #450</v>
      </c>
      <c r="J12" s="16"/>
      <c r="K12" s="16" t="str">
        <f>IFERROR(__xludf.DUMMYFUNCTION("""COMPUTED_VALUE"""),"Denver")</f>
        <v>Denver</v>
      </c>
      <c r="L12" s="16" t="str">
        <f>IFERROR(__xludf.DUMMYFUNCTION("""COMPUTED_VALUE"""),"Colorado")</f>
        <v>Colorado</v>
      </c>
      <c r="M12" s="16">
        <f>IFERROR(__xludf.DUMMYFUNCTION("""COMPUTED_VALUE"""),80205.0)</f>
        <v>80205</v>
      </c>
      <c r="N12" s="16" t="str">
        <f>IFERROR(__xludf.DUMMYFUNCTION("""COMPUTED_VALUE"""),"United States")</f>
        <v>United States</v>
      </c>
      <c r="O12" s="16" t="str">
        <f>IFERROR(__xludf.DUMMYFUNCTION("""COMPUTED_VALUE"""),"High")</f>
        <v>High</v>
      </c>
      <c r="P12" s="16" t="b">
        <f>IFERROR(__xludf.DUMMYFUNCTION("""COMPUTED_VALUE"""),TRUE)</f>
        <v>1</v>
      </c>
      <c r="Q12" s="16" t="b">
        <f>IFERROR(__xludf.DUMMYFUNCTION("""COMPUTED_VALUE"""),TRUE)</f>
        <v>1</v>
      </c>
      <c r="R12" s="16" t="str">
        <f>IFERROR(__xludf.DUMMYFUNCTION("""COMPUTED_VALUE"""),"Events, Marketing")</f>
        <v>Events, Marketing</v>
      </c>
      <c r="S12" s="16" t="str">
        <f>IFERROR(__xludf.DUMMYFUNCTION("""COMPUTED_VALUE"""),"AgentSync")</f>
        <v>AgentSync</v>
      </c>
      <c r="T12" s="16" t="str">
        <f>IFERROR(__xludf.DUMMYFUNCTION("""COMPUTED_VALUE"""),"Current Partner")</f>
        <v>Current Partner</v>
      </c>
      <c r="U12" s="16" t="b">
        <f>IFERROR(__xludf.DUMMYFUNCTION("""COMPUTED_VALUE"""),FALSE)</f>
        <v>0</v>
      </c>
      <c r="V12" s="16"/>
      <c r="W12" s="16"/>
      <c r="X12" s="16"/>
    </row>
    <row r="13">
      <c r="A13" s="16" t="str">
        <f>IFERROR(__xludf.DUMMYFUNCTION("""COMPUTED_VALUE"""),"Emily")</f>
        <v>Emily</v>
      </c>
      <c r="B13" s="16" t="str">
        <f>IFERROR(__xludf.DUMMYFUNCTION("""COMPUTED_VALUE"""),"Dupuis")</f>
        <v>Dupuis</v>
      </c>
      <c r="C13" s="16"/>
      <c r="D13" s="16" t="str">
        <f>IFERROR(__xludf.DUMMYFUNCTION("""COMPUTED_VALUE"""),"AgentSync")</f>
        <v>AgentSync</v>
      </c>
      <c r="E13" s="16" t="str">
        <f>IFERROR(__xludf.DUMMYFUNCTION("""COMPUTED_VALUE"""),"Growth")</f>
        <v>Growth</v>
      </c>
      <c r="F13" s="16" t="str">
        <f>IFERROR(__xludf.DUMMYFUNCTION("""COMPUTED_VALUE"""),"emily@agentsync.io")</f>
        <v>emily@agentsync.io</v>
      </c>
      <c r="G13" s="16" t="str">
        <f>IFERROR(__xludf.DUMMYFUNCTION("""COMPUTED_VALUE"""),"Shannon Spies")</f>
        <v>Shannon Spies</v>
      </c>
      <c r="H13" s="16" t="str">
        <f>IFERROR(__xludf.DUMMYFUNCTION("""COMPUTED_VALUE"""),"PartnerConnect - Technology")</f>
        <v>PartnerConnect - Technology</v>
      </c>
      <c r="I13" s="16" t="str">
        <f>IFERROR(__xludf.DUMMYFUNCTION("""COMPUTED_VALUE"""),"3601 Walnut St
")</f>
        <v>3601 Walnut St
</v>
      </c>
      <c r="J13" s="16" t="str">
        <f>IFERROR(__xludf.DUMMYFUNCTION("""COMPUTED_VALUE"""),"#450")</f>
        <v>#450</v>
      </c>
      <c r="K13" s="16" t="str">
        <f>IFERROR(__xludf.DUMMYFUNCTION("""COMPUTED_VALUE"""),"Denver")</f>
        <v>Denver</v>
      </c>
      <c r="L13" s="16" t="str">
        <f>IFERROR(__xludf.DUMMYFUNCTION("""COMPUTED_VALUE"""),"Colorado")</f>
        <v>Colorado</v>
      </c>
      <c r="M13" s="16">
        <f>IFERROR(__xludf.DUMMYFUNCTION("""COMPUTED_VALUE"""),80205.0)</f>
        <v>80205</v>
      </c>
      <c r="N13" s="16" t="str">
        <f>IFERROR(__xludf.DUMMYFUNCTION("""COMPUTED_VALUE"""),"United States")</f>
        <v>United States</v>
      </c>
      <c r="O13" s="16" t="str">
        <f>IFERROR(__xludf.DUMMYFUNCTION("""COMPUTED_VALUE"""),"High")</f>
        <v>High</v>
      </c>
      <c r="P13" s="16" t="b">
        <f>IFERROR(__xludf.DUMMYFUNCTION("""COMPUTED_VALUE"""),TRUE)</f>
        <v>1</v>
      </c>
      <c r="Q13" s="16" t="b">
        <f>IFERROR(__xludf.DUMMYFUNCTION("""COMPUTED_VALUE"""),FALSE)</f>
        <v>0</v>
      </c>
      <c r="R13" s="16" t="str">
        <f>IFERROR(__xludf.DUMMYFUNCTION("""COMPUTED_VALUE"""),"Admin, Business, Events, Legal / Contracts, Marketing, Support, Technical, Training, Main Billing Contact, Billing Contact  LMS Training Fees, NPE User, Sales Solution Architect, Delivery Lead / BA, Client Partner / Partner Account Executive, Developer")</f>
        <v>Admin, Business, Events, Legal / Contracts, Marketing, Support, Technical, Training, Main Billing Contact, Billing Contact  LMS Training Fees, NPE User, Sales Solution Architect, Delivery Lead / BA, Client Partner / Partner Account Executive, Developer</v>
      </c>
      <c r="S13" s="16" t="str">
        <f>IFERROR(__xludf.DUMMYFUNCTION("""COMPUTED_VALUE"""),"AgentSync")</f>
        <v>AgentSync</v>
      </c>
      <c r="T13" s="16" t="str">
        <f>IFERROR(__xludf.DUMMYFUNCTION("""COMPUTED_VALUE"""),"Current Partner")</f>
        <v>Current Partner</v>
      </c>
      <c r="U13" s="16" t="b">
        <f>IFERROR(__xludf.DUMMYFUNCTION("""COMPUTED_VALUE"""),TRUE)</f>
        <v>1</v>
      </c>
      <c r="V13" s="16"/>
      <c r="W13" s="16"/>
      <c r="X13" s="16"/>
    </row>
    <row r="14">
      <c r="A14" s="16" t="str">
        <f>IFERROR(__xludf.DUMMYFUNCTION("""COMPUTED_VALUE"""),"Suraj")</f>
        <v>Suraj</v>
      </c>
      <c r="B14" s="16" t="str">
        <f>IFERROR(__xludf.DUMMYFUNCTION("""COMPUTED_VALUE"""),"Manikundalam")</f>
        <v>Manikundalam</v>
      </c>
      <c r="C14" s="16" t="str">
        <f>IFERROR(__xludf.DUMMYFUNCTION("""COMPUTED_VALUE"""),"Head of Product")</f>
        <v>Head of Product</v>
      </c>
      <c r="D14" s="16" t="str">
        <f>IFERROR(__xludf.DUMMYFUNCTION("""COMPUTED_VALUE"""),"AgentSync")</f>
        <v>AgentSync</v>
      </c>
      <c r="E14" s="16" t="str">
        <f>IFERROR(__xludf.DUMMYFUNCTION("""COMPUTED_VALUE"""),"Growth")</f>
        <v>Growth</v>
      </c>
      <c r="F14" s="16" t="str">
        <f>IFERROR(__xludf.DUMMYFUNCTION("""COMPUTED_VALUE"""),"suraj.manikundalam@agentsync.io")</f>
        <v>suraj.manikundalam@agentsync.io</v>
      </c>
      <c r="G14" s="16" t="str">
        <f>IFERROR(__xludf.DUMMYFUNCTION("""COMPUTED_VALUE"""),"Shannon Spies")</f>
        <v>Shannon Spies</v>
      </c>
      <c r="H14" s="16" t="str">
        <f>IFERROR(__xludf.DUMMYFUNCTION("""COMPUTED_VALUE"""),"PartnerConnect - Technology")</f>
        <v>PartnerConnect - Technology</v>
      </c>
      <c r="I14" s="16" t="str">
        <f>IFERROR(__xludf.DUMMYFUNCTION("""COMPUTED_VALUE"""),"3601 Walnut St
")</f>
        <v>3601 Walnut St
</v>
      </c>
      <c r="J14" s="16" t="str">
        <f>IFERROR(__xludf.DUMMYFUNCTION("""COMPUTED_VALUE"""),"#450")</f>
        <v>#450</v>
      </c>
      <c r="K14" s="16" t="str">
        <f>IFERROR(__xludf.DUMMYFUNCTION("""COMPUTED_VALUE"""),"Denver")</f>
        <v>Denver</v>
      </c>
      <c r="L14" s="16" t="str">
        <f>IFERROR(__xludf.DUMMYFUNCTION("""COMPUTED_VALUE"""),"Colorado")</f>
        <v>Colorado</v>
      </c>
      <c r="M14" s="16">
        <f>IFERROR(__xludf.DUMMYFUNCTION("""COMPUTED_VALUE"""),80205.0)</f>
        <v>80205</v>
      </c>
      <c r="N14" s="16" t="str">
        <f>IFERROR(__xludf.DUMMYFUNCTION("""COMPUTED_VALUE"""),"United States")</f>
        <v>United States</v>
      </c>
      <c r="O14" s="16" t="str">
        <f>IFERROR(__xludf.DUMMYFUNCTION("""COMPUTED_VALUE"""),"High")</f>
        <v>High</v>
      </c>
      <c r="P14" s="16" t="b">
        <f>IFERROR(__xludf.DUMMYFUNCTION("""COMPUTED_VALUE"""),TRUE)</f>
        <v>1</v>
      </c>
      <c r="Q14" s="16" t="b">
        <f>IFERROR(__xludf.DUMMYFUNCTION("""COMPUTED_VALUE"""),FALSE)</f>
        <v>0</v>
      </c>
      <c r="R14" s="16" t="str">
        <f>IFERROR(__xludf.DUMMYFUNCTION("""COMPUTED_VALUE"""),"Admin, Business, Events, Legal / Contracts, Marketing, Support, Technical, Training, Main Billing Contact, Billing Contact  LMS Training Fees, NPE User, Sales Solution Architect, Delivery Lead / BA, Client Partner / Partner Account Executive, Developer")</f>
        <v>Admin, Business, Events, Legal / Contracts, Marketing, Support, Technical, Training, Main Billing Contact, Billing Contact  LMS Training Fees, NPE User, Sales Solution Architect, Delivery Lead / BA, Client Partner / Partner Account Executive, Developer</v>
      </c>
      <c r="S14" s="16" t="str">
        <f>IFERROR(__xludf.DUMMYFUNCTION("""COMPUTED_VALUE"""),"AgentSync")</f>
        <v>AgentSync</v>
      </c>
      <c r="T14" s="16" t="str">
        <f>IFERROR(__xludf.DUMMYFUNCTION("""COMPUTED_VALUE"""),"Current Partner")</f>
        <v>Current Partner</v>
      </c>
      <c r="U14" s="16" t="b">
        <f>IFERROR(__xludf.DUMMYFUNCTION("""COMPUTED_VALUE"""),TRUE)</f>
        <v>1</v>
      </c>
      <c r="V14" s="16"/>
      <c r="W14" s="16"/>
      <c r="X14" s="16"/>
    </row>
    <row r="15">
      <c r="A15" s="16" t="str">
        <f>IFERROR(__xludf.DUMMYFUNCTION("""COMPUTED_VALUE"""),"Heide")</f>
        <v>Heide</v>
      </c>
      <c r="B15" s="16" t="str">
        <f>IFERROR(__xludf.DUMMYFUNCTION("""COMPUTED_VALUE"""),"Sacher")</f>
        <v>Sacher</v>
      </c>
      <c r="C15" s="16" t="str">
        <f>IFERROR(__xludf.DUMMYFUNCTION("""COMPUTED_VALUE"""),"Head of Marketing for US &amp; Canada")</f>
        <v>Head of Marketing for US &amp; Canada</v>
      </c>
      <c r="D15" s="16" t="str">
        <f>IFERROR(__xludf.DUMMYFUNCTION("""COMPUTED_VALUE"""),"Akur8")</f>
        <v>Akur8</v>
      </c>
      <c r="E15" s="16" t="str">
        <f>IFERROR(__xludf.DUMMYFUNCTION("""COMPUTED_VALUE"""),"Growth")</f>
        <v>Growth</v>
      </c>
      <c r="F15" s="16" t="str">
        <f>IFERROR(__xludf.DUMMYFUNCTION("""COMPUTED_VALUE"""),"heide.sacher@akur8.com")</f>
        <v>heide.sacher@akur8.com</v>
      </c>
      <c r="G15" s="16" t="str">
        <f>IFERROR(__xludf.DUMMYFUNCTION("""COMPUTED_VALUE"""),"Tim Kennedy")</f>
        <v>Tim Kennedy</v>
      </c>
      <c r="H15" s="16" t="str">
        <f>IFERROR(__xludf.DUMMYFUNCTION("""COMPUTED_VALUE"""),"PartnerConnect - Technology")</f>
        <v>PartnerConnect - Technology</v>
      </c>
      <c r="I15" s="16" t="str">
        <f>IFERROR(__xludf.DUMMYFUNCTION("""COMPUTED_VALUE"""),"154 W 14th Street")</f>
        <v>154 W 14th Street</v>
      </c>
      <c r="J15" s="16"/>
      <c r="K15" s="16" t="str">
        <f>IFERROR(__xludf.DUMMYFUNCTION("""COMPUTED_VALUE"""),"New York")</f>
        <v>New York</v>
      </c>
      <c r="L15" s="16" t="str">
        <f>IFERROR(__xludf.DUMMYFUNCTION("""COMPUTED_VALUE"""),"New York")</f>
        <v>New York</v>
      </c>
      <c r="M15" s="16">
        <f>IFERROR(__xludf.DUMMYFUNCTION("""COMPUTED_VALUE"""),10011.0)</f>
        <v>10011</v>
      </c>
      <c r="N15" s="16" t="str">
        <f>IFERROR(__xludf.DUMMYFUNCTION("""COMPUTED_VALUE"""),"United States")</f>
        <v>United States</v>
      </c>
      <c r="O15" s="16" t="str">
        <f>IFERROR(__xludf.DUMMYFUNCTION("""COMPUTED_VALUE"""),"Medium")</f>
        <v>Medium</v>
      </c>
      <c r="P15" s="16" t="b">
        <f>IFERROR(__xludf.DUMMYFUNCTION("""COMPUTED_VALUE"""),FALSE)</f>
        <v>0</v>
      </c>
      <c r="Q15" s="16" t="b">
        <f>IFERROR(__xludf.DUMMYFUNCTION("""COMPUTED_VALUE"""),TRUE)</f>
        <v>1</v>
      </c>
      <c r="R15" s="16" t="str">
        <f>IFERROR(__xludf.DUMMYFUNCTION("""COMPUTED_VALUE"""),"Marketing")</f>
        <v>Marketing</v>
      </c>
      <c r="S15" s="16" t="str">
        <f>IFERROR(__xludf.DUMMYFUNCTION("""COMPUTED_VALUE"""),"AKUR8")</f>
        <v>AKUR8</v>
      </c>
      <c r="T15" s="16" t="str">
        <f>IFERROR(__xludf.DUMMYFUNCTION("""COMPUTED_VALUE"""),"Current Partner")</f>
        <v>Current Partner</v>
      </c>
      <c r="U15" s="16" t="b">
        <f>IFERROR(__xludf.DUMMYFUNCTION("""COMPUTED_VALUE"""),FALSE)</f>
        <v>0</v>
      </c>
      <c r="V15" s="16"/>
      <c r="W15" s="16"/>
      <c r="X15" s="16"/>
    </row>
    <row r="16">
      <c r="A16" s="16" t="str">
        <f>IFERROR(__xludf.DUMMYFUNCTION("""COMPUTED_VALUE"""),"Xavier")</f>
        <v>Xavier</v>
      </c>
      <c r="B16" s="16" t="str">
        <f>IFERROR(__xludf.DUMMYFUNCTION("""COMPUTED_VALUE"""),"Bentejac")</f>
        <v>Bentejac</v>
      </c>
      <c r="C16" s="16"/>
      <c r="D16" s="16" t="str">
        <f>IFERROR(__xludf.DUMMYFUNCTION("""COMPUTED_VALUE"""),"Akur8")</f>
        <v>Akur8</v>
      </c>
      <c r="E16" s="16" t="str">
        <f>IFERROR(__xludf.DUMMYFUNCTION("""COMPUTED_VALUE"""),"Growth")</f>
        <v>Growth</v>
      </c>
      <c r="F16" s="16" t="str">
        <f>IFERROR(__xludf.DUMMYFUNCTION("""COMPUTED_VALUE"""),"xavier.bentejac@akur8.com")</f>
        <v>xavier.bentejac@akur8.com</v>
      </c>
      <c r="G16" s="16" t="str">
        <f>IFERROR(__xludf.DUMMYFUNCTION("""COMPUTED_VALUE"""),"Tim Kennedy")</f>
        <v>Tim Kennedy</v>
      </c>
      <c r="H16" s="16" t="str">
        <f>IFERROR(__xludf.DUMMYFUNCTION("""COMPUTED_VALUE"""),"PartnerConnect - Technology")</f>
        <v>PartnerConnect - Technology</v>
      </c>
      <c r="I16" s="16" t="str">
        <f>IFERROR(__xludf.DUMMYFUNCTION("""COMPUTED_VALUE"""),"28 RUE DE LONDRES")</f>
        <v>28 RUE DE LONDRES</v>
      </c>
      <c r="J16" s="16"/>
      <c r="K16" s="16" t="str">
        <f>IFERROR(__xludf.DUMMYFUNCTION("""COMPUTED_VALUE"""),"PARIS")</f>
        <v>PARIS</v>
      </c>
      <c r="L16" s="16"/>
      <c r="M16" s="16">
        <f>IFERROR(__xludf.DUMMYFUNCTION("""COMPUTED_VALUE"""),75009.0)</f>
        <v>75009</v>
      </c>
      <c r="N16" s="16" t="str">
        <f>IFERROR(__xludf.DUMMYFUNCTION("""COMPUTED_VALUE"""),"France")</f>
        <v>France</v>
      </c>
      <c r="O16" s="16" t="str">
        <f>IFERROR(__xludf.DUMMYFUNCTION("""COMPUTED_VALUE"""),"Medium")</f>
        <v>Medium</v>
      </c>
      <c r="P16" s="16" t="b">
        <f>IFERROR(__xludf.DUMMYFUNCTION("""COMPUTED_VALUE"""),TRUE)</f>
        <v>1</v>
      </c>
      <c r="Q16" s="16" t="b">
        <f>IFERROR(__xludf.DUMMYFUNCTION("""COMPUTED_VALUE"""),TRUE)</f>
        <v>1</v>
      </c>
      <c r="R16" s="16" t="str">
        <f>IFERROR(__xludf.DUMMYFUNCTION("""COMPUTED_VALUE"""),"Admin, Business, Legal / Contracts, Marketing, Billing Contact  LMS Training Fees")</f>
        <v>Admin, Business, Legal / Contracts, Marketing, Billing Contact  LMS Training Fees</v>
      </c>
      <c r="S16" s="16" t="str">
        <f>IFERROR(__xludf.DUMMYFUNCTION("""COMPUTED_VALUE"""),"AKUR8")</f>
        <v>AKUR8</v>
      </c>
      <c r="T16" s="16" t="str">
        <f>IFERROR(__xludf.DUMMYFUNCTION("""COMPUTED_VALUE"""),"Current Partner")</f>
        <v>Current Partner</v>
      </c>
      <c r="U16" s="16" t="b">
        <f>IFERROR(__xludf.DUMMYFUNCTION("""COMPUTED_VALUE"""),FALSE)</f>
        <v>0</v>
      </c>
      <c r="V16" s="16"/>
      <c r="W16" s="16"/>
      <c r="X16" s="16"/>
    </row>
    <row r="17">
      <c r="A17" s="16" t="str">
        <f>IFERROR(__xludf.DUMMYFUNCTION("""COMPUTED_VALUE"""),"Jonathan")</f>
        <v>Jonathan</v>
      </c>
      <c r="B17" s="16" t="str">
        <f>IFERROR(__xludf.DUMMYFUNCTION("""COMPUTED_VALUE"""),"Miko")</f>
        <v>Miko</v>
      </c>
      <c r="C17" s="16" t="str">
        <f>IFERROR(__xludf.DUMMYFUNCTION("""COMPUTED_VALUE"""),"Chief Strategy &amp; Innovation Officer")</f>
        <v>Chief Strategy &amp; Innovation Officer</v>
      </c>
      <c r="D17" s="16" t="str">
        <f>IFERROR(__xludf.DUMMYFUNCTION("""COMPUTED_VALUE"""),"Alacrity Solutions Group")</f>
        <v>Alacrity Solutions Group</v>
      </c>
      <c r="E17" s="16" t="str">
        <f>IFERROR(__xludf.DUMMYFUNCTION("""COMPUTED_VALUE"""),"Growth")</f>
        <v>Growth</v>
      </c>
      <c r="F17" s="16" t="str">
        <f>IFERROR(__xludf.DUMMYFUNCTION("""COMPUTED_VALUE"""),"jmiko@alacrityservices.com")</f>
        <v>jmiko@alacrityservices.com</v>
      </c>
      <c r="G17" s="16" t="str">
        <f>IFERROR(__xludf.DUMMYFUNCTION("""COMPUTED_VALUE"""),"Rod Gowin")</f>
        <v>Rod Gowin</v>
      </c>
      <c r="H17" s="16" t="str">
        <f>IFERROR(__xludf.DUMMYFUNCTION("""COMPUTED_VALUE"""),"PartnerConnect - Technology")</f>
        <v>PartnerConnect - Technology</v>
      </c>
      <c r="I17" s="16" t="str">
        <f>IFERROR(__xludf.DUMMYFUNCTION("""COMPUTED_VALUE"""),"9725 Windermere Blvd")</f>
        <v>9725 Windermere Blvd</v>
      </c>
      <c r="J17" s="16"/>
      <c r="K17" s="16" t="str">
        <f>IFERROR(__xludf.DUMMYFUNCTION("""COMPUTED_VALUE"""),"Fishers")</f>
        <v>Fishers</v>
      </c>
      <c r="L17" s="16" t="str">
        <f>IFERROR(__xludf.DUMMYFUNCTION("""COMPUTED_VALUE"""),"Indiana")</f>
        <v>Indiana</v>
      </c>
      <c r="M17" s="16">
        <f>IFERROR(__xludf.DUMMYFUNCTION("""COMPUTED_VALUE"""),46037.0)</f>
        <v>46037</v>
      </c>
      <c r="N17" s="16" t="str">
        <f>IFERROR(__xludf.DUMMYFUNCTION("""COMPUTED_VALUE"""),"United States")</f>
        <v>United States</v>
      </c>
      <c r="O17" s="16" t="str">
        <f>IFERROR(__xludf.DUMMYFUNCTION("""COMPUTED_VALUE"""),"Low")</f>
        <v>Low</v>
      </c>
      <c r="P17" s="16" t="b">
        <f>IFERROR(__xludf.DUMMYFUNCTION("""COMPUTED_VALUE"""),TRUE)</f>
        <v>1</v>
      </c>
      <c r="Q17" s="16" t="b">
        <f>IFERROR(__xludf.DUMMYFUNCTION("""COMPUTED_VALUE"""),FALSE)</f>
        <v>0</v>
      </c>
      <c r="R17" s="16" t="str">
        <f>IFERROR(__xludf.DUMMYFUNCTION("""COMPUTED_VALUE"""),"Admin, Business")</f>
        <v>Admin, Business</v>
      </c>
      <c r="S17" s="16" t="str">
        <f>IFERROR(__xludf.DUMMYFUNCTION("""COMPUTED_VALUE"""),"Alacrity Solutions")</f>
        <v>Alacrity Solutions</v>
      </c>
      <c r="T17" s="16" t="str">
        <f>IFERROR(__xludf.DUMMYFUNCTION("""COMPUTED_VALUE"""),"Current Partner")</f>
        <v>Current Partner</v>
      </c>
      <c r="U17" s="16" t="b">
        <f>IFERROR(__xludf.DUMMYFUNCTION("""COMPUTED_VALUE"""),FALSE)</f>
        <v>0</v>
      </c>
      <c r="V17" s="16"/>
      <c r="W17" s="16"/>
      <c r="X17" s="16"/>
    </row>
    <row r="18">
      <c r="A18" s="16" t="str">
        <f>IFERROR(__xludf.DUMMYFUNCTION("""COMPUTED_VALUE"""),"Adam")</f>
        <v>Adam</v>
      </c>
      <c r="B18" s="16" t="str">
        <f>IFERROR(__xludf.DUMMYFUNCTION("""COMPUTED_VALUE"""),"Menszer")</f>
        <v>Menszer</v>
      </c>
      <c r="C18" s="16"/>
      <c r="D18" s="16" t="str">
        <f>IFERROR(__xludf.DUMMYFUNCTION("""COMPUTED_VALUE"""),"Alacrity Solutions Group")</f>
        <v>Alacrity Solutions Group</v>
      </c>
      <c r="E18" s="16" t="str">
        <f>IFERROR(__xludf.DUMMYFUNCTION("""COMPUTED_VALUE"""),"Growth")</f>
        <v>Growth</v>
      </c>
      <c r="F18" s="16" t="str">
        <f>IFERROR(__xludf.DUMMYFUNCTION("""COMPUTED_VALUE"""),"amenszer@alacritysolutions.com")</f>
        <v>amenszer@alacritysolutions.com</v>
      </c>
      <c r="G18" s="16" t="str">
        <f>IFERROR(__xludf.DUMMYFUNCTION("""COMPUTED_VALUE"""),"Rod Gowin")</f>
        <v>Rod Gowin</v>
      </c>
      <c r="H18" s="16" t="str">
        <f>IFERROR(__xludf.DUMMYFUNCTION("""COMPUTED_VALUE"""),"PartnerConnect - Technology")</f>
        <v>PartnerConnect - Technology</v>
      </c>
      <c r="I18" s="16" t="str">
        <f>IFERROR(__xludf.DUMMYFUNCTION("""COMPUTED_VALUE"""),"9725 Windermere Blvd")</f>
        <v>9725 Windermere Blvd</v>
      </c>
      <c r="J18" s="16"/>
      <c r="K18" s="16" t="str">
        <f>IFERROR(__xludf.DUMMYFUNCTION("""COMPUTED_VALUE"""),"Fishers")</f>
        <v>Fishers</v>
      </c>
      <c r="L18" s="16" t="str">
        <f>IFERROR(__xludf.DUMMYFUNCTION("""COMPUTED_VALUE"""),"Indiana")</f>
        <v>Indiana</v>
      </c>
      <c r="M18" s="16">
        <f>IFERROR(__xludf.DUMMYFUNCTION("""COMPUTED_VALUE"""),46037.0)</f>
        <v>46037</v>
      </c>
      <c r="N18" s="16" t="str">
        <f>IFERROR(__xludf.DUMMYFUNCTION("""COMPUTED_VALUE"""),"United States")</f>
        <v>United States</v>
      </c>
      <c r="O18" s="16" t="str">
        <f>IFERROR(__xludf.DUMMYFUNCTION("""COMPUTED_VALUE"""),"Low")</f>
        <v>Low</v>
      </c>
      <c r="P18" s="16" t="b">
        <f>IFERROR(__xludf.DUMMYFUNCTION("""COMPUTED_VALUE"""),TRUE)</f>
        <v>1</v>
      </c>
      <c r="Q18" s="16" t="b">
        <f>IFERROR(__xludf.DUMMYFUNCTION("""COMPUTED_VALUE"""),FALSE)</f>
        <v>0</v>
      </c>
      <c r="R18" s="16" t="str">
        <f>IFERROR(__xludf.DUMMYFUNCTION("""COMPUTED_VALUE"""),"Business")</f>
        <v>Business</v>
      </c>
      <c r="S18" s="16" t="str">
        <f>IFERROR(__xludf.DUMMYFUNCTION("""COMPUTED_VALUE"""),"Alacrity Solutions")</f>
        <v>Alacrity Solutions</v>
      </c>
      <c r="T18" s="16" t="str">
        <f>IFERROR(__xludf.DUMMYFUNCTION("""COMPUTED_VALUE"""),"Current Partner")</f>
        <v>Current Partner</v>
      </c>
      <c r="U18" s="16" t="b">
        <f>IFERROR(__xludf.DUMMYFUNCTION("""COMPUTED_VALUE"""),FALSE)</f>
        <v>0</v>
      </c>
      <c r="V18" s="16"/>
      <c r="W18" s="16"/>
      <c r="X18" s="16"/>
    </row>
    <row r="19">
      <c r="A19" s="16" t="str">
        <f>IFERROR(__xludf.DUMMYFUNCTION("""COMPUTED_VALUE"""),"David")</f>
        <v>David</v>
      </c>
      <c r="B19" s="16" t="str">
        <f>IFERROR(__xludf.DUMMYFUNCTION("""COMPUTED_VALUE"""),"Kern")</f>
        <v>Kern</v>
      </c>
      <c r="C19" s="16" t="str">
        <f>IFERROR(__xludf.DUMMYFUNCTION("""COMPUTED_VALUE"""),"Manager of Software Development")</f>
        <v>Manager of Software Development</v>
      </c>
      <c r="D19" s="16" t="str">
        <f>IFERROR(__xludf.DUMMYFUNCTION("""COMPUTED_VALUE"""),"Alacrity Solutions Group")</f>
        <v>Alacrity Solutions Group</v>
      </c>
      <c r="E19" s="16" t="str">
        <f>IFERROR(__xludf.DUMMYFUNCTION("""COMPUTED_VALUE"""),"Growth")</f>
        <v>Growth</v>
      </c>
      <c r="F19" s="16" t="str">
        <f>IFERROR(__xludf.DUMMYFUNCTION("""COMPUTED_VALUE"""),"dkern@alacritysolutions.com")</f>
        <v>dkern@alacritysolutions.com</v>
      </c>
      <c r="G19" s="16" t="str">
        <f>IFERROR(__xludf.DUMMYFUNCTION("""COMPUTED_VALUE"""),"Rod Gowin")</f>
        <v>Rod Gowin</v>
      </c>
      <c r="H19" s="16" t="str">
        <f>IFERROR(__xludf.DUMMYFUNCTION("""COMPUTED_VALUE"""),"PartnerConnect - Technology")</f>
        <v>PartnerConnect - Technology</v>
      </c>
      <c r="I19" s="16"/>
      <c r="J19" s="16"/>
      <c r="K19" s="16"/>
      <c r="L19" s="16"/>
      <c r="M19" s="16"/>
      <c r="N19" s="16" t="str">
        <f>IFERROR(__xludf.DUMMYFUNCTION("""COMPUTED_VALUE"""),"United States")</f>
        <v>United States</v>
      </c>
      <c r="O19" s="16" t="str">
        <f>IFERROR(__xludf.DUMMYFUNCTION("""COMPUTED_VALUE"""),"Low")</f>
        <v>Low</v>
      </c>
      <c r="P19" s="16" t="b">
        <f>IFERROR(__xludf.DUMMYFUNCTION("""COMPUTED_VALUE"""),TRUE)</f>
        <v>1</v>
      </c>
      <c r="Q19" s="16" t="b">
        <f>IFERROR(__xludf.DUMMYFUNCTION("""COMPUTED_VALUE"""),FALSE)</f>
        <v>0</v>
      </c>
      <c r="R19" s="16" t="str">
        <f>IFERROR(__xludf.DUMMYFUNCTION("""COMPUTED_VALUE"""),"Admin, Support, Technical, NPE User, Sales Solution Architect, Delivery Lead / BA")</f>
        <v>Admin, Support, Technical, NPE User, Sales Solution Architect, Delivery Lead / BA</v>
      </c>
      <c r="S19" s="16" t="str">
        <f>IFERROR(__xludf.DUMMYFUNCTION("""COMPUTED_VALUE"""),"Alacrity Solutions")</f>
        <v>Alacrity Solutions</v>
      </c>
      <c r="T19" s="16" t="str">
        <f>IFERROR(__xludf.DUMMYFUNCTION("""COMPUTED_VALUE"""),"Current Partner")</f>
        <v>Current Partner</v>
      </c>
      <c r="U19" s="16" t="b">
        <f>IFERROR(__xludf.DUMMYFUNCTION("""COMPUTED_VALUE"""),TRUE)</f>
        <v>1</v>
      </c>
      <c r="V19" s="16"/>
      <c r="W19" s="16"/>
      <c r="X19" s="16"/>
    </row>
    <row r="20">
      <c r="A20" s="16" t="str">
        <f>IFERROR(__xludf.DUMMYFUNCTION("""COMPUTED_VALUE"""),"Al")</f>
        <v>Al</v>
      </c>
      <c r="B20" s="16" t="str">
        <f>IFERROR(__xludf.DUMMYFUNCTION("""COMPUTED_VALUE"""),"Muya")</f>
        <v>Muya</v>
      </c>
      <c r="C20" s="16"/>
      <c r="D20" s="16" t="str">
        <f>IFERROR(__xludf.DUMMYFUNCTION("""COMPUTED_VALUE"""),"Alacrity Solutions Group")</f>
        <v>Alacrity Solutions Group</v>
      </c>
      <c r="E20" s="16" t="str">
        <f>IFERROR(__xludf.DUMMYFUNCTION("""COMPUTED_VALUE"""),"Growth")</f>
        <v>Growth</v>
      </c>
      <c r="F20" s="16" t="str">
        <f>IFERROR(__xludf.DUMMYFUNCTION("""COMPUTED_VALUE"""),"amuya@alacritysolutions.com")</f>
        <v>amuya@alacritysolutions.com</v>
      </c>
      <c r="G20" s="16" t="str">
        <f>IFERROR(__xludf.DUMMYFUNCTION("""COMPUTED_VALUE"""),"Rod Gowin")</f>
        <v>Rod Gowin</v>
      </c>
      <c r="H20" s="16" t="str">
        <f>IFERROR(__xludf.DUMMYFUNCTION("""COMPUTED_VALUE"""),"PartnerConnect - Technology")</f>
        <v>PartnerConnect - Technology</v>
      </c>
      <c r="I20" s="16" t="str">
        <f>IFERROR(__xludf.DUMMYFUNCTION("""COMPUTED_VALUE"""),"9725 Windermere Blvd")</f>
        <v>9725 Windermere Blvd</v>
      </c>
      <c r="J20" s="16"/>
      <c r="K20" s="16" t="str">
        <f>IFERROR(__xludf.DUMMYFUNCTION("""COMPUTED_VALUE"""),"Fishers")</f>
        <v>Fishers</v>
      </c>
      <c r="L20" s="16" t="str">
        <f>IFERROR(__xludf.DUMMYFUNCTION("""COMPUTED_VALUE"""),"Indiana")</f>
        <v>Indiana</v>
      </c>
      <c r="M20" s="16">
        <f>IFERROR(__xludf.DUMMYFUNCTION("""COMPUTED_VALUE"""),46037.0)</f>
        <v>46037</v>
      </c>
      <c r="N20" s="16" t="str">
        <f>IFERROR(__xludf.DUMMYFUNCTION("""COMPUTED_VALUE"""),"United States")</f>
        <v>United States</v>
      </c>
      <c r="O20" s="16" t="str">
        <f>IFERROR(__xludf.DUMMYFUNCTION("""COMPUTED_VALUE"""),"Low")</f>
        <v>Low</v>
      </c>
      <c r="P20" s="16" t="b">
        <f>IFERROR(__xludf.DUMMYFUNCTION("""COMPUTED_VALUE"""),FALSE)</f>
        <v>0</v>
      </c>
      <c r="Q20" s="16" t="b">
        <f>IFERROR(__xludf.DUMMYFUNCTION("""COMPUTED_VALUE"""),TRUE)</f>
        <v>1</v>
      </c>
      <c r="R20" s="16" t="str">
        <f>IFERROR(__xludf.DUMMYFUNCTION("""COMPUTED_VALUE"""),"Marketing")</f>
        <v>Marketing</v>
      </c>
      <c r="S20" s="16" t="str">
        <f>IFERROR(__xludf.DUMMYFUNCTION("""COMPUTED_VALUE"""),"Alacrity Solutions")</f>
        <v>Alacrity Solutions</v>
      </c>
      <c r="T20" s="16" t="str">
        <f>IFERROR(__xludf.DUMMYFUNCTION("""COMPUTED_VALUE"""),"Current Partner")</f>
        <v>Current Partner</v>
      </c>
      <c r="U20" s="16" t="b">
        <f>IFERROR(__xludf.DUMMYFUNCTION("""COMPUTED_VALUE"""),FALSE)</f>
        <v>0</v>
      </c>
      <c r="V20" s="16"/>
      <c r="W20" s="16"/>
      <c r="X20" s="16"/>
    </row>
    <row r="21">
      <c r="A21" s="16" t="str">
        <f>IFERROR(__xludf.DUMMYFUNCTION("""COMPUTED_VALUE"""),"Tobin")</f>
        <v>Tobin</v>
      </c>
      <c r="B21" s="16" t="str">
        <f>IFERROR(__xludf.DUMMYFUNCTION("""COMPUTED_VALUE"""),"North")</f>
        <v>North</v>
      </c>
      <c r="C21" s="16" t="str">
        <f>IFERROR(__xludf.DUMMYFUNCTION("""COMPUTED_VALUE"""),"Director of Marketing")</f>
        <v>Director of Marketing</v>
      </c>
      <c r="D21" s="16" t="str">
        <f>IFERROR(__xludf.DUMMYFUNCTION("""COMPUTED_VALUE"""),"ALE Solutions")</f>
        <v>ALE Solutions</v>
      </c>
      <c r="E21" s="16" t="str">
        <f>IFERROR(__xludf.DUMMYFUNCTION("""COMPUTED_VALUE"""),"Growth")</f>
        <v>Growth</v>
      </c>
      <c r="F21" s="16" t="str">
        <f>IFERROR(__xludf.DUMMYFUNCTION("""COMPUTED_VALUE"""),"tobin.north@fleetcor.com")</f>
        <v>tobin.north@fleetcor.com</v>
      </c>
      <c r="G21" s="16" t="str">
        <f>IFERROR(__xludf.DUMMYFUNCTION("""COMPUTED_VALUE"""),"Aaron Shaw")</f>
        <v>Aaron Shaw</v>
      </c>
      <c r="H21" s="16" t="str">
        <f>IFERROR(__xludf.DUMMYFUNCTION("""COMPUTED_VALUE"""),"PartnerConnect - Technology")</f>
        <v>PartnerConnect - Technology</v>
      </c>
      <c r="I21" s="16" t="str">
        <f>IFERROR(__xludf.DUMMYFUNCTION("""COMPUTED_VALUE"""),"One West Illinois Street, Suite 300")</f>
        <v>One West Illinois Street, Suite 300</v>
      </c>
      <c r="J21" s="16"/>
      <c r="K21" s="16" t="str">
        <f>IFERROR(__xludf.DUMMYFUNCTION("""COMPUTED_VALUE"""),"Saint Charles")</f>
        <v>Saint Charles</v>
      </c>
      <c r="L21" s="16" t="str">
        <f>IFERROR(__xludf.DUMMYFUNCTION("""COMPUTED_VALUE"""),"Illinois")</f>
        <v>Illinois</v>
      </c>
      <c r="M21" s="16">
        <f>IFERROR(__xludf.DUMMYFUNCTION("""COMPUTED_VALUE"""),60174.0)</f>
        <v>60174</v>
      </c>
      <c r="N21" s="16" t="str">
        <f>IFERROR(__xludf.DUMMYFUNCTION("""COMPUTED_VALUE"""),"United States")</f>
        <v>United States</v>
      </c>
      <c r="O21" s="16" t="str">
        <f>IFERROR(__xludf.DUMMYFUNCTION("""COMPUTED_VALUE"""),"Low")</f>
        <v>Low</v>
      </c>
      <c r="P21" s="16" t="b">
        <f>IFERROR(__xludf.DUMMYFUNCTION("""COMPUTED_VALUE"""),FALSE)</f>
        <v>0</v>
      </c>
      <c r="Q21" s="16" t="b">
        <f>IFERROR(__xludf.DUMMYFUNCTION("""COMPUTED_VALUE"""),TRUE)</f>
        <v>1</v>
      </c>
      <c r="R21" s="16" t="str">
        <f>IFERROR(__xludf.DUMMYFUNCTION("""COMPUTED_VALUE"""),"Marketing")</f>
        <v>Marketing</v>
      </c>
      <c r="S21" s="16" t="str">
        <f>IFERROR(__xludf.DUMMYFUNCTION("""COMPUTED_VALUE"""),"ALE")</f>
        <v>ALE</v>
      </c>
      <c r="T21" s="16" t="str">
        <f>IFERROR(__xludf.DUMMYFUNCTION("""COMPUTED_VALUE"""),"Current Partner")</f>
        <v>Current Partner</v>
      </c>
      <c r="U21" s="16" t="b">
        <f>IFERROR(__xludf.DUMMYFUNCTION("""COMPUTED_VALUE"""),FALSE)</f>
        <v>0</v>
      </c>
      <c r="V21" s="16"/>
      <c r="W21" s="16"/>
      <c r="X21" s="16"/>
    </row>
    <row r="22">
      <c r="A22" s="16" t="str">
        <f>IFERROR(__xludf.DUMMYFUNCTION("""COMPUTED_VALUE"""),"A.J.")</f>
        <v>A.J.</v>
      </c>
      <c r="B22" s="16" t="str">
        <f>IFERROR(__xludf.DUMMYFUNCTION("""COMPUTED_VALUE"""),"Novak")</f>
        <v>Novak</v>
      </c>
      <c r="C22" s="16" t="str">
        <f>IFERROR(__xludf.DUMMYFUNCTION("""COMPUTED_VALUE"""),"President")</f>
        <v>President</v>
      </c>
      <c r="D22" s="16" t="str">
        <f>IFERROR(__xludf.DUMMYFUNCTION("""COMPUTED_VALUE"""),"ALE Solutions")</f>
        <v>ALE Solutions</v>
      </c>
      <c r="E22" s="16" t="str">
        <f>IFERROR(__xludf.DUMMYFUNCTION("""COMPUTED_VALUE"""),"Growth")</f>
        <v>Growth</v>
      </c>
      <c r="F22" s="16" t="str">
        <f>IFERROR(__xludf.DUMMYFUNCTION("""COMPUTED_VALUE"""),"aj.novak@alesolutions.com")</f>
        <v>aj.novak@alesolutions.com</v>
      </c>
      <c r="G22" s="16" t="str">
        <f>IFERROR(__xludf.DUMMYFUNCTION("""COMPUTED_VALUE"""),"Aaron Shaw")</f>
        <v>Aaron Shaw</v>
      </c>
      <c r="H22" s="16" t="str">
        <f>IFERROR(__xludf.DUMMYFUNCTION("""COMPUTED_VALUE"""),"PartnerConnect - Technology")</f>
        <v>PartnerConnect - Technology</v>
      </c>
      <c r="I22" s="16" t="str">
        <f>IFERROR(__xludf.DUMMYFUNCTION("""COMPUTED_VALUE"""),"One West Illinois Street, Suite 300")</f>
        <v>One West Illinois Street, Suite 300</v>
      </c>
      <c r="J22" s="16"/>
      <c r="K22" s="16" t="str">
        <f>IFERROR(__xludf.DUMMYFUNCTION("""COMPUTED_VALUE"""),"Saint Charles")</f>
        <v>Saint Charles</v>
      </c>
      <c r="L22" s="16" t="str">
        <f>IFERROR(__xludf.DUMMYFUNCTION("""COMPUTED_VALUE"""),"Illinois")</f>
        <v>Illinois</v>
      </c>
      <c r="M22" s="16">
        <f>IFERROR(__xludf.DUMMYFUNCTION("""COMPUTED_VALUE"""),60174.0)</f>
        <v>60174</v>
      </c>
      <c r="N22" s="16" t="str">
        <f>IFERROR(__xludf.DUMMYFUNCTION("""COMPUTED_VALUE"""),"United States")</f>
        <v>United States</v>
      </c>
      <c r="O22" s="16" t="str">
        <f>IFERROR(__xludf.DUMMYFUNCTION("""COMPUTED_VALUE"""),"Low")</f>
        <v>Low</v>
      </c>
      <c r="P22" s="16" t="b">
        <f>IFERROR(__xludf.DUMMYFUNCTION("""COMPUTED_VALUE"""),FALSE)</f>
        <v>0</v>
      </c>
      <c r="Q22" s="16" t="b">
        <f>IFERROR(__xludf.DUMMYFUNCTION("""COMPUTED_VALUE"""),TRUE)</f>
        <v>1</v>
      </c>
      <c r="R22" s="16" t="str">
        <f>IFERROR(__xludf.DUMMYFUNCTION("""COMPUTED_VALUE"""),"Admin, Business")</f>
        <v>Admin, Business</v>
      </c>
      <c r="S22" s="16" t="str">
        <f>IFERROR(__xludf.DUMMYFUNCTION("""COMPUTED_VALUE"""),"ALE")</f>
        <v>ALE</v>
      </c>
      <c r="T22" s="16" t="str">
        <f>IFERROR(__xludf.DUMMYFUNCTION("""COMPUTED_VALUE"""),"Current Partner")</f>
        <v>Current Partner</v>
      </c>
      <c r="U22" s="16" t="b">
        <f>IFERROR(__xludf.DUMMYFUNCTION("""COMPUTED_VALUE"""),FALSE)</f>
        <v>0</v>
      </c>
      <c r="V22" s="16"/>
      <c r="W22" s="16"/>
      <c r="X22" s="16"/>
    </row>
    <row r="23">
      <c r="A23" s="16" t="str">
        <f>IFERROR(__xludf.DUMMYFUNCTION("""COMPUTED_VALUE"""),"Bryan")</f>
        <v>Bryan</v>
      </c>
      <c r="B23" s="16" t="str">
        <f>IFERROR(__xludf.DUMMYFUNCTION("""COMPUTED_VALUE"""),"Burns")</f>
        <v>Burns</v>
      </c>
      <c r="C23" s="16"/>
      <c r="D23" s="16" t="str">
        <f>IFERROR(__xludf.DUMMYFUNCTION("""COMPUTED_VALUE"""),"ALE Solutions")</f>
        <v>ALE Solutions</v>
      </c>
      <c r="E23" s="16" t="str">
        <f>IFERROR(__xludf.DUMMYFUNCTION("""COMPUTED_VALUE"""),"Growth")</f>
        <v>Growth</v>
      </c>
      <c r="F23" s="16" t="str">
        <f>IFERROR(__xludf.DUMMYFUNCTION("""COMPUTED_VALUE"""),"bryan.burns@alesolutions.com")</f>
        <v>bryan.burns@alesolutions.com</v>
      </c>
      <c r="G23" s="16" t="str">
        <f>IFERROR(__xludf.DUMMYFUNCTION("""COMPUTED_VALUE"""),"Aaron Shaw")</f>
        <v>Aaron Shaw</v>
      </c>
      <c r="H23" s="16" t="str">
        <f>IFERROR(__xludf.DUMMYFUNCTION("""COMPUTED_VALUE"""),"PartnerConnect - Technology")</f>
        <v>PartnerConnect - Technology</v>
      </c>
      <c r="I23" s="16" t="str">
        <f>IFERROR(__xludf.DUMMYFUNCTION("""COMPUTED_VALUE"""),"One West Illinois Street, Suite 300")</f>
        <v>One West Illinois Street, Suite 300</v>
      </c>
      <c r="J23" s="16"/>
      <c r="K23" s="16" t="str">
        <f>IFERROR(__xludf.DUMMYFUNCTION("""COMPUTED_VALUE"""),"Saint Charles")</f>
        <v>Saint Charles</v>
      </c>
      <c r="L23" s="16" t="str">
        <f>IFERROR(__xludf.DUMMYFUNCTION("""COMPUTED_VALUE"""),"Illinois")</f>
        <v>Illinois</v>
      </c>
      <c r="M23" s="16">
        <f>IFERROR(__xludf.DUMMYFUNCTION("""COMPUTED_VALUE"""),60174.0)</f>
        <v>60174</v>
      </c>
      <c r="N23" s="16" t="str">
        <f>IFERROR(__xludf.DUMMYFUNCTION("""COMPUTED_VALUE"""),"United States")</f>
        <v>United States</v>
      </c>
      <c r="O23" s="16" t="str">
        <f>IFERROR(__xludf.DUMMYFUNCTION("""COMPUTED_VALUE"""),"Low")</f>
        <v>Low</v>
      </c>
      <c r="P23" s="16" t="b">
        <f>IFERROR(__xludf.DUMMYFUNCTION("""COMPUTED_VALUE"""),TRUE)</f>
        <v>1</v>
      </c>
      <c r="Q23" s="16" t="b">
        <f>IFERROR(__xludf.DUMMYFUNCTION("""COMPUTED_VALUE"""),FALSE)</f>
        <v>0</v>
      </c>
      <c r="R23" s="16" t="str">
        <f>IFERROR(__xludf.DUMMYFUNCTION("""COMPUTED_VALUE"""),"Admin")</f>
        <v>Admin</v>
      </c>
      <c r="S23" s="16" t="str">
        <f>IFERROR(__xludf.DUMMYFUNCTION("""COMPUTED_VALUE"""),"ALE")</f>
        <v>ALE</v>
      </c>
      <c r="T23" s="16" t="str">
        <f>IFERROR(__xludf.DUMMYFUNCTION("""COMPUTED_VALUE"""),"Current Partner")</f>
        <v>Current Partner</v>
      </c>
      <c r="U23" s="16" t="b">
        <f>IFERROR(__xludf.DUMMYFUNCTION("""COMPUTED_VALUE"""),FALSE)</f>
        <v>0</v>
      </c>
      <c r="V23" s="16"/>
      <c r="W23" s="16"/>
      <c r="X23" s="16"/>
    </row>
    <row r="24">
      <c r="A24" s="16" t="str">
        <f>IFERROR(__xludf.DUMMYFUNCTION("""COMPUTED_VALUE"""),"Darren")</f>
        <v>Darren</v>
      </c>
      <c r="B24" s="16" t="str">
        <f>IFERROR(__xludf.DUMMYFUNCTION("""COMPUTED_VALUE"""),"Klauser")</f>
        <v>Klauser</v>
      </c>
      <c r="C24" s="16" t="str">
        <f>IFERROR(__xludf.DUMMYFUNCTION("""COMPUTED_VALUE"""),"Head of U.S.")</f>
        <v>Head of U.S.</v>
      </c>
      <c r="D24" s="16" t="str">
        <f>IFERROR(__xludf.DUMMYFUNCTION("""COMPUTED_VALUE"""),"amaise (formerly legal-i)")</f>
        <v>amaise (formerly legal-i)</v>
      </c>
      <c r="E24" s="16" t="str">
        <f>IFERROR(__xludf.DUMMYFUNCTION("""COMPUTED_VALUE"""),"Insurtech Vanguard")</f>
        <v>Insurtech Vanguard</v>
      </c>
      <c r="F24" s="16" t="str">
        <f>IFERROR(__xludf.DUMMYFUNCTION("""COMPUTED_VALUE"""),"darren.klauser@amaise.com")</f>
        <v>darren.klauser@amaise.com</v>
      </c>
      <c r="G24" s="16" t="str">
        <f>IFERROR(__xludf.DUMMYFUNCTION("""COMPUTED_VALUE"""),"Shannon Spies")</f>
        <v>Shannon Spies</v>
      </c>
      <c r="H24" s="16"/>
      <c r="I24" s="16" t="str">
        <f>IFERROR(__xludf.DUMMYFUNCTION("""COMPUTED_VALUE"""),"15 Winstead Ct")</f>
        <v>15 Winstead Ct</v>
      </c>
      <c r="J24" s="16"/>
      <c r="K24" s="16" t="str">
        <f>IFERROR(__xludf.DUMMYFUNCTION("""COMPUTED_VALUE"""),"Dallas")</f>
        <v>Dallas</v>
      </c>
      <c r="L24" s="16" t="str">
        <f>IFERROR(__xludf.DUMMYFUNCTION("""COMPUTED_VALUE"""),"Texas")</f>
        <v>Texas</v>
      </c>
      <c r="M24" s="16">
        <f>IFERROR(__xludf.DUMMYFUNCTION("""COMPUTED_VALUE"""),76262.0)</f>
        <v>76262</v>
      </c>
      <c r="N24" s="16" t="str">
        <f>IFERROR(__xludf.DUMMYFUNCTION("""COMPUTED_VALUE"""),"United States")</f>
        <v>United States</v>
      </c>
      <c r="O24" s="16"/>
      <c r="P24" s="16" t="b">
        <f>IFERROR(__xludf.DUMMYFUNCTION("""COMPUTED_VALUE"""),TRUE)</f>
        <v>1</v>
      </c>
      <c r="Q24" s="16" t="b">
        <f>IFERROR(__xludf.DUMMYFUNCTION("""COMPUTED_VALUE"""),FALSE)</f>
        <v>0</v>
      </c>
      <c r="R24" s="16" t="str">
        <f>IFERROR(__xludf.DUMMYFUNCTION("""COMPUTED_VALUE"""),"")</f>
        <v/>
      </c>
      <c r="S24" s="16"/>
      <c r="T24" s="16" t="str">
        <f>IFERROR(__xludf.DUMMYFUNCTION("""COMPUTED_VALUE"""),"Current Vanguard")</f>
        <v>Current Vanguard</v>
      </c>
      <c r="U24" s="16" t="b">
        <f>IFERROR(__xludf.DUMMYFUNCTION("""COMPUTED_VALUE"""),FALSE)</f>
        <v>0</v>
      </c>
      <c r="V24" s="16"/>
      <c r="W24" s="16"/>
      <c r="X24" s="16"/>
    </row>
    <row r="25">
      <c r="A25" s="16" t="str">
        <f>IFERROR(__xludf.DUMMYFUNCTION("""COMPUTED_VALUE"""),"David")</f>
        <v>David</v>
      </c>
      <c r="B25" s="16" t="str">
        <f>IFERROR(__xludf.DUMMYFUNCTION("""COMPUTED_VALUE"""),"Schiffman")</f>
        <v>Schiffman</v>
      </c>
      <c r="C25" s="16" t="str">
        <f>IFERROR(__xludf.DUMMYFUNCTION("""COMPUTED_VALUE"""),"Global Alliances, Financial Services")</f>
        <v>Global Alliances, Financial Services</v>
      </c>
      <c r="D25" s="16" t="str">
        <f>IFERROR(__xludf.DUMMYFUNCTION("""COMPUTED_VALUE"""),"Amazon Web Services, Inc")</f>
        <v>Amazon Web Services, Inc</v>
      </c>
      <c r="E25" s="16" t="str">
        <f>IFERROR(__xludf.DUMMYFUNCTION("""COMPUTED_VALUE"""),"Advantage")</f>
        <v>Advantage</v>
      </c>
      <c r="F25" s="16" t="str">
        <f>IFERROR(__xludf.DUMMYFUNCTION("""COMPUTED_VALUE"""),"djschiff@amazon.com")</f>
        <v>djschiff@amazon.com</v>
      </c>
      <c r="G25" s="16" t="str">
        <f>IFERROR(__xludf.DUMMYFUNCTION("""COMPUTED_VALUE"""),"Paul Harper")</f>
        <v>Paul Harper</v>
      </c>
      <c r="H25" s="16" t="str">
        <f>IFERROR(__xludf.DUMMYFUNCTION("""COMPUTED_VALUE"""),"PartnerConnect - Technology")</f>
        <v>PartnerConnect - Technology</v>
      </c>
      <c r="I25" s="16" t="str">
        <f>IFERROR(__xludf.DUMMYFUNCTION("""COMPUTED_VALUE"""),"525 Market Street")</f>
        <v>525 Market Street</v>
      </c>
      <c r="J25" s="16"/>
      <c r="K25" s="16" t="str">
        <f>IFERROR(__xludf.DUMMYFUNCTION("""COMPUTED_VALUE"""),"San Francisco, CA")</f>
        <v>San Francisco, CA</v>
      </c>
      <c r="L25" s="16" t="str">
        <f>IFERROR(__xludf.DUMMYFUNCTION("""COMPUTED_VALUE"""),"CALIFORNIA")</f>
        <v>CALIFORNIA</v>
      </c>
      <c r="M25" s="16">
        <f>IFERROR(__xludf.DUMMYFUNCTION("""COMPUTED_VALUE"""),94105.0)</f>
        <v>94105</v>
      </c>
      <c r="N25" s="16" t="str">
        <f>IFERROR(__xludf.DUMMYFUNCTION("""COMPUTED_VALUE"""),"United States")</f>
        <v>United States</v>
      </c>
      <c r="O25" s="16" t="str">
        <f>IFERROR(__xludf.DUMMYFUNCTION("""COMPUTED_VALUE"""),"High")</f>
        <v>High</v>
      </c>
      <c r="P25" s="16" t="b">
        <f>IFERROR(__xludf.DUMMYFUNCTION("""COMPUTED_VALUE"""),FALSE)</f>
        <v>0</v>
      </c>
      <c r="Q25" s="16" t="b">
        <f>IFERROR(__xludf.DUMMYFUNCTION("""COMPUTED_VALUE"""),TRUE)</f>
        <v>1</v>
      </c>
      <c r="R25" s="16" t="str">
        <f>IFERROR(__xludf.DUMMYFUNCTION("""COMPUTED_VALUE"""),"Admin, Business, Events, Legal / Contracts, Marketing, Client Partner / Partner Account Executive")</f>
        <v>Admin, Business, Events, Legal / Contracts, Marketing, Client Partner / Partner Account Executive</v>
      </c>
      <c r="S25" s="16" t="str">
        <f>IFERROR(__xludf.DUMMYFUNCTION("""COMPUTED_VALUE"""),"AWS")</f>
        <v>AWS</v>
      </c>
      <c r="T25" s="16" t="str">
        <f>IFERROR(__xludf.DUMMYFUNCTION("""COMPUTED_VALUE"""),"Current Partner")</f>
        <v>Current Partner</v>
      </c>
      <c r="U25" s="16" t="b">
        <f>IFERROR(__xludf.DUMMYFUNCTION("""COMPUTED_VALUE"""),FALSE)</f>
        <v>0</v>
      </c>
      <c r="V25" s="16"/>
      <c r="W25" s="16"/>
      <c r="X25" s="16"/>
    </row>
    <row r="26">
      <c r="A26" s="16" t="str">
        <f>IFERROR(__xludf.DUMMYFUNCTION("""COMPUTED_VALUE"""),"Brad")</f>
        <v>Brad</v>
      </c>
      <c r="B26" s="16" t="str">
        <f>IFERROR(__xludf.DUMMYFUNCTION("""COMPUTED_VALUE"""),"Prodger")</f>
        <v>Prodger</v>
      </c>
      <c r="C26" s="16" t="str">
        <f>IFERROR(__xludf.DUMMYFUNCTION("""COMPUTED_VALUE"""),"Global Account Manager")</f>
        <v>Global Account Manager</v>
      </c>
      <c r="D26" s="16" t="str">
        <f>IFERROR(__xludf.DUMMYFUNCTION("""COMPUTED_VALUE"""),"Amazon Web Services, Inc")</f>
        <v>Amazon Web Services, Inc</v>
      </c>
      <c r="E26" s="16" t="str">
        <f>IFERROR(__xludf.DUMMYFUNCTION("""COMPUTED_VALUE"""),"Advantage")</f>
        <v>Advantage</v>
      </c>
      <c r="F26" s="16" t="str">
        <f>IFERROR(__xludf.DUMMYFUNCTION("""COMPUTED_VALUE"""),"bprodge@amazon.com")</f>
        <v>bprodge@amazon.com</v>
      </c>
      <c r="G26" s="16" t="str">
        <f>IFERROR(__xludf.DUMMYFUNCTION("""COMPUTED_VALUE"""),"Paul Harper")</f>
        <v>Paul Harper</v>
      </c>
      <c r="H26" s="16" t="str">
        <f>IFERROR(__xludf.DUMMYFUNCTION("""COMPUTED_VALUE"""),"PartnerConnect - Technology")</f>
        <v>PartnerConnect - Technology</v>
      </c>
      <c r="I26" s="16" t="str">
        <f>IFERROR(__xludf.DUMMYFUNCTION("""COMPUTED_VALUE"""),"5580 E Vesuvian Walk")</f>
        <v>5580 E Vesuvian Walk</v>
      </c>
      <c r="J26" s="16"/>
      <c r="K26" s="16" t="str">
        <f>IFERROR(__xludf.DUMMYFUNCTION("""COMPUTED_VALUE"""),"Long Beach")</f>
        <v>Long Beach</v>
      </c>
      <c r="L26" s="16" t="str">
        <f>IFERROR(__xludf.DUMMYFUNCTION("""COMPUTED_VALUE"""),"California")</f>
        <v>California</v>
      </c>
      <c r="M26" s="16">
        <f>IFERROR(__xludf.DUMMYFUNCTION("""COMPUTED_VALUE"""),90803.0)</f>
        <v>90803</v>
      </c>
      <c r="N26" s="16" t="str">
        <f>IFERROR(__xludf.DUMMYFUNCTION("""COMPUTED_VALUE"""),"United States")</f>
        <v>United States</v>
      </c>
      <c r="O26" s="16" t="str">
        <f>IFERROR(__xludf.DUMMYFUNCTION("""COMPUTED_VALUE"""),"High")</f>
        <v>High</v>
      </c>
      <c r="P26" s="16" t="b">
        <f>IFERROR(__xludf.DUMMYFUNCTION("""COMPUTED_VALUE"""),TRUE)</f>
        <v>1</v>
      </c>
      <c r="Q26" s="16" t="b">
        <f>IFERROR(__xludf.DUMMYFUNCTION("""COMPUTED_VALUE"""),TRUE)</f>
        <v>1</v>
      </c>
      <c r="R26" s="16" t="str">
        <f>IFERROR(__xludf.DUMMYFUNCTION("""COMPUTED_VALUE"""),"Business, Events, Marketing")</f>
        <v>Business, Events, Marketing</v>
      </c>
      <c r="S26" s="16" t="str">
        <f>IFERROR(__xludf.DUMMYFUNCTION("""COMPUTED_VALUE"""),"AWS")</f>
        <v>AWS</v>
      </c>
      <c r="T26" s="16" t="str">
        <f>IFERROR(__xludf.DUMMYFUNCTION("""COMPUTED_VALUE"""),"Current Partner")</f>
        <v>Current Partner</v>
      </c>
      <c r="U26" s="16" t="b">
        <f>IFERROR(__xludf.DUMMYFUNCTION("""COMPUTED_VALUE"""),FALSE)</f>
        <v>0</v>
      </c>
      <c r="V26" s="16"/>
      <c r="W26" s="16"/>
      <c r="X26" s="16"/>
    </row>
    <row r="27">
      <c r="A27" s="16" t="str">
        <f>IFERROR(__xludf.DUMMYFUNCTION("""COMPUTED_VALUE"""),"Kristin")</f>
        <v>Kristin</v>
      </c>
      <c r="B27" s="16" t="str">
        <f>IFERROR(__xludf.DUMMYFUNCTION("""COMPUTED_VALUE"""),"Escobar")</f>
        <v>Escobar</v>
      </c>
      <c r="C27" s="16" t="str">
        <f>IFERROR(__xludf.DUMMYFUNCTION("""COMPUTED_VALUE"""),"Marketing")</f>
        <v>Marketing</v>
      </c>
      <c r="D27" s="16" t="str">
        <f>IFERROR(__xludf.DUMMYFUNCTION("""COMPUTED_VALUE"""),"Amazon Web Services, Inc")</f>
        <v>Amazon Web Services, Inc</v>
      </c>
      <c r="E27" s="16" t="str">
        <f>IFERROR(__xludf.DUMMYFUNCTION("""COMPUTED_VALUE"""),"Advantage")</f>
        <v>Advantage</v>
      </c>
      <c r="F27" s="16" t="str">
        <f>IFERROR(__xludf.DUMMYFUNCTION("""COMPUTED_VALUE"""),"esckrist@amazon.com")</f>
        <v>esckrist@amazon.com</v>
      </c>
      <c r="G27" s="16" t="str">
        <f>IFERROR(__xludf.DUMMYFUNCTION("""COMPUTED_VALUE"""),"Paul Harper")</f>
        <v>Paul Harper</v>
      </c>
      <c r="H27" s="16" t="str">
        <f>IFERROR(__xludf.DUMMYFUNCTION("""COMPUTED_VALUE"""),"PartnerConnect - Technology")</f>
        <v>PartnerConnect - Technology</v>
      </c>
      <c r="I27" s="16"/>
      <c r="J27" s="16"/>
      <c r="K27" s="16"/>
      <c r="L27" s="16"/>
      <c r="M27" s="16"/>
      <c r="N27" s="16" t="str">
        <f>IFERROR(__xludf.DUMMYFUNCTION("""COMPUTED_VALUE"""),"United States")</f>
        <v>United States</v>
      </c>
      <c r="O27" s="16" t="str">
        <f>IFERROR(__xludf.DUMMYFUNCTION("""COMPUTED_VALUE"""),"High")</f>
        <v>High</v>
      </c>
      <c r="P27" s="16" t="b">
        <f>IFERROR(__xludf.DUMMYFUNCTION("""COMPUTED_VALUE"""),FALSE)</f>
        <v>0</v>
      </c>
      <c r="Q27" s="16" t="b">
        <f>IFERROR(__xludf.DUMMYFUNCTION("""COMPUTED_VALUE"""),TRUE)</f>
        <v>1</v>
      </c>
      <c r="R27" s="16" t="str">
        <f>IFERROR(__xludf.DUMMYFUNCTION("""COMPUTED_VALUE"""),"Business, Events, Marketing")</f>
        <v>Business, Events, Marketing</v>
      </c>
      <c r="S27" s="16" t="str">
        <f>IFERROR(__xludf.DUMMYFUNCTION("""COMPUTED_VALUE"""),"AWS")</f>
        <v>AWS</v>
      </c>
      <c r="T27" s="16" t="str">
        <f>IFERROR(__xludf.DUMMYFUNCTION("""COMPUTED_VALUE"""),"Current Partner")</f>
        <v>Current Partner</v>
      </c>
      <c r="U27" s="16" t="b">
        <f>IFERROR(__xludf.DUMMYFUNCTION("""COMPUTED_VALUE"""),FALSE)</f>
        <v>0</v>
      </c>
      <c r="V27" s="16"/>
      <c r="W27" s="16"/>
      <c r="X27" s="16"/>
    </row>
    <row r="28">
      <c r="A28" s="16" t="str">
        <f>IFERROR(__xludf.DUMMYFUNCTION("""COMPUTED_VALUE"""),"Jeff")</f>
        <v>Jeff</v>
      </c>
      <c r="B28" s="16" t="str">
        <f>IFERROR(__xludf.DUMMYFUNCTION("""COMPUTED_VALUE"""),"Holaway")</f>
        <v>Holaway</v>
      </c>
      <c r="C28" s="16" t="str">
        <f>IFERROR(__xludf.DUMMYFUNCTION("""COMPUTED_VALUE"""),"Product Technical Lead")</f>
        <v>Product Technical Lead</v>
      </c>
      <c r="D28" s="16" t="str">
        <f>IFERROR(__xludf.DUMMYFUNCTION("""COMPUTED_VALUE"""),"American Association of Insurance Services (AAIS)")</f>
        <v>American Association of Insurance Services (AAIS)</v>
      </c>
      <c r="E28" s="16" t="str">
        <f>IFERROR(__xludf.DUMMYFUNCTION("""COMPUTED_VALUE"""),"Growth")</f>
        <v>Growth</v>
      </c>
      <c r="F28" s="16" t="str">
        <f>IFERROR(__xludf.DUMMYFUNCTION("""COMPUTED_VALUE"""),"jeffh@aaisonline.com")</f>
        <v>jeffh@aaisonline.com</v>
      </c>
      <c r="G28" s="16" t="str">
        <f>IFERROR(__xludf.DUMMYFUNCTION("""COMPUTED_VALUE"""),"Eric Apse")</f>
        <v>Eric Apse</v>
      </c>
      <c r="H28" s="16" t="str">
        <f>IFERROR(__xludf.DUMMYFUNCTION("""COMPUTED_VALUE"""),"PartnerConnect - Technology")</f>
        <v>PartnerConnect - Technology</v>
      </c>
      <c r="I28" s="16" t="str">
        <f>IFERROR(__xludf.DUMMYFUNCTION("""COMPUTED_VALUE"""),"650 Warrenville Road")</f>
        <v>650 Warrenville Road</v>
      </c>
      <c r="J28" s="16"/>
      <c r="K28" s="16" t="str">
        <f>IFERROR(__xludf.DUMMYFUNCTION("""COMPUTED_VALUE"""),"Lisle")</f>
        <v>Lisle</v>
      </c>
      <c r="L28" s="16" t="str">
        <f>IFERROR(__xludf.DUMMYFUNCTION("""COMPUTED_VALUE"""),"Illinois")</f>
        <v>Illinois</v>
      </c>
      <c r="M28" s="16">
        <f>IFERROR(__xludf.DUMMYFUNCTION("""COMPUTED_VALUE"""),60532.0)</f>
        <v>60532</v>
      </c>
      <c r="N28" s="16" t="str">
        <f>IFERROR(__xludf.DUMMYFUNCTION("""COMPUTED_VALUE"""),"United States")</f>
        <v>United States</v>
      </c>
      <c r="O28" s="16" t="str">
        <f>IFERROR(__xludf.DUMMYFUNCTION("""COMPUTED_VALUE"""),"High")</f>
        <v>High</v>
      </c>
      <c r="P28" s="16" t="b">
        <f>IFERROR(__xludf.DUMMYFUNCTION("""COMPUTED_VALUE"""),TRUE)</f>
        <v>1</v>
      </c>
      <c r="Q28" s="16" t="b">
        <f>IFERROR(__xludf.DUMMYFUNCTION("""COMPUTED_VALUE"""),FALSE)</f>
        <v>0</v>
      </c>
      <c r="R28" s="16" t="str">
        <f>IFERROR(__xludf.DUMMYFUNCTION("""COMPUTED_VALUE"""),"Admin, Delivery Lead / BA")</f>
        <v>Admin, Delivery Lead / BA</v>
      </c>
      <c r="S28" s="16" t="str">
        <f>IFERROR(__xludf.DUMMYFUNCTION("""COMPUTED_VALUE"""),"AAIS")</f>
        <v>AAIS</v>
      </c>
      <c r="T28" s="16" t="str">
        <f>IFERROR(__xludf.DUMMYFUNCTION("""COMPUTED_VALUE"""),"Current Partner")</f>
        <v>Current Partner</v>
      </c>
      <c r="U28" s="16" t="b">
        <f>IFERROR(__xludf.DUMMYFUNCTION("""COMPUTED_VALUE"""),FALSE)</f>
        <v>0</v>
      </c>
      <c r="V28" s="16"/>
      <c r="W28" s="16"/>
      <c r="X28" s="16"/>
    </row>
    <row r="29">
      <c r="A29" s="16" t="str">
        <f>IFERROR(__xludf.DUMMYFUNCTION("""COMPUTED_VALUE"""),"Sean")</f>
        <v>Sean</v>
      </c>
      <c r="B29" s="16" t="str">
        <f>IFERROR(__xludf.DUMMYFUNCTION("""COMPUTED_VALUE"""),"Finney")</f>
        <v>Finney</v>
      </c>
      <c r="C29" s="16" t="str">
        <f>IFERROR(__xludf.DUMMYFUNCTION("""COMPUTED_VALUE"""),"Director, Technology Strategy")</f>
        <v>Director, Technology Strategy</v>
      </c>
      <c r="D29" s="16" t="str">
        <f>IFERROR(__xludf.DUMMYFUNCTION("""COMPUTED_VALUE"""),"Appian")</f>
        <v>Appian</v>
      </c>
      <c r="E29" s="16" t="str">
        <f>IFERROR(__xludf.DUMMYFUNCTION("""COMPUTED_VALUE"""),"Growth")</f>
        <v>Growth</v>
      </c>
      <c r="F29" s="16" t="str">
        <f>IFERROR(__xludf.DUMMYFUNCTION("""COMPUTED_VALUE"""),"sean.finney@appian.com")</f>
        <v>sean.finney@appian.com</v>
      </c>
      <c r="G29" s="16" t="str">
        <f>IFERROR(__xludf.DUMMYFUNCTION("""COMPUTED_VALUE"""),"Fatima Aoulagha-Bannou")</f>
        <v>Fatima Aoulagha-Bannou</v>
      </c>
      <c r="H29" s="16" t="str">
        <f>IFERROR(__xludf.DUMMYFUNCTION("""COMPUTED_VALUE"""),"PartnerConnect - Technology")</f>
        <v>PartnerConnect - Technology</v>
      </c>
      <c r="I29" s="16" t="str">
        <f>IFERROR(__xludf.DUMMYFUNCTION("""COMPUTED_VALUE"""),"7950 Jones Branch Dr")</f>
        <v>7950 Jones Branch Dr</v>
      </c>
      <c r="J29" s="16"/>
      <c r="K29" s="16" t="str">
        <f>IFERROR(__xludf.DUMMYFUNCTION("""COMPUTED_VALUE"""),"Mc Lean")</f>
        <v>Mc Lean</v>
      </c>
      <c r="L29" s="16" t="str">
        <f>IFERROR(__xludf.DUMMYFUNCTION("""COMPUTED_VALUE"""),"Virginia")</f>
        <v>Virginia</v>
      </c>
      <c r="M29" s="16">
        <f>IFERROR(__xludf.DUMMYFUNCTION("""COMPUTED_VALUE"""),22102.0)</f>
        <v>22102</v>
      </c>
      <c r="N29" s="16" t="str">
        <f>IFERROR(__xludf.DUMMYFUNCTION("""COMPUTED_VALUE"""),"United States")</f>
        <v>United States</v>
      </c>
      <c r="O29" s="16" t="str">
        <f>IFERROR(__xludf.DUMMYFUNCTION("""COMPUTED_VALUE"""),"Medium")</f>
        <v>Medium</v>
      </c>
      <c r="P29" s="16" t="b">
        <f>IFERROR(__xludf.DUMMYFUNCTION("""COMPUTED_VALUE"""),TRUE)</f>
        <v>1</v>
      </c>
      <c r="Q29" s="16" t="b">
        <f>IFERROR(__xludf.DUMMYFUNCTION("""COMPUTED_VALUE"""),FALSE)</f>
        <v>0</v>
      </c>
      <c r="R29" s="16" t="str">
        <f>IFERROR(__xludf.DUMMYFUNCTION("""COMPUTED_VALUE"""),"Admin, Business, Support")</f>
        <v>Admin, Business, Support</v>
      </c>
      <c r="S29" s="16" t="str">
        <f>IFERROR(__xludf.DUMMYFUNCTION("""COMPUTED_VALUE"""),"Appian")</f>
        <v>Appian</v>
      </c>
      <c r="T29" s="16" t="str">
        <f>IFERROR(__xludf.DUMMYFUNCTION("""COMPUTED_VALUE"""),"Current Partner")</f>
        <v>Current Partner</v>
      </c>
      <c r="U29" s="16" t="b">
        <f>IFERROR(__xludf.DUMMYFUNCTION("""COMPUTED_VALUE"""),FALSE)</f>
        <v>0</v>
      </c>
      <c r="V29" s="16"/>
      <c r="W29" s="16"/>
      <c r="X29" s="16"/>
    </row>
    <row r="30">
      <c r="A30" s="16" t="str">
        <f>IFERROR(__xludf.DUMMYFUNCTION("""COMPUTED_VALUE"""),"Pritha")</f>
        <v>Pritha</v>
      </c>
      <c r="B30" s="16" t="str">
        <f>IFERROR(__xludf.DUMMYFUNCTION("""COMPUTED_VALUE"""),"Sandell")</f>
        <v>Sandell</v>
      </c>
      <c r="C30" s="16" t="str">
        <f>IFERROR(__xludf.DUMMYFUNCTION("""COMPUTED_VALUE"""),"Event Marketing Manager")</f>
        <v>Event Marketing Manager</v>
      </c>
      <c r="D30" s="16" t="str">
        <f>IFERROR(__xludf.DUMMYFUNCTION("""COMPUTED_VALUE"""),"Appian")</f>
        <v>Appian</v>
      </c>
      <c r="E30" s="16" t="str">
        <f>IFERROR(__xludf.DUMMYFUNCTION("""COMPUTED_VALUE"""),"Growth")</f>
        <v>Growth</v>
      </c>
      <c r="F30" s="16" t="str">
        <f>IFERROR(__xludf.DUMMYFUNCTION("""COMPUTED_VALUE"""),"pritha.sandell@appian.com")</f>
        <v>pritha.sandell@appian.com</v>
      </c>
      <c r="G30" s="16" t="str">
        <f>IFERROR(__xludf.DUMMYFUNCTION("""COMPUTED_VALUE"""),"Fatima Aoulagha-Bannou")</f>
        <v>Fatima Aoulagha-Bannou</v>
      </c>
      <c r="H30" s="16" t="str">
        <f>IFERROR(__xludf.DUMMYFUNCTION("""COMPUTED_VALUE"""),"PartnerConnect - Technology")</f>
        <v>PartnerConnect - Technology</v>
      </c>
      <c r="I30" s="16" t="str">
        <f>IFERROR(__xludf.DUMMYFUNCTION("""COMPUTED_VALUE"""),"7950 Jones Branch Dr")</f>
        <v>7950 Jones Branch Dr</v>
      </c>
      <c r="J30" s="16"/>
      <c r="K30" s="16" t="str">
        <f>IFERROR(__xludf.DUMMYFUNCTION("""COMPUTED_VALUE"""),"Mc Lean")</f>
        <v>Mc Lean</v>
      </c>
      <c r="L30" s="16" t="str">
        <f>IFERROR(__xludf.DUMMYFUNCTION("""COMPUTED_VALUE"""),"Virginia")</f>
        <v>Virginia</v>
      </c>
      <c r="M30" s="16">
        <f>IFERROR(__xludf.DUMMYFUNCTION("""COMPUTED_VALUE"""),22102.0)</f>
        <v>22102</v>
      </c>
      <c r="N30" s="16" t="str">
        <f>IFERROR(__xludf.DUMMYFUNCTION("""COMPUTED_VALUE"""),"United States")</f>
        <v>United States</v>
      </c>
      <c r="O30" s="16" t="str">
        <f>IFERROR(__xludf.DUMMYFUNCTION("""COMPUTED_VALUE"""),"Medium")</f>
        <v>Medium</v>
      </c>
      <c r="P30" s="16" t="b">
        <f>IFERROR(__xludf.DUMMYFUNCTION("""COMPUTED_VALUE"""),FALSE)</f>
        <v>0</v>
      </c>
      <c r="Q30" s="16" t="b">
        <f>IFERROR(__xludf.DUMMYFUNCTION("""COMPUTED_VALUE"""),TRUE)</f>
        <v>1</v>
      </c>
      <c r="R30" s="16" t="str">
        <f>IFERROR(__xludf.DUMMYFUNCTION("""COMPUTED_VALUE"""),"Marketing")</f>
        <v>Marketing</v>
      </c>
      <c r="S30" s="16" t="str">
        <f>IFERROR(__xludf.DUMMYFUNCTION("""COMPUTED_VALUE"""),"Appian")</f>
        <v>Appian</v>
      </c>
      <c r="T30" s="16" t="str">
        <f>IFERROR(__xludf.DUMMYFUNCTION("""COMPUTED_VALUE"""),"Current Partner")</f>
        <v>Current Partner</v>
      </c>
      <c r="U30" s="16" t="b">
        <f>IFERROR(__xludf.DUMMYFUNCTION("""COMPUTED_VALUE"""),FALSE)</f>
        <v>0</v>
      </c>
      <c r="V30" s="16"/>
      <c r="W30" s="16"/>
      <c r="X30" s="16"/>
    </row>
    <row r="31">
      <c r="A31" s="16" t="str">
        <f>IFERROR(__xludf.DUMMYFUNCTION("""COMPUTED_VALUE"""),"D.j.")</f>
        <v>D.j.</v>
      </c>
      <c r="B31" s="16" t="str">
        <f>IFERROR(__xludf.DUMMYFUNCTION("""COMPUTED_VALUE"""),"Wischmeyer")</f>
        <v>Wischmeyer</v>
      </c>
      <c r="C31" s="16" t="str">
        <f>IFERROR(__xludf.DUMMYFUNCTION("""COMPUTED_VALUE"""),"Director of Partnerships")</f>
        <v>Director of Partnerships</v>
      </c>
      <c r="D31" s="16" t="str">
        <f>IFERROR(__xludf.DUMMYFUNCTION("""COMPUTED_VALUE"""),"Applied Systems Inc")</f>
        <v>Applied Systems Inc</v>
      </c>
      <c r="E31" s="16" t="str">
        <f>IFERROR(__xludf.DUMMYFUNCTION("""COMPUTED_VALUE"""),"Growth")</f>
        <v>Growth</v>
      </c>
      <c r="F31" s="16" t="str">
        <f>IFERROR(__xludf.DUMMYFUNCTION("""COMPUTED_VALUE"""),"dwischmeyer@ivans.com")</f>
        <v>dwischmeyer@ivans.com</v>
      </c>
      <c r="G31" s="16" t="str">
        <f>IFERROR(__xludf.DUMMYFUNCTION("""COMPUTED_VALUE"""),"Rod Gowin")</f>
        <v>Rod Gowin</v>
      </c>
      <c r="H31" s="16" t="str">
        <f>IFERROR(__xludf.DUMMYFUNCTION("""COMPUTED_VALUE"""),"PartnerConnect - Technology")</f>
        <v>PartnerConnect - Technology</v>
      </c>
      <c r="I31" s="16" t="str">
        <f>IFERROR(__xludf.DUMMYFUNCTION("""COMPUTED_VALUE"""),"1322 N. 8th Street")</f>
        <v>1322 N. 8th Street</v>
      </c>
      <c r="J31" s="16"/>
      <c r="K31" s="16" t="str">
        <f>IFERROR(__xludf.DUMMYFUNCTION("""COMPUTED_VALUE"""),"Milwaukee")</f>
        <v>Milwaukee</v>
      </c>
      <c r="L31" s="16" t="str">
        <f>IFERROR(__xludf.DUMMYFUNCTION("""COMPUTED_VALUE"""),"Wisconsin")</f>
        <v>Wisconsin</v>
      </c>
      <c r="M31" s="16">
        <f>IFERROR(__xludf.DUMMYFUNCTION("""COMPUTED_VALUE"""),53205.0)</f>
        <v>53205</v>
      </c>
      <c r="N31" s="16" t="str">
        <f>IFERROR(__xludf.DUMMYFUNCTION("""COMPUTED_VALUE"""),"United States")</f>
        <v>United States</v>
      </c>
      <c r="O31" s="16" t="str">
        <f>IFERROR(__xludf.DUMMYFUNCTION("""COMPUTED_VALUE"""),"High")</f>
        <v>High</v>
      </c>
      <c r="P31" s="16" t="b">
        <f>IFERROR(__xludf.DUMMYFUNCTION("""COMPUTED_VALUE"""),TRUE)</f>
        <v>1</v>
      </c>
      <c r="Q31" s="16" t="b">
        <f>IFERROR(__xludf.DUMMYFUNCTION("""COMPUTED_VALUE"""),FALSE)</f>
        <v>0</v>
      </c>
      <c r="R31" s="16" t="str">
        <f>IFERROR(__xludf.DUMMYFUNCTION("""COMPUTED_VALUE"""),"Admin, Business, Marketing, Technical")</f>
        <v>Admin, Business, Marketing, Technical</v>
      </c>
      <c r="S31" s="16" t="str">
        <f>IFERROR(__xludf.DUMMYFUNCTION("""COMPUTED_VALUE"""),"IVANS")</f>
        <v>IVANS</v>
      </c>
      <c r="T31" s="16" t="str">
        <f>IFERROR(__xludf.DUMMYFUNCTION("""COMPUTED_VALUE"""),"Current Partner")</f>
        <v>Current Partner</v>
      </c>
      <c r="U31" s="16" t="b">
        <f>IFERROR(__xludf.DUMMYFUNCTION("""COMPUTED_VALUE"""),FALSE)</f>
        <v>0</v>
      </c>
      <c r="V31" s="16"/>
      <c r="W31" s="16"/>
      <c r="X31" s="16"/>
    </row>
    <row r="32">
      <c r="A32" s="16" t="str">
        <f>IFERROR(__xludf.DUMMYFUNCTION("""COMPUTED_VALUE"""),"Suzanne")</f>
        <v>Suzanne</v>
      </c>
      <c r="B32" s="16" t="str">
        <f>IFERROR(__xludf.DUMMYFUNCTION("""COMPUTED_VALUE"""),"Woodward")</f>
        <v>Woodward</v>
      </c>
      <c r="C32" s="16" t="str">
        <f>IFERROR(__xludf.DUMMYFUNCTION("""COMPUTED_VALUE"""),"Events Manager")</f>
        <v>Events Manager</v>
      </c>
      <c r="D32" s="16" t="str">
        <f>IFERROR(__xludf.DUMMYFUNCTION("""COMPUTED_VALUE"""),"Applied Systems Inc")</f>
        <v>Applied Systems Inc</v>
      </c>
      <c r="E32" s="16" t="str">
        <f>IFERROR(__xludf.DUMMYFUNCTION("""COMPUTED_VALUE"""),"Growth")</f>
        <v>Growth</v>
      </c>
      <c r="F32" s="16" t="str">
        <f>IFERROR(__xludf.DUMMYFUNCTION("""COMPUTED_VALUE"""),"swoodward@appliedsystems.com")</f>
        <v>swoodward@appliedsystems.com</v>
      </c>
      <c r="G32" s="16" t="str">
        <f>IFERROR(__xludf.DUMMYFUNCTION("""COMPUTED_VALUE"""),"Rod Gowin")</f>
        <v>Rod Gowin</v>
      </c>
      <c r="H32" s="16" t="str">
        <f>IFERROR(__xludf.DUMMYFUNCTION("""COMPUTED_VALUE"""),"PartnerConnect - Technology")</f>
        <v>PartnerConnect - Technology</v>
      </c>
      <c r="I32" s="16" t="str">
        <f>IFERROR(__xludf.DUMMYFUNCTION("""COMPUTED_VALUE"""),"2045 W Grand Ave Ste B
")</f>
        <v>2045 W Grand Ave Ste B
</v>
      </c>
      <c r="J32" s="16" t="str">
        <f>IFERROR(__xludf.DUMMYFUNCTION("""COMPUTED_VALUE"""),"PMB 404150")</f>
        <v>PMB 404150</v>
      </c>
      <c r="K32" s="16" t="str">
        <f>IFERROR(__xludf.DUMMYFUNCTION("""COMPUTED_VALUE"""),"Chicago")</f>
        <v>Chicago</v>
      </c>
      <c r="L32" s="16" t="str">
        <f>IFERROR(__xludf.DUMMYFUNCTION("""COMPUTED_VALUE"""),"Illinois")</f>
        <v>Illinois</v>
      </c>
      <c r="M32" s="16">
        <f>IFERROR(__xludf.DUMMYFUNCTION("""COMPUTED_VALUE"""),60612.0)</f>
        <v>60612</v>
      </c>
      <c r="N32" s="16" t="str">
        <f>IFERROR(__xludf.DUMMYFUNCTION("""COMPUTED_VALUE"""),"United States")</f>
        <v>United States</v>
      </c>
      <c r="O32" s="16" t="str">
        <f>IFERROR(__xludf.DUMMYFUNCTION("""COMPUTED_VALUE"""),"High")</f>
        <v>High</v>
      </c>
      <c r="P32" s="16" t="b">
        <f>IFERROR(__xludf.DUMMYFUNCTION("""COMPUTED_VALUE"""),FALSE)</f>
        <v>0</v>
      </c>
      <c r="Q32" s="16" t="b">
        <f>IFERROR(__xludf.DUMMYFUNCTION("""COMPUTED_VALUE"""),TRUE)</f>
        <v>1</v>
      </c>
      <c r="R32" s="16" t="str">
        <f>IFERROR(__xludf.DUMMYFUNCTION("""COMPUTED_VALUE"""),"Business, Events, Marketing")</f>
        <v>Business, Events, Marketing</v>
      </c>
      <c r="S32" s="16" t="str">
        <f>IFERROR(__xludf.DUMMYFUNCTION("""COMPUTED_VALUE"""),"IVANS")</f>
        <v>IVANS</v>
      </c>
      <c r="T32" s="16" t="str">
        <f>IFERROR(__xludf.DUMMYFUNCTION("""COMPUTED_VALUE"""),"Current Partner")</f>
        <v>Current Partner</v>
      </c>
      <c r="U32" s="16" t="b">
        <f>IFERROR(__xludf.DUMMYFUNCTION("""COMPUTED_VALUE"""),FALSE)</f>
        <v>0</v>
      </c>
      <c r="V32" s="16"/>
      <c r="W32" s="16"/>
      <c r="X32" s="16"/>
    </row>
    <row r="33">
      <c r="A33" s="16" t="str">
        <f>IFERROR(__xludf.DUMMYFUNCTION("""COMPUTED_VALUE"""),"Christen")</f>
        <v>Christen</v>
      </c>
      <c r="B33" s="16" t="str">
        <f>IFERROR(__xludf.DUMMYFUNCTION("""COMPUTED_VALUE"""),"Kelley")</f>
        <v>Kelley</v>
      </c>
      <c r="C33" s="16" t="str">
        <f>IFERROR(__xludf.DUMMYFUNCTION("""COMPUTED_VALUE"""),"Director marketing")</f>
        <v>Director marketing</v>
      </c>
      <c r="D33" s="16" t="str">
        <f>IFERROR(__xludf.DUMMYFUNCTION("""COMPUTED_VALUE"""),"Applied Systems Inc")</f>
        <v>Applied Systems Inc</v>
      </c>
      <c r="E33" s="16" t="str">
        <f>IFERROR(__xludf.DUMMYFUNCTION("""COMPUTED_VALUE"""),"Growth")</f>
        <v>Growth</v>
      </c>
      <c r="F33" s="16" t="str">
        <f>IFERROR(__xludf.DUMMYFUNCTION("""COMPUTED_VALUE"""),"ckelley@appliedsystems.com")</f>
        <v>ckelley@appliedsystems.com</v>
      </c>
      <c r="G33" s="16" t="str">
        <f>IFERROR(__xludf.DUMMYFUNCTION("""COMPUTED_VALUE"""),"Rod Gowin")</f>
        <v>Rod Gowin</v>
      </c>
      <c r="H33" s="16" t="str">
        <f>IFERROR(__xludf.DUMMYFUNCTION("""COMPUTED_VALUE"""),"PartnerConnect - Technology")</f>
        <v>PartnerConnect - Technology</v>
      </c>
      <c r="I33" s="16"/>
      <c r="J33" s="16"/>
      <c r="K33" s="16"/>
      <c r="L33" s="16"/>
      <c r="M33" s="16"/>
      <c r="N33" s="16" t="str">
        <f>IFERROR(__xludf.DUMMYFUNCTION("""COMPUTED_VALUE"""),"United States")</f>
        <v>United States</v>
      </c>
      <c r="O33" s="16" t="str">
        <f>IFERROR(__xludf.DUMMYFUNCTION("""COMPUTED_VALUE"""),"High")</f>
        <v>High</v>
      </c>
      <c r="P33" s="16" t="b">
        <f>IFERROR(__xludf.DUMMYFUNCTION("""COMPUTED_VALUE"""),FALSE)</f>
        <v>0</v>
      </c>
      <c r="Q33" s="16" t="b">
        <f>IFERROR(__xludf.DUMMYFUNCTION("""COMPUTED_VALUE"""),TRUE)</f>
        <v>1</v>
      </c>
      <c r="R33" s="16" t="str">
        <f>IFERROR(__xludf.DUMMYFUNCTION("""COMPUTED_VALUE"""),"Business, Marketing")</f>
        <v>Business, Marketing</v>
      </c>
      <c r="S33" s="16" t="str">
        <f>IFERROR(__xludf.DUMMYFUNCTION("""COMPUTED_VALUE"""),"IVANS")</f>
        <v>IVANS</v>
      </c>
      <c r="T33" s="16" t="str">
        <f>IFERROR(__xludf.DUMMYFUNCTION("""COMPUTED_VALUE"""),"Current Partner")</f>
        <v>Current Partner</v>
      </c>
      <c r="U33" s="16" t="b">
        <f>IFERROR(__xludf.DUMMYFUNCTION("""COMPUTED_VALUE"""),FALSE)</f>
        <v>0</v>
      </c>
      <c r="V33" s="16"/>
      <c r="W33" s="16"/>
      <c r="X33" s="16"/>
    </row>
    <row r="34">
      <c r="A34" s="16" t="str">
        <f>IFERROR(__xludf.DUMMYFUNCTION("""COMPUTED_VALUE"""),"Jeff")</f>
        <v>Jeff</v>
      </c>
      <c r="B34" s="16" t="str">
        <f>IFERROR(__xludf.DUMMYFUNCTION("""COMPUTED_VALUE"""),"Harris")</f>
        <v>Harris</v>
      </c>
      <c r="C34" s="16" t="str">
        <f>IFERROR(__xludf.DUMMYFUNCTION("""COMPUTED_VALUE"""),"CEO")</f>
        <v>CEO</v>
      </c>
      <c r="D34" s="16" t="str">
        <f>IFERROR(__xludf.DUMMYFUNCTION("""COMPUTED_VALUE"""),"Appulate, Inc.")</f>
        <v>Appulate, Inc.</v>
      </c>
      <c r="E34" s="16" t="str">
        <f>IFERROR(__xludf.DUMMYFUNCTION("""COMPUTED_VALUE"""),"Growth")</f>
        <v>Growth</v>
      </c>
      <c r="F34" s="16" t="str">
        <f>IFERROR(__xludf.DUMMYFUNCTION("""COMPUTED_VALUE"""),"jharris@appulate.com")</f>
        <v>jharris@appulate.com</v>
      </c>
      <c r="G34" s="16" t="str">
        <f>IFERROR(__xludf.DUMMYFUNCTION("""COMPUTED_VALUE"""),"Tim Kennedy")</f>
        <v>Tim Kennedy</v>
      </c>
      <c r="H34" s="16" t="str">
        <f>IFERROR(__xludf.DUMMYFUNCTION("""COMPUTED_VALUE"""),"PartnerConnect - Technology")</f>
        <v>PartnerConnect - Technology</v>
      </c>
      <c r="I34" s="16" t="str">
        <f>IFERROR(__xludf.DUMMYFUNCTION("""COMPUTED_VALUE"""),"30700 Russell Ranch Rd. #250 Westlake Vi")</f>
        <v>30700 Russell Ranch Rd. #250 Westlake Vi</v>
      </c>
      <c r="J34" s="16"/>
      <c r="K34" s="16" t="str">
        <f>IFERROR(__xludf.DUMMYFUNCTION("""COMPUTED_VALUE"""),"Westlake Village")</f>
        <v>Westlake Village</v>
      </c>
      <c r="L34" s="16" t="str">
        <f>IFERROR(__xludf.DUMMYFUNCTION("""COMPUTED_VALUE"""),"California")</f>
        <v>California</v>
      </c>
      <c r="M34" s="16">
        <f>IFERROR(__xludf.DUMMYFUNCTION("""COMPUTED_VALUE"""),91362.0)</f>
        <v>91362</v>
      </c>
      <c r="N34" s="16" t="str">
        <f>IFERROR(__xludf.DUMMYFUNCTION("""COMPUTED_VALUE"""),"United States")</f>
        <v>United States</v>
      </c>
      <c r="O34" s="16" t="str">
        <f>IFERROR(__xludf.DUMMYFUNCTION("""COMPUTED_VALUE"""),"Medium")</f>
        <v>Medium</v>
      </c>
      <c r="P34" s="16" t="b">
        <f>IFERROR(__xludf.DUMMYFUNCTION("""COMPUTED_VALUE"""),TRUE)</f>
        <v>1</v>
      </c>
      <c r="Q34" s="16" t="b">
        <f>IFERROR(__xludf.DUMMYFUNCTION("""COMPUTED_VALUE"""),FALSE)</f>
        <v>0</v>
      </c>
      <c r="R34" s="16" t="str">
        <f>IFERROR(__xludf.DUMMYFUNCTION("""COMPUTED_VALUE"""),"Business, Legal / Contracts, Marketing")</f>
        <v>Business, Legal / Contracts, Marketing</v>
      </c>
      <c r="S34" s="16" t="str">
        <f>IFERROR(__xludf.DUMMYFUNCTION("""COMPUTED_VALUE"""),"Appulate")</f>
        <v>Appulate</v>
      </c>
      <c r="T34" s="16" t="str">
        <f>IFERROR(__xludf.DUMMYFUNCTION("""COMPUTED_VALUE"""),"Current Partner")</f>
        <v>Current Partner</v>
      </c>
      <c r="U34" s="16" t="b">
        <f>IFERROR(__xludf.DUMMYFUNCTION("""COMPUTED_VALUE"""),FALSE)</f>
        <v>0</v>
      </c>
      <c r="V34" s="16"/>
      <c r="W34" s="16"/>
      <c r="X34" s="16"/>
    </row>
    <row r="35">
      <c r="A35" s="16" t="str">
        <f>IFERROR(__xludf.DUMMYFUNCTION("""COMPUTED_VALUE"""),"Gaurav")</f>
        <v>Gaurav</v>
      </c>
      <c r="B35" s="16" t="str">
        <f>IFERROR(__xludf.DUMMYFUNCTION("""COMPUTED_VALUE"""),"Kishore")</f>
        <v>Kishore</v>
      </c>
      <c r="C35" s="16" t="str">
        <f>IFERROR(__xludf.DUMMYFUNCTION("""COMPUTED_VALUE"""),"Business Architect")</f>
        <v>Business Architect</v>
      </c>
      <c r="D35" s="16" t="str">
        <f>IFERROR(__xludf.DUMMYFUNCTION("""COMPUTED_VALUE"""),"Arbitration Forums, Inc")</f>
        <v>Arbitration Forums, Inc</v>
      </c>
      <c r="E35" s="16" t="str">
        <f>IFERROR(__xludf.DUMMYFUNCTION("""COMPUTED_VALUE"""),"Growth")</f>
        <v>Growth</v>
      </c>
      <c r="F35" s="16" t="str">
        <f>IFERROR(__xludf.DUMMYFUNCTION("""COMPUTED_VALUE"""),"gkishore@arbfile.org")</f>
        <v>gkishore@arbfile.org</v>
      </c>
      <c r="G35" s="16" t="str">
        <f>IFERROR(__xludf.DUMMYFUNCTION("""COMPUTED_VALUE"""),"Rod Gowin")</f>
        <v>Rod Gowin</v>
      </c>
      <c r="H35" s="16" t="str">
        <f>IFERROR(__xludf.DUMMYFUNCTION("""COMPUTED_VALUE"""),"PartnerConnect - Technology")</f>
        <v>PartnerConnect - Technology</v>
      </c>
      <c r="I35" s="16" t="str">
        <f>IFERROR(__xludf.DUMMYFUNCTION("""COMPUTED_VALUE"""),"3820 Northdale Blvd, Suite 115")</f>
        <v>3820 Northdale Blvd, Suite 115</v>
      </c>
      <c r="J35" s="16"/>
      <c r="K35" s="16" t="str">
        <f>IFERROR(__xludf.DUMMYFUNCTION("""COMPUTED_VALUE"""),"Tampa")</f>
        <v>Tampa</v>
      </c>
      <c r="L35" s="16" t="str">
        <f>IFERROR(__xludf.DUMMYFUNCTION("""COMPUTED_VALUE"""),"FLORIDA")</f>
        <v>FLORIDA</v>
      </c>
      <c r="M35" s="16">
        <f>IFERROR(__xludf.DUMMYFUNCTION("""COMPUTED_VALUE"""),33624.0)</f>
        <v>33624</v>
      </c>
      <c r="N35" s="16" t="str">
        <f>IFERROR(__xludf.DUMMYFUNCTION("""COMPUTED_VALUE"""),"United States")</f>
        <v>United States</v>
      </c>
      <c r="O35" s="16" t="str">
        <f>IFERROR(__xludf.DUMMYFUNCTION("""COMPUTED_VALUE"""),"Medium")</f>
        <v>Medium</v>
      </c>
      <c r="P35" s="16" t="b">
        <f>IFERROR(__xludf.DUMMYFUNCTION("""COMPUTED_VALUE"""),TRUE)</f>
        <v>1</v>
      </c>
      <c r="Q35" s="16" t="b">
        <f>IFERROR(__xludf.DUMMYFUNCTION("""COMPUTED_VALUE"""),FALSE)</f>
        <v>0</v>
      </c>
      <c r="R35" s="16" t="str">
        <f>IFERROR(__xludf.DUMMYFUNCTION("""COMPUTED_VALUE"""),"Admin, Business, Events, Marketing, Support, Technical, Training, Sales Solution Architect, Delivery Lead / BA")</f>
        <v>Admin, Business, Events, Marketing, Support, Technical, Training, Sales Solution Architect, Delivery Lead / BA</v>
      </c>
      <c r="S35" s="16" t="str">
        <f>IFERROR(__xludf.DUMMYFUNCTION("""COMPUTED_VALUE"""),"Arbitration Forums")</f>
        <v>Arbitration Forums</v>
      </c>
      <c r="T35" s="16" t="str">
        <f>IFERROR(__xludf.DUMMYFUNCTION("""COMPUTED_VALUE"""),"Current Partner")</f>
        <v>Current Partner</v>
      </c>
      <c r="U35" s="16" t="b">
        <f>IFERROR(__xludf.DUMMYFUNCTION("""COMPUTED_VALUE"""),FALSE)</f>
        <v>0</v>
      </c>
      <c r="V35" s="16"/>
      <c r="W35" s="16"/>
      <c r="X35" s="16"/>
    </row>
    <row r="36">
      <c r="A36" s="16" t="str">
        <f>IFERROR(__xludf.DUMMYFUNCTION("""COMPUTED_VALUE"""),"Jennifer")</f>
        <v>Jennifer</v>
      </c>
      <c r="B36" s="16" t="str">
        <f>IFERROR(__xludf.DUMMYFUNCTION("""COMPUTED_VALUE"""),"Felder")</f>
        <v>Felder</v>
      </c>
      <c r="C36" s="16" t="str">
        <f>IFERROR(__xludf.DUMMYFUNCTION("""COMPUTED_VALUE"""),"Dir. of Comm, Training and Member Satisfaction")</f>
        <v>Dir. of Comm, Training and Member Satisfaction</v>
      </c>
      <c r="D36" s="16" t="str">
        <f>IFERROR(__xludf.DUMMYFUNCTION("""COMPUTED_VALUE"""),"Arbitration Forums, Inc")</f>
        <v>Arbitration Forums, Inc</v>
      </c>
      <c r="E36" s="16" t="str">
        <f>IFERROR(__xludf.DUMMYFUNCTION("""COMPUTED_VALUE"""),"Growth")</f>
        <v>Growth</v>
      </c>
      <c r="F36" s="16" t="str">
        <f>IFERROR(__xludf.DUMMYFUNCTION("""COMPUTED_VALUE"""),"jfelder@arbfile.org")</f>
        <v>jfelder@arbfile.org</v>
      </c>
      <c r="G36" s="16" t="str">
        <f>IFERROR(__xludf.DUMMYFUNCTION("""COMPUTED_VALUE"""),"Rod Gowin")</f>
        <v>Rod Gowin</v>
      </c>
      <c r="H36" s="16" t="str">
        <f>IFERROR(__xludf.DUMMYFUNCTION("""COMPUTED_VALUE"""),"PartnerConnect - Technology")</f>
        <v>PartnerConnect - Technology</v>
      </c>
      <c r="I36" s="16" t="str">
        <f>IFERROR(__xludf.DUMMYFUNCTION("""COMPUTED_VALUE"""),"3820 Northdale Boulevard, Suite 115")</f>
        <v>3820 Northdale Boulevard, Suite 115</v>
      </c>
      <c r="J36" s="16"/>
      <c r="K36" s="16" t="str">
        <f>IFERROR(__xludf.DUMMYFUNCTION("""COMPUTED_VALUE"""),"Tampa")</f>
        <v>Tampa</v>
      </c>
      <c r="L36" s="16" t="str">
        <f>IFERROR(__xludf.DUMMYFUNCTION("""COMPUTED_VALUE"""),"Florida")</f>
        <v>Florida</v>
      </c>
      <c r="M36" s="16">
        <f>IFERROR(__xludf.DUMMYFUNCTION("""COMPUTED_VALUE"""),33624.0)</f>
        <v>33624</v>
      </c>
      <c r="N36" s="16" t="str">
        <f>IFERROR(__xludf.DUMMYFUNCTION("""COMPUTED_VALUE"""),"United States")</f>
        <v>United States</v>
      </c>
      <c r="O36" s="16" t="str">
        <f>IFERROR(__xludf.DUMMYFUNCTION("""COMPUTED_VALUE"""),"Medium")</f>
        <v>Medium</v>
      </c>
      <c r="P36" s="16" t="b">
        <f>IFERROR(__xludf.DUMMYFUNCTION("""COMPUTED_VALUE"""),FALSE)</f>
        <v>0</v>
      </c>
      <c r="Q36" s="16" t="b">
        <f>IFERROR(__xludf.DUMMYFUNCTION("""COMPUTED_VALUE"""),TRUE)</f>
        <v>1</v>
      </c>
      <c r="R36" s="16" t="str">
        <f>IFERROR(__xludf.DUMMYFUNCTION("""COMPUTED_VALUE"""),"Events, Marketing, Support, Training")</f>
        <v>Events, Marketing, Support, Training</v>
      </c>
      <c r="S36" s="16" t="str">
        <f>IFERROR(__xludf.DUMMYFUNCTION("""COMPUTED_VALUE"""),"Arbitration Forums")</f>
        <v>Arbitration Forums</v>
      </c>
      <c r="T36" s="16" t="str">
        <f>IFERROR(__xludf.DUMMYFUNCTION("""COMPUTED_VALUE"""),"Current Partner")</f>
        <v>Current Partner</v>
      </c>
      <c r="U36" s="16" t="b">
        <f>IFERROR(__xludf.DUMMYFUNCTION("""COMPUTED_VALUE"""),FALSE)</f>
        <v>0</v>
      </c>
      <c r="V36" s="16"/>
      <c r="W36" s="16"/>
      <c r="X36" s="16"/>
    </row>
    <row r="37">
      <c r="A37" s="16" t="str">
        <f>IFERROR(__xludf.DUMMYFUNCTION("""COMPUTED_VALUE"""),"Amione")</f>
        <v>Amione</v>
      </c>
      <c r="B37" s="16" t="str">
        <f>IFERROR(__xludf.DUMMYFUNCTION("""COMPUTED_VALUE"""),"Allison")</f>
        <v>Allison</v>
      </c>
      <c r="C37" s="16" t="str">
        <f>IFERROR(__xludf.DUMMYFUNCTION("""COMPUTED_VALUE"""),"Business Analyst")</f>
        <v>Business Analyst</v>
      </c>
      <c r="D37" s="16" t="str">
        <f>IFERROR(__xludf.DUMMYFUNCTION("""COMPUTED_VALUE"""),"Arbitration Forums, Inc")</f>
        <v>Arbitration Forums, Inc</v>
      </c>
      <c r="E37" s="16" t="str">
        <f>IFERROR(__xludf.DUMMYFUNCTION("""COMPUTED_VALUE"""),"Growth")</f>
        <v>Growth</v>
      </c>
      <c r="F37" s="16" t="str">
        <f>IFERROR(__xludf.DUMMYFUNCTION("""COMPUTED_VALUE"""),"aallison@arbfile.org")</f>
        <v>aallison@arbfile.org</v>
      </c>
      <c r="G37" s="16" t="str">
        <f>IFERROR(__xludf.DUMMYFUNCTION("""COMPUTED_VALUE"""),"Rod Gowin")</f>
        <v>Rod Gowin</v>
      </c>
      <c r="H37" s="16" t="str">
        <f>IFERROR(__xludf.DUMMYFUNCTION("""COMPUTED_VALUE"""),"PartnerConnect - Technology")</f>
        <v>PartnerConnect - Technology</v>
      </c>
      <c r="I37" s="16"/>
      <c r="J37" s="16"/>
      <c r="K37" s="16" t="str">
        <f>IFERROR(__xludf.DUMMYFUNCTION("""COMPUTED_VALUE"""),"Tampa")</f>
        <v>Tampa</v>
      </c>
      <c r="L37" s="16" t="str">
        <f>IFERROR(__xludf.DUMMYFUNCTION("""COMPUTED_VALUE"""),"Florida")</f>
        <v>Florida</v>
      </c>
      <c r="M37" s="16">
        <f>IFERROR(__xludf.DUMMYFUNCTION("""COMPUTED_VALUE"""),33624.0)</f>
        <v>33624</v>
      </c>
      <c r="N37" s="16" t="str">
        <f>IFERROR(__xludf.DUMMYFUNCTION("""COMPUTED_VALUE"""),"United States")</f>
        <v>United States</v>
      </c>
      <c r="O37" s="16" t="str">
        <f>IFERROR(__xludf.DUMMYFUNCTION("""COMPUTED_VALUE"""),"Medium")</f>
        <v>Medium</v>
      </c>
      <c r="P37" s="16" t="b">
        <f>IFERROR(__xludf.DUMMYFUNCTION("""COMPUTED_VALUE"""),TRUE)</f>
        <v>1</v>
      </c>
      <c r="Q37" s="16" t="b">
        <f>IFERROR(__xludf.DUMMYFUNCTION("""COMPUTED_VALUE"""),FALSE)</f>
        <v>0</v>
      </c>
      <c r="R37" s="16" t="str">
        <f>IFERROR(__xludf.DUMMYFUNCTION("""COMPUTED_VALUE"""),"")</f>
        <v/>
      </c>
      <c r="S37" s="16" t="str">
        <f>IFERROR(__xludf.DUMMYFUNCTION("""COMPUTED_VALUE"""),"Arbitration Forums")</f>
        <v>Arbitration Forums</v>
      </c>
      <c r="T37" s="16" t="str">
        <f>IFERROR(__xludf.DUMMYFUNCTION("""COMPUTED_VALUE"""),"Current Partner")</f>
        <v>Current Partner</v>
      </c>
      <c r="U37" s="16" t="b">
        <f>IFERROR(__xludf.DUMMYFUNCTION("""COMPUTED_VALUE"""),FALSE)</f>
        <v>0</v>
      </c>
      <c r="V37" s="16"/>
      <c r="W37" s="16"/>
      <c r="X37" s="16"/>
    </row>
    <row r="38">
      <c r="A38" s="16" t="str">
        <f>IFERROR(__xludf.DUMMYFUNCTION("""COMPUTED_VALUE"""),"Kevin")</f>
        <v>Kevin</v>
      </c>
      <c r="B38" s="16" t="str">
        <f>IFERROR(__xludf.DUMMYFUNCTION("""COMPUTED_VALUE"""),"Manning")</f>
        <v>Manning</v>
      </c>
      <c r="C38" s="16"/>
      <c r="D38" s="16" t="str">
        <f>IFERROR(__xludf.DUMMYFUNCTION("""COMPUTED_VALUE"""),"Arbitration Forums, Inc")</f>
        <v>Arbitration Forums, Inc</v>
      </c>
      <c r="E38" s="16" t="str">
        <f>IFERROR(__xludf.DUMMYFUNCTION("""COMPUTED_VALUE"""),"Growth")</f>
        <v>Growth</v>
      </c>
      <c r="F38" s="16" t="str">
        <f>IFERROR(__xludf.DUMMYFUNCTION("""COMPUTED_VALUE"""),"kmanning@arbfile.org")</f>
        <v>kmanning@arbfile.org</v>
      </c>
      <c r="G38" s="16" t="str">
        <f>IFERROR(__xludf.DUMMYFUNCTION("""COMPUTED_VALUE"""),"Rod Gowin")</f>
        <v>Rod Gowin</v>
      </c>
      <c r="H38" s="16" t="str">
        <f>IFERROR(__xludf.DUMMYFUNCTION("""COMPUTED_VALUE"""),"PartnerConnect - Technology")</f>
        <v>PartnerConnect - Technology</v>
      </c>
      <c r="I38" s="16" t="str">
        <f>IFERROR(__xludf.DUMMYFUNCTION("""COMPUTED_VALUE"""),"3820 Northdale Boulevard, Suite 115")</f>
        <v>3820 Northdale Boulevard, Suite 115</v>
      </c>
      <c r="J38" s="16"/>
      <c r="K38" s="16" t="str">
        <f>IFERROR(__xludf.DUMMYFUNCTION("""COMPUTED_VALUE"""),"Tampa")</f>
        <v>Tampa</v>
      </c>
      <c r="L38" s="16" t="str">
        <f>IFERROR(__xludf.DUMMYFUNCTION("""COMPUTED_VALUE"""),"Florida")</f>
        <v>Florida</v>
      </c>
      <c r="M38" s="16">
        <f>IFERROR(__xludf.DUMMYFUNCTION("""COMPUTED_VALUE"""),33624.0)</f>
        <v>33624</v>
      </c>
      <c r="N38" s="16" t="str">
        <f>IFERROR(__xludf.DUMMYFUNCTION("""COMPUTED_VALUE"""),"United States")</f>
        <v>United States</v>
      </c>
      <c r="O38" s="16" t="str">
        <f>IFERROR(__xludf.DUMMYFUNCTION("""COMPUTED_VALUE"""),"Medium")</f>
        <v>Medium</v>
      </c>
      <c r="P38" s="16" t="b">
        <f>IFERROR(__xludf.DUMMYFUNCTION("""COMPUTED_VALUE"""),TRUE)</f>
        <v>1</v>
      </c>
      <c r="Q38" s="16" t="b">
        <f>IFERROR(__xludf.DUMMYFUNCTION("""COMPUTED_VALUE"""),FALSE)</f>
        <v>0</v>
      </c>
      <c r="R38" s="16" t="str">
        <f>IFERROR(__xludf.DUMMYFUNCTION("""COMPUTED_VALUE"""),"Admin, Events, Support, Technical, NPE User, Client Partner / Partner Account Executive")</f>
        <v>Admin, Events, Support, Technical, NPE User, Client Partner / Partner Account Executive</v>
      </c>
      <c r="S38" s="16" t="str">
        <f>IFERROR(__xludf.DUMMYFUNCTION("""COMPUTED_VALUE"""),"Arbitration Forums")</f>
        <v>Arbitration Forums</v>
      </c>
      <c r="T38" s="16" t="str">
        <f>IFERROR(__xludf.DUMMYFUNCTION("""COMPUTED_VALUE"""),"Current Partner")</f>
        <v>Current Partner</v>
      </c>
      <c r="U38" s="16" t="b">
        <f>IFERROR(__xludf.DUMMYFUNCTION("""COMPUTED_VALUE"""),TRUE)</f>
        <v>1</v>
      </c>
      <c r="V38" s="16"/>
      <c r="W38" s="16"/>
      <c r="X38" s="16"/>
    </row>
    <row r="39">
      <c r="A39" s="16" t="str">
        <f>IFERROR(__xludf.DUMMYFUNCTION("""COMPUTED_VALUE"""),"Brian")</f>
        <v>Brian</v>
      </c>
      <c r="B39" s="16" t="str">
        <f>IFERROR(__xludf.DUMMYFUNCTION("""COMPUTED_VALUE"""),"Colclough")</f>
        <v>Colclough</v>
      </c>
      <c r="C39" s="16" t="str">
        <f>IFERROR(__xludf.DUMMYFUNCTION("""COMPUTED_VALUE"""),"Sales")</f>
        <v>Sales</v>
      </c>
      <c r="D39" s="16" t="str">
        <f>IFERROR(__xludf.DUMMYFUNCTION("""COMPUTED_VALUE"""),"Arity")</f>
        <v>Arity</v>
      </c>
      <c r="E39" s="16" t="str">
        <f>IFERROR(__xludf.DUMMYFUNCTION("""COMPUTED_VALUE"""),"Access")</f>
        <v>Access</v>
      </c>
      <c r="F39" s="16" t="str">
        <f>IFERROR(__xludf.DUMMYFUNCTION("""COMPUTED_VALUE"""),"brian.colclough@arity.com")</f>
        <v>brian.colclough@arity.com</v>
      </c>
      <c r="G39" s="16" t="str">
        <f>IFERROR(__xludf.DUMMYFUNCTION("""COMPUTED_VALUE"""),"Aaron Shaw")</f>
        <v>Aaron Shaw</v>
      </c>
      <c r="H39" s="16" t="str">
        <f>IFERROR(__xludf.DUMMYFUNCTION("""COMPUTED_VALUE"""),"PartnerConnect - Technology")</f>
        <v>PartnerConnect - Technology</v>
      </c>
      <c r="I39" s="16" t="str">
        <f>IFERROR(__xludf.DUMMYFUNCTION("""COMPUTED_VALUE"""),"2 Via Topacio")</f>
        <v>2 Via Topacio</v>
      </c>
      <c r="J39" s="16"/>
      <c r="K39" s="16" t="str">
        <f>IFERROR(__xludf.DUMMYFUNCTION("""COMPUTED_VALUE"""),"Rancho Santa Margarita")</f>
        <v>Rancho Santa Margarita</v>
      </c>
      <c r="L39" s="16" t="str">
        <f>IFERROR(__xludf.DUMMYFUNCTION("""COMPUTED_VALUE"""),"CA")</f>
        <v>CA</v>
      </c>
      <c r="M39" s="16">
        <f>IFERROR(__xludf.DUMMYFUNCTION("""COMPUTED_VALUE"""),92688.0)</f>
        <v>92688</v>
      </c>
      <c r="N39" s="16" t="str">
        <f>IFERROR(__xludf.DUMMYFUNCTION("""COMPUTED_VALUE"""),"United States")</f>
        <v>United States</v>
      </c>
      <c r="O39" s="16" t="str">
        <f>IFERROR(__xludf.DUMMYFUNCTION("""COMPUTED_VALUE"""),"Medium")</f>
        <v>Medium</v>
      </c>
      <c r="P39" s="16" t="b">
        <f>IFERROR(__xludf.DUMMYFUNCTION("""COMPUTED_VALUE"""),TRUE)</f>
        <v>1</v>
      </c>
      <c r="Q39" s="16" t="b">
        <f>IFERROR(__xludf.DUMMYFUNCTION("""COMPUTED_VALUE"""),FALSE)</f>
        <v>0</v>
      </c>
      <c r="R39" s="16" t="str">
        <f>IFERROR(__xludf.DUMMYFUNCTION("""COMPUTED_VALUE"""),"Admin, Client Partner / Partner Account Executive")</f>
        <v>Admin, Client Partner / Partner Account Executive</v>
      </c>
      <c r="S39" s="16" t="str">
        <f>IFERROR(__xludf.DUMMYFUNCTION("""COMPUTED_VALUE"""),"Arity")</f>
        <v>Arity</v>
      </c>
      <c r="T39" s="16" t="str">
        <f>IFERROR(__xludf.DUMMYFUNCTION("""COMPUTED_VALUE"""),"Current Partner")</f>
        <v>Current Partner</v>
      </c>
      <c r="U39" s="16" t="b">
        <f>IFERROR(__xludf.DUMMYFUNCTION("""COMPUTED_VALUE"""),FALSE)</f>
        <v>0</v>
      </c>
      <c r="V39" s="16"/>
      <c r="W39" s="16"/>
      <c r="X39" s="16"/>
    </row>
    <row r="40">
      <c r="A40" s="16" t="str">
        <f>IFERROR(__xludf.DUMMYFUNCTION("""COMPUTED_VALUE"""),"Aaron")</f>
        <v>Aaron</v>
      </c>
      <c r="B40" s="16" t="str">
        <f>IFERROR(__xludf.DUMMYFUNCTION("""COMPUTED_VALUE"""),"Cruz")</f>
        <v>Cruz</v>
      </c>
      <c r="C40" s="16" t="str">
        <f>IFERROR(__xludf.DUMMYFUNCTION("""COMPUTED_VALUE"""),"Solution Engineer")</f>
        <v>Solution Engineer</v>
      </c>
      <c r="D40" s="16" t="str">
        <f>IFERROR(__xludf.DUMMYFUNCTION("""COMPUTED_VALUE"""),"Arity")</f>
        <v>Arity</v>
      </c>
      <c r="E40" s="16" t="str">
        <f>IFERROR(__xludf.DUMMYFUNCTION("""COMPUTED_VALUE"""),"Access")</f>
        <v>Access</v>
      </c>
      <c r="F40" s="16" t="str">
        <f>IFERROR(__xludf.DUMMYFUNCTION("""COMPUTED_VALUE"""),"aaron.cruz@arity.com")</f>
        <v>aaron.cruz@arity.com</v>
      </c>
      <c r="G40" s="16" t="str">
        <f>IFERROR(__xludf.DUMMYFUNCTION("""COMPUTED_VALUE"""),"Aaron Shaw")</f>
        <v>Aaron Shaw</v>
      </c>
      <c r="H40" s="16" t="str">
        <f>IFERROR(__xludf.DUMMYFUNCTION("""COMPUTED_VALUE"""),"PartnerConnect - Technology")</f>
        <v>PartnerConnect - Technology</v>
      </c>
      <c r="I40" s="16"/>
      <c r="J40" s="16"/>
      <c r="K40" s="16"/>
      <c r="L40" s="16" t="str">
        <f>IFERROR(__xludf.DUMMYFUNCTION("""COMPUTED_VALUE"""),"CA")</f>
        <v>CA</v>
      </c>
      <c r="M40" s="16">
        <f>IFERROR(__xludf.DUMMYFUNCTION("""COMPUTED_VALUE"""),93036.0)</f>
        <v>93036</v>
      </c>
      <c r="N40" s="16" t="str">
        <f>IFERROR(__xludf.DUMMYFUNCTION("""COMPUTED_VALUE"""),"United States")</f>
        <v>United States</v>
      </c>
      <c r="O40" s="16" t="str">
        <f>IFERROR(__xludf.DUMMYFUNCTION("""COMPUTED_VALUE"""),"Medium")</f>
        <v>Medium</v>
      </c>
      <c r="P40" s="16" t="b">
        <f>IFERROR(__xludf.DUMMYFUNCTION("""COMPUTED_VALUE"""),TRUE)</f>
        <v>1</v>
      </c>
      <c r="Q40" s="16" t="b">
        <f>IFERROR(__xludf.DUMMYFUNCTION("""COMPUTED_VALUE"""),FALSE)</f>
        <v>0</v>
      </c>
      <c r="R40" s="16" t="str">
        <f>IFERROR(__xludf.DUMMYFUNCTION("""COMPUTED_VALUE"""),"Admin, Business, Technical")</f>
        <v>Admin, Business, Technical</v>
      </c>
      <c r="S40" s="16" t="str">
        <f>IFERROR(__xludf.DUMMYFUNCTION("""COMPUTED_VALUE"""),"Arity")</f>
        <v>Arity</v>
      </c>
      <c r="T40" s="16" t="str">
        <f>IFERROR(__xludf.DUMMYFUNCTION("""COMPUTED_VALUE"""),"Current Partner")</f>
        <v>Current Partner</v>
      </c>
      <c r="U40" s="16" t="b">
        <f>IFERROR(__xludf.DUMMYFUNCTION("""COMPUTED_VALUE"""),FALSE)</f>
        <v>0</v>
      </c>
      <c r="V40" s="16"/>
      <c r="W40" s="16"/>
      <c r="X40" s="16"/>
    </row>
    <row r="41">
      <c r="A41" s="16" t="str">
        <f>IFERROR(__xludf.DUMMYFUNCTION("""COMPUTED_VALUE"""),"Laura")</f>
        <v>Laura</v>
      </c>
      <c r="B41" s="16" t="str">
        <f>IFERROR(__xludf.DUMMYFUNCTION("""COMPUTED_VALUE"""),"Brundle")</f>
        <v>Brundle</v>
      </c>
      <c r="C41" s="16" t="str">
        <f>IFERROR(__xludf.DUMMYFUNCTION("""COMPUTED_VALUE"""),"Snr Rel Manager")</f>
        <v>Snr Rel Manager</v>
      </c>
      <c r="D41" s="16" t="str">
        <f>IFERROR(__xludf.DUMMYFUNCTION("""COMPUTED_VALUE"""),"ARMA Group Holdings")</f>
        <v>ARMA Group Holdings</v>
      </c>
      <c r="E41" s="16" t="str">
        <f>IFERROR(__xludf.DUMMYFUNCTION("""COMPUTED_VALUE"""),"Growth")</f>
        <v>Growth</v>
      </c>
      <c r="F41" s="16" t="str">
        <f>IFERROR(__xludf.DUMMYFUNCTION("""COMPUTED_VALUE"""),"laura@armagroup.com.au")</f>
        <v>laura@armagroup.com.au</v>
      </c>
      <c r="G41" s="16" t="str">
        <f>IFERROR(__xludf.DUMMYFUNCTION("""COMPUTED_VALUE"""),"Ketaki Padhye")</f>
        <v>Ketaki Padhye</v>
      </c>
      <c r="H41" s="16" t="str">
        <f>IFERROR(__xludf.DUMMYFUNCTION("""COMPUTED_VALUE"""),"PartnerConnect - Technology")</f>
        <v>PartnerConnect - Technology</v>
      </c>
      <c r="I41" s="16"/>
      <c r="J41" s="16"/>
      <c r="K41" s="16"/>
      <c r="L41" s="16"/>
      <c r="M41" s="16"/>
      <c r="N41" s="16" t="str">
        <f>IFERROR(__xludf.DUMMYFUNCTION("""COMPUTED_VALUE"""),"Australia")</f>
        <v>Australia</v>
      </c>
      <c r="O41" s="16" t="str">
        <f>IFERROR(__xludf.DUMMYFUNCTION("""COMPUTED_VALUE"""),"Medium")</f>
        <v>Medium</v>
      </c>
      <c r="P41" s="16" t="b">
        <f>IFERROR(__xludf.DUMMYFUNCTION("""COMPUTED_VALUE"""),TRUE)</f>
        <v>1</v>
      </c>
      <c r="Q41" s="16" t="b">
        <f>IFERROR(__xludf.DUMMYFUNCTION("""COMPUTED_VALUE"""),FALSE)</f>
        <v>0</v>
      </c>
      <c r="R41" s="16" t="str">
        <f>IFERROR(__xludf.DUMMYFUNCTION("""COMPUTED_VALUE"""),"Admin, Training, Main Billing Contact, Billing Contact  LMS Training Fees")</f>
        <v>Admin, Training, Main Billing Contact, Billing Contact  LMS Training Fees</v>
      </c>
      <c r="S41" s="16" t="str">
        <f>IFERROR(__xludf.DUMMYFUNCTION("""COMPUTED_VALUE"""),"CreditClear")</f>
        <v>CreditClear</v>
      </c>
      <c r="T41" s="16" t="str">
        <f>IFERROR(__xludf.DUMMYFUNCTION("""COMPUTED_VALUE"""),"Current Partner")</f>
        <v>Current Partner</v>
      </c>
      <c r="U41" s="16" t="b">
        <f>IFERROR(__xludf.DUMMYFUNCTION("""COMPUTED_VALUE"""),FALSE)</f>
        <v>0</v>
      </c>
      <c r="V41" s="16"/>
      <c r="W41" s="16"/>
      <c r="X41" s="16"/>
    </row>
    <row r="42">
      <c r="A42" s="16" t="str">
        <f>IFERROR(__xludf.DUMMYFUNCTION("""COMPUTED_VALUE"""),"Rick")</f>
        <v>Rick</v>
      </c>
      <c r="B42" s="16" t="str">
        <f>IFERROR(__xludf.DUMMYFUNCTION("""COMPUTED_VALUE"""),"Tighe")</f>
        <v>Tighe</v>
      </c>
      <c r="C42" s="16" t="str">
        <f>IFERROR(__xludf.DUMMYFUNCTION("""COMPUTED_VALUE"""),"Director of Carrier Relationships")</f>
        <v>Director of Carrier Relationships</v>
      </c>
      <c r="D42" s="16" t="str">
        <f>IFERROR(__xludf.DUMMYFUNCTION("""COMPUTED_VALUE"""),"Assurant")</f>
        <v>Assurant</v>
      </c>
      <c r="E42" s="16" t="str">
        <f>IFERROR(__xludf.DUMMYFUNCTION("""COMPUTED_VALUE"""),"Growth")</f>
        <v>Growth</v>
      </c>
      <c r="F42" s="16" t="str">
        <f>IFERROR(__xludf.DUMMYFUNCTION("""COMPUTED_VALUE"""),"richard.tighe@assurant.com")</f>
        <v>richard.tighe@assurant.com</v>
      </c>
      <c r="G42" s="16" t="str">
        <f>IFERROR(__xludf.DUMMYFUNCTION("""COMPUTED_VALUE"""),"Aaron Shaw")</f>
        <v>Aaron Shaw</v>
      </c>
      <c r="H42" s="16" t="str">
        <f>IFERROR(__xludf.DUMMYFUNCTION("""COMPUTED_VALUE"""),"PartnerConnect - Technology")</f>
        <v>PartnerConnect - Technology</v>
      </c>
      <c r="I42" s="16" t="str">
        <f>IFERROR(__xludf.DUMMYFUNCTION("""COMPUTED_VALUE"""),"5387 Silver Lake Drive")</f>
        <v>5387 Silver Lake Drive</v>
      </c>
      <c r="J42" s="16"/>
      <c r="K42" s="16" t="str">
        <f>IFERROR(__xludf.DUMMYFUNCTION("""COMPUTED_VALUE"""),"West Bend")</f>
        <v>West Bend</v>
      </c>
      <c r="L42" s="16" t="str">
        <f>IFERROR(__xludf.DUMMYFUNCTION("""COMPUTED_VALUE"""),"Wisconsin")</f>
        <v>Wisconsin</v>
      </c>
      <c r="M42" s="16">
        <f>IFERROR(__xludf.DUMMYFUNCTION("""COMPUTED_VALUE"""),53095.0)</f>
        <v>53095</v>
      </c>
      <c r="N42" s="16" t="str">
        <f>IFERROR(__xludf.DUMMYFUNCTION("""COMPUTED_VALUE"""),"United States")</f>
        <v>United States</v>
      </c>
      <c r="O42" s="16" t="str">
        <f>IFERROR(__xludf.DUMMYFUNCTION("""COMPUTED_VALUE"""),"Medium")</f>
        <v>Medium</v>
      </c>
      <c r="P42" s="16" t="b">
        <f>IFERROR(__xludf.DUMMYFUNCTION("""COMPUTED_VALUE"""),TRUE)</f>
        <v>1</v>
      </c>
      <c r="Q42" s="16" t="b">
        <f>IFERROR(__xludf.DUMMYFUNCTION("""COMPUTED_VALUE"""),FALSE)</f>
        <v>0</v>
      </c>
      <c r="R42" s="16" t="str">
        <f>IFERROR(__xludf.DUMMYFUNCTION("""COMPUTED_VALUE"""),"Admin, Business, Support")</f>
        <v>Admin, Business, Support</v>
      </c>
      <c r="S42" s="16" t="str">
        <f>IFERROR(__xludf.DUMMYFUNCTION("""COMPUTED_VALUE"""),"Assurant")</f>
        <v>Assurant</v>
      </c>
      <c r="T42" s="16" t="str">
        <f>IFERROR(__xludf.DUMMYFUNCTION("""COMPUTED_VALUE"""),"Current Partner")</f>
        <v>Current Partner</v>
      </c>
      <c r="U42" s="16" t="b">
        <f>IFERROR(__xludf.DUMMYFUNCTION("""COMPUTED_VALUE"""),FALSE)</f>
        <v>0</v>
      </c>
      <c r="V42" s="16"/>
      <c r="W42" s="16"/>
      <c r="X42" s="16"/>
    </row>
    <row r="43">
      <c r="A43" s="16" t="str">
        <f>IFERROR(__xludf.DUMMYFUNCTION("""COMPUTED_VALUE"""),"Ashley")</f>
        <v>Ashley</v>
      </c>
      <c r="B43" s="16" t="str">
        <f>IFERROR(__xludf.DUMMYFUNCTION("""COMPUTED_VALUE"""),"Deveny")</f>
        <v>Deveny</v>
      </c>
      <c r="C43" s="16" t="str">
        <f>IFERROR(__xludf.DUMMYFUNCTION("""COMPUTED_VALUE"""),"GM, Insurance Solutions")</f>
        <v>GM, Insurance Solutions</v>
      </c>
      <c r="D43" s="16" t="str">
        <f>IFERROR(__xludf.DUMMYFUNCTION("""COMPUTED_VALUE"""),"Athenium Analytics")</f>
        <v>Athenium Analytics</v>
      </c>
      <c r="E43" s="16" t="str">
        <f>IFERROR(__xludf.DUMMYFUNCTION("""COMPUTED_VALUE"""),"Select")</f>
        <v>Select</v>
      </c>
      <c r="F43" s="16" t="str">
        <f>IFERROR(__xludf.DUMMYFUNCTION("""COMPUTED_VALUE"""),"ashley.deveny@athenium.com")</f>
        <v>ashley.deveny@athenium.com</v>
      </c>
      <c r="G43" s="16" t="str">
        <f>IFERROR(__xludf.DUMMYFUNCTION("""COMPUTED_VALUE"""),"Aaron Shaw")</f>
        <v>Aaron Shaw</v>
      </c>
      <c r="H43" s="16" t="str">
        <f>IFERROR(__xludf.DUMMYFUNCTION("""COMPUTED_VALUE"""),"PartnerConnect - Technology")</f>
        <v>PartnerConnect - Technology</v>
      </c>
      <c r="I43" s="16" t="str">
        <f>IFERROR(__xludf.DUMMYFUNCTION("""COMPUTED_VALUE"""),"1 Washington Street")</f>
        <v>1 Washington Street</v>
      </c>
      <c r="J43" s="16"/>
      <c r="K43" s="16" t="str">
        <f>IFERROR(__xludf.DUMMYFUNCTION("""COMPUTED_VALUE"""),"Dover")</f>
        <v>Dover</v>
      </c>
      <c r="L43" s="16" t="str">
        <f>IFERROR(__xludf.DUMMYFUNCTION("""COMPUTED_VALUE"""),"New Hampshire")</f>
        <v>New Hampshire</v>
      </c>
      <c r="M43" s="16">
        <f>IFERROR(__xludf.DUMMYFUNCTION("""COMPUTED_VALUE"""),3820.0)</f>
        <v>3820</v>
      </c>
      <c r="N43" s="16" t="str">
        <f>IFERROR(__xludf.DUMMYFUNCTION("""COMPUTED_VALUE"""),"United States")</f>
        <v>United States</v>
      </c>
      <c r="O43" s="16" t="str">
        <f>IFERROR(__xludf.DUMMYFUNCTION("""COMPUTED_VALUE"""),"Low")</f>
        <v>Low</v>
      </c>
      <c r="P43" s="16" t="b">
        <f>IFERROR(__xludf.DUMMYFUNCTION("""COMPUTED_VALUE"""),TRUE)</f>
        <v>1</v>
      </c>
      <c r="Q43" s="16" t="b">
        <f>IFERROR(__xludf.DUMMYFUNCTION("""COMPUTED_VALUE"""),TRUE)</f>
        <v>1</v>
      </c>
      <c r="R43" s="16" t="str">
        <f>IFERROR(__xludf.DUMMYFUNCTION("""COMPUTED_VALUE"""),"Admin, Business, Events, Marketing")</f>
        <v>Admin, Business, Events, Marketing</v>
      </c>
      <c r="S43" s="16" t="str">
        <f>IFERROR(__xludf.DUMMYFUNCTION("""COMPUTED_VALUE"""),"Athenium")</f>
        <v>Athenium</v>
      </c>
      <c r="T43" s="16" t="str">
        <f>IFERROR(__xludf.DUMMYFUNCTION("""COMPUTED_VALUE"""),"Current Partner")</f>
        <v>Current Partner</v>
      </c>
      <c r="U43" s="16" t="b">
        <f>IFERROR(__xludf.DUMMYFUNCTION("""COMPUTED_VALUE"""),FALSE)</f>
        <v>0</v>
      </c>
      <c r="V43" s="16"/>
      <c r="W43" s="16"/>
      <c r="X43" s="16"/>
    </row>
    <row r="44">
      <c r="A44" s="16" t="str">
        <f>IFERROR(__xludf.DUMMYFUNCTION("""COMPUTED_VALUE"""),"Marcos")</f>
        <v>Marcos</v>
      </c>
      <c r="B44" s="16" t="str">
        <f>IFERROR(__xludf.DUMMYFUNCTION("""COMPUTED_VALUE"""),"Malzone")</f>
        <v>Malzone</v>
      </c>
      <c r="C44" s="16" t="str">
        <f>IFERROR(__xludf.DUMMYFUNCTION("""COMPUTED_VALUE"""),"VP Products")</f>
        <v>VP Products</v>
      </c>
      <c r="D44" s="16" t="str">
        <f>IFERROR(__xludf.DUMMYFUNCTION("""COMPUTED_VALUE"""),"Audatex UK Limited")</f>
        <v>Audatex UK Limited</v>
      </c>
      <c r="E44" s="16" t="str">
        <f>IFERROR(__xludf.DUMMYFUNCTION("""COMPUTED_VALUE"""),"Growth")</f>
        <v>Growth</v>
      </c>
      <c r="F44" s="16" t="str">
        <f>IFERROR(__xludf.DUMMYFUNCTION("""COMPUTED_VALUE"""),"marcos.malzone@solera.com")</f>
        <v>marcos.malzone@solera.com</v>
      </c>
      <c r="G44" s="16" t="str">
        <f>IFERROR(__xludf.DUMMYFUNCTION("""COMPUTED_VALUE"""),"Eric Apse")</f>
        <v>Eric Apse</v>
      </c>
      <c r="H44" s="16" t="str">
        <f>IFERROR(__xludf.DUMMYFUNCTION("""COMPUTED_VALUE"""),"PartnerConnect - Technology")</f>
        <v>PartnerConnect - Technology</v>
      </c>
      <c r="I44" s="16"/>
      <c r="J44" s="16"/>
      <c r="K44" s="16"/>
      <c r="L44" s="16"/>
      <c r="M44" s="16"/>
      <c r="N44" s="16" t="str">
        <f>IFERROR(__xludf.DUMMYFUNCTION("""COMPUTED_VALUE"""),"United Kingdom")</f>
        <v>United Kingdom</v>
      </c>
      <c r="O44" s="16" t="str">
        <f>IFERROR(__xludf.DUMMYFUNCTION("""COMPUTED_VALUE"""),"High")</f>
        <v>High</v>
      </c>
      <c r="P44" s="16" t="b">
        <f>IFERROR(__xludf.DUMMYFUNCTION("""COMPUTED_VALUE"""),FALSE)</f>
        <v>0</v>
      </c>
      <c r="Q44" s="16" t="b">
        <f>IFERROR(__xludf.DUMMYFUNCTION("""COMPUTED_VALUE"""),TRUE)</f>
        <v>1</v>
      </c>
      <c r="R44" s="16" t="str">
        <f>IFERROR(__xludf.DUMMYFUNCTION("""COMPUTED_VALUE"""),"Events, Marketing")</f>
        <v>Events, Marketing</v>
      </c>
      <c r="S44" s="16" t="str">
        <f>IFERROR(__xludf.DUMMYFUNCTION("""COMPUTED_VALUE"""),"Solera")</f>
        <v>Solera</v>
      </c>
      <c r="T44" s="16" t="str">
        <f>IFERROR(__xludf.DUMMYFUNCTION("""COMPUTED_VALUE"""),"Current Partner")</f>
        <v>Current Partner</v>
      </c>
      <c r="U44" s="16" t="b">
        <f>IFERROR(__xludf.DUMMYFUNCTION("""COMPUTED_VALUE"""),FALSE)</f>
        <v>0</v>
      </c>
      <c r="V44" s="16"/>
      <c r="W44" s="16"/>
      <c r="X44" s="16"/>
    </row>
    <row r="45">
      <c r="A45" s="16" t="str">
        <f>IFERROR(__xludf.DUMMYFUNCTION("""COMPUTED_VALUE"""),"Annette")</f>
        <v>Annette</v>
      </c>
      <c r="B45" s="16" t="str">
        <f>IFERROR(__xludf.DUMMYFUNCTION("""COMPUTED_VALUE"""),"Chamberlain")</f>
        <v>Chamberlain</v>
      </c>
      <c r="C45" s="16"/>
      <c r="D45" s="16" t="str">
        <f>IFERROR(__xludf.DUMMYFUNCTION("""COMPUTED_VALUE"""),"Audatex UK Limited")</f>
        <v>Audatex UK Limited</v>
      </c>
      <c r="E45" s="16" t="str">
        <f>IFERROR(__xludf.DUMMYFUNCTION("""COMPUTED_VALUE"""),"Growth")</f>
        <v>Growth</v>
      </c>
      <c r="F45" s="16" t="str">
        <f>IFERROR(__xludf.DUMMYFUNCTION("""COMPUTED_VALUE"""),"annette.chamberlain@solera.com")</f>
        <v>annette.chamberlain@solera.com</v>
      </c>
      <c r="G45" s="16" t="str">
        <f>IFERROR(__xludf.DUMMYFUNCTION("""COMPUTED_VALUE"""),"Eric Apse")</f>
        <v>Eric Apse</v>
      </c>
      <c r="H45" s="16" t="str">
        <f>IFERROR(__xludf.DUMMYFUNCTION("""COMPUTED_VALUE"""),"PartnerConnect - Technology")</f>
        <v>PartnerConnect - Technology</v>
      </c>
      <c r="I45" s="16" t="str">
        <f>IFERROR(__xludf.DUMMYFUNCTION("""COMPUTED_VALUE"""),"Bond Court, Capitol House")</f>
        <v>Bond Court, Capitol House</v>
      </c>
      <c r="J45" s="16"/>
      <c r="K45" s="16" t="str">
        <f>IFERROR(__xludf.DUMMYFUNCTION("""COMPUTED_VALUE"""),"Leeds")</f>
        <v>Leeds</v>
      </c>
      <c r="L45" s="16"/>
      <c r="M45" s="16" t="str">
        <f>IFERROR(__xludf.DUMMYFUNCTION("""COMPUTED_VALUE"""),"LS1 5EZ")</f>
        <v>LS1 5EZ</v>
      </c>
      <c r="N45" s="16" t="str">
        <f>IFERROR(__xludf.DUMMYFUNCTION("""COMPUTED_VALUE"""),"United Kingdom")</f>
        <v>United Kingdom</v>
      </c>
      <c r="O45" s="16" t="str">
        <f>IFERROR(__xludf.DUMMYFUNCTION("""COMPUTED_VALUE"""),"High")</f>
        <v>High</v>
      </c>
      <c r="P45" s="16" t="b">
        <f>IFERROR(__xludf.DUMMYFUNCTION("""COMPUTED_VALUE"""),FALSE)</f>
        <v>0</v>
      </c>
      <c r="Q45" s="16" t="b">
        <f>IFERROR(__xludf.DUMMYFUNCTION("""COMPUTED_VALUE"""),TRUE)</f>
        <v>1</v>
      </c>
      <c r="R45" s="16" t="str">
        <f>IFERROR(__xludf.DUMMYFUNCTION("""COMPUTED_VALUE"""),"Events, Marketing")</f>
        <v>Events, Marketing</v>
      </c>
      <c r="S45" s="16" t="str">
        <f>IFERROR(__xludf.DUMMYFUNCTION("""COMPUTED_VALUE"""),"Solera")</f>
        <v>Solera</v>
      </c>
      <c r="T45" s="16" t="str">
        <f>IFERROR(__xludf.DUMMYFUNCTION("""COMPUTED_VALUE"""),"Current Partner")</f>
        <v>Current Partner</v>
      </c>
      <c r="U45" s="16" t="b">
        <f>IFERROR(__xludf.DUMMYFUNCTION("""COMPUTED_VALUE"""),FALSE)</f>
        <v>0</v>
      </c>
      <c r="V45" s="16"/>
      <c r="W45" s="16"/>
      <c r="X45" s="16"/>
    </row>
    <row r="46">
      <c r="A46" s="16" t="str">
        <f>IFERROR(__xludf.DUMMYFUNCTION("""COMPUTED_VALUE"""),"William")</f>
        <v>William</v>
      </c>
      <c r="B46" s="16" t="str">
        <f>IFERROR(__xludf.DUMMYFUNCTION("""COMPUTED_VALUE"""),"Brower")</f>
        <v>Brower</v>
      </c>
      <c r="C46" s="16"/>
      <c r="D46" s="16" t="str">
        <f>IFERROR(__xludf.DUMMYFUNCTION("""COMPUTED_VALUE"""),"Audatex UK Limited")</f>
        <v>Audatex UK Limited</v>
      </c>
      <c r="E46" s="16" t="str">
        <f>IFERROR(__xludf.DUMMYFUNCTION("""COMPUTED_VALUE"""),"Growth")</f>
        <v>Growth</v>
      </c>
      <c r="F46" s="16" t="str">
        <f>IFERROR(__xludf.DUMMYFUNCTION("""COMPUTED_VALUE"""),"william.brower@solera.com")</f>
        <v>william.brower@solera.com</v>
      </c>
      <c r="G46" s="16" t="str">
        <f>IFERROR(__xludf.DUMMYFUNCTION("""COMPUTED_VALUE"""),"Eric Apse")</f>
        <v>Eric Apse</v>
      </c>
      <c r="H46" s="16" t="str">
        <f>IFERROR(__xludf.DUMMYFUNCTION("""COMPUTED_VALUE"""),"PartnerConnect - Technology")</f>
        <v>PartnerConnect - Technology</v>
      </c>
      <c r="I46" s="16" t="str">
        <f>IFERROR(__xludf.DUMMYFUNCTION("""COMPUTED_VALUE"""),"Bond Court, Capitol House")</f>
        <v>Bond Court, Capitol House</v>
      </c>
      <c r="J46" s="16"/>
      <c r="K46" s="16" t="str">
        <f>IFERROR(__xludf.DUMMYFUNCTION("""COMPUTED_VALUE"""),"Leeds")</f>
        <v>Leeds</v>
      </c>
      <c r="L46" s="16"/>
      <c r="M46" s="16" t="str">
        <f>IFERROR(__xludf.DUMMYFUNCTION("""COMPUTED_VALUE"""),"LS1 5EZ")</f>
        <v>LS1 5EZ</v>
      </c>
      <c r="N46" s="16" t="str">
        <f>IFERROR(__xludf.DUMMYFUNCTION("""COMPUTED_VALUE"""),"United Kingdom")</f>
        <v>United Kingdom</v>
      </c>
      <c r="O46" s="16" t="str">
        <f>IFERROR(__xludf.DUMMYFUNCTION("""COMPUTED_VALUE"""),"High")</f>
        <v>High</v>
      </c>
      <c r="P46" s="16" t="b">
        <f>IFERROR(__xludf.DUMMYFUNCTION("""COMPUTED_VALUE"""),TRUE)</f>
        <v>1</v>
      </c>
      <c r="Q46" s="16" t="b">
        <f>IFERROR(__xludf.DUMMYFUNCTION("""COMPUTED_VALUE"""),FALSE)</f>
        <v>0</v>
      </c>
      <c r="R46" s="16" t="str">
        <f>IFERROR(__xludf.DUMMYFUNCTION("""COMPUTED_VALUE"""),"")</f>
        <v/>
      </c>
      <c r="S46" s="16" t="str">
        <f>IFERROR(__xludf.DUMMYFUNCTION("""COMPUTED_VALUE"""),"Solera")</f>
        <v>Solera</v>
      </c>
      <c r="T46" s="16" t="str">
        <f>IFERROR(__xludf.DUMMYFUNCTION("""COMPUTED_VALUE"""),"Current Partner")</f>
        <v>Current Partner</v>
      </c>
      <c r="U46" s="16" t="b">
        <f>IFERROR(__xludf.DUMMYFUNCTION("""COMPUTED_VALUE"""),FALSE)</f>
        <v>0</v>
      </c>
      <c r="V46" s="16"/>
      <c r="W46" s="16"/>
      <c r="X46" s="16"/>
    </row>
    <row r="47">
      <c r="A47" s="16" t="str">
        <f>IFERROR(__xludf.DUMMYFUNCTION("""COMPUTED_VALUE"""),"Kristy")</f>
        <v>Kristy</v>
      </c>
      <c r="B47" s="16" t="str">
        <f>IFERROR(__xludf.DUMMYFUNCTION("""COMPUTED_VALUE"""),"Facchini")</f>
        <v>Facchini</v>
      </c>
      <c r="C47" s="16" t="str">
        <f>IFERROR(__xludf.DUMMYFUNCTION("""COMPUTED_VALUE"""),"CFO")</f>
        <v>CFO</v>
      </c>
      <c r="D47" s="16" t="str">
        <f>IFERROR(__xludf.DUMMYFUNCTION("""COMPUTED_VALUE"""),"AutoClaims Direct")</f>
        <v>AutoClaims Direct</v>
      </c>
      <c r="E47" s="16" t="str">
        <f>IFERROR(__xludf.DUMMYFUNCTION("""COMPUTED_VALUE"""),"Growth")</f>
        <v>Growth</v>
      </c>
      <c r="F47" s="16" t="str">
        <f>IFERROR(__xludf.DUMMYFUNCTION("""COMPUTED_VALUE"""),"kfacchini@acdcorp.com")</f>
        <v>kfacchini@acdcorp.com</v>
      </c>
      <c r="G47" s="16" t="str">
        <f>IFERROR(__xludf.DUMMYFUNCTION("""COMPUTED_VALUE"""),"Rod Gowin")</f>
        <v>Rod Gowin</v>
      </c>
      <c r="H47" s="16" t="str">
        <f>IFERROR(__xludf.DUMMYFUNCTION("""COMPUTED_VALUE"""),"PartnerConnect - Technology")</f>
        <v>PartnerConnect - Technology</v>
      </c>
      <c r="I47" s="16"/>
      <c r="J47" s="16"/>
      <c r="K47" s="16"/>
      <c r="L47" s="16"/>
      <c r="M47" s="16"/>
      <c r="N47" s="16" t="str">
        <f>IFERROR(__xludf.DUMMYFUNCTION("""COMPUTED_VALUE"""),"United States")</f>
        <v>United States</v>
      </c>
      <c r="O47" s="16" t="str">
        <f>IFERROR(__xludf.DUMMYFUNCTION("""COMPUTED_VALUE"""),"Low")</f>
        <v>Low</v>
      </c>
      <c r="P47" s="16" t="b">
        <f>IFERROR(__xludf.DUMMYFUNCTION("""COMPUTED_VALUE"""),TRUE)</f>
        <v>1</v>
      </c>
      <c r="Q47" s="16" t="b">
        <f>IFERROR(__xludf.DUMMYFUNCTION("""COMPUTED_VALUE"""),FALSE)</f>
        <v>0</v>
      </c>
      <c r="R47" s="16" t="str">
        <f>IFERROR(__xludf.DUMMYFUNCTION("""COMPUTED_VALUE"""),"Admin, Admin, Admin, Business, Marketing")</f>
        <v>Admin, Admin, Admin, Business, Marketing</v>
      </c>
      <c r="S47" s="16" t="str">
        <f>IFERROR(__xludf.DUMMYFUNCTION("""COMPUTED_VALUE"""),"ACD")</f>
        <v>ACD</v>
      </c>
      <c r="T47" s="16" t="str">
        <f>IFERROR(__xludf.DUMMYFUNCTION("""COMPUTED_VALUE"""),"Current Partner")</f>
        <v>Current Partner</v>
      </c>
      <c r="U47" s="16" t="b">
        <f>IFERROR(__xludf.DUMMYFUNCTION("""COMPUTED_VALUE"""),FALSE)</f>
        <v>0</v>
      </c>
      <c r="V47" s="16"/>
      <c r="W47" s="16"/>
      <c r="X47" s="16"/>
    </row>
    <row r="48">
      <c r="A48" s="16" t="str">
        <f>IFERROR(__xludf.DUMMYFUNCTION("""COMPUTED_VALUE"""),"Eunice")</f>
        <v>Eunice</v>
      </c>
      <c r="B48" s="16" t="str">
        <f>IFERROR(__xludf.DUMMYFUNCTION("""COMPUTED_VALUE"""),"Bray")</f>
        <v>Bray</v>
      </c>
      <c r="C48" s="16" t="str">
        <f>IFERROR(__xludf.DUMMYFUNCTION("""COMPUTED_VALUE"""),"Marketing &amp; Communications Specialist")</f>
        <v>Marketing &amp; Communications Specialist</v>
      </c>
      <c r="D48" s="16" t="str">
        <f>IFERROR(__xludf.DUMMYFUNCTION("""COMPUTED_VALUE"""),"AutoClaims Direct")</f>
        <v>AutoClaims Direct</v>
      </c>
      <c r="E48" s="16" t="str">
        <f>IFERROR(__xludf.DUMMYFUNCTION("""COMPUTED_VALUE"""),"Growth")</f>
        <v>Growth</v>
      </c>
      <c r="F48" s="16" t="str">
        <f>IFERROR(__xludf.DUMMYFUNCTION("""COMPUTED_VALUE"""),"eunice@acdcorp.com")</f>
        <v>eunice@acdcorp.com</v>
      </c>
      <c r="G48" s="16" t="str">
        <f>IFERROR(__xludf.DUMMYFUNCTION("""COMPUTED_VALUE"""),"Rod Gowin")</f>
        <v>Rod Gowin</v>
      </c>
      <c r="H48" s="16" t="str">
        <f>IFERROR(__xludf.DUMMYFUNCTION("""COMPUTED_VALUE"""),"PartnerConnect - Technology")</f>
        <v>PartnerConnect - Technology</v>
      </c>
      <c r="I48" s="16"/>
      <c r="J48" s="16"/>
      <c r="K48" s="16"/>
      <c r="L48" s="16"/>
      <c r="M48" s="16"/>
      <c r="N48" s="16" t="str">
        <f>IFERROR(__xludf.DUMMYFUNCTION("""COMPUTED_VALUE"""),"United States")</f>
        <v>United States</v>
      </c>
      <c r="O48" s="16" t="str">
        <f>IFERROR(__xludf.DUMMYFUNCTION("""COMPUTED_VALUE"""),"Low")</f>
        <v>Low</v>
      </c>
      <c r="P48" s="16" t="b">
        <f>IFERROR(__xludf.DUMMYFUNCTION("""COMPUTED_VALUE"""),FALSE)</f>
        <v>0</v>
      </c>
      <c r="Q48" s="16" t="b">
        <f>IFERROR(__xludf.DUMMYFUNCTION("""COMPUTED_VALUE"""),TRUE)</f>
        <v>1</v>
      </c>
      <c r="R48" s="16" t="str">
        <f>IFERROR(__xludf.DUMMYFUNCTION("""COMPUTED_VALUE"""),"Business, Events, Marketing")</f>
        <v>Business, Events, Marketing</v>
      </c>
      <c r="S48" s="16" t="str">
        <f>IFERROR(__xludf.DUMMYFUNCTION("""COMPUTED_VALUE"""),"ACD")</f>
        <v>ACD</v>
      </c>
      <c r="T48" s="16" t="str">
        <f>IFERROR(__xludf.DUMMYFUNCTION("""COMPUTED_VALUE"""),"Current Partner")</f>
        <v>Current Partner</v>
      </c>
      <c r="U48" s="16" t="b">
        <f>IFERROR(__xludf.DUMMYFUNCTION("""COMPUTED_VALUE"""),FALSE)</f>
        <v>0</v>
      </c>
      <c r="V48" s="16"/>
      <c r="W48" s="16"/>
      <c r="X48" s="16"/>
    </row>
    <row r="49">
      <c r="A49" s="16"/>
      <c r="B49" s="16" t="str">
        <f>IFERROR(__xludf.DUMMYFUNCTION("""COMPUTED_VALUE"""),"Marketing")</f>
        <v>Marketing</v>
      </c>
      <c r="C49" s="16"/>
      <c r="D49" s="16" t="str">
        <f>IFERROR(__xludf.DUMMYFUNCTION("""COMPUTED_VALUE"""),"Bdeo Technologies")</f>
        <v>Bdeo Technologies</v>
      </c>
      <c r="E49" s="16" t="str">
        <f>IFERROR(__xludf.DUMMYFUNCTION("""COMPUTED_VALUE"""),"Growth")</f>
        <v>Growth</v>
      </c>
      <c r="F49" s="16" t="str">
        <f>IFERROR(__xludf.DUMMYFUNCTION("""COMPUTED_VALUE"""),"marketing@bdeo.io")</f>
        <v>marketing@bdeo.io</v>
      </c>
      <c r="G49" s="16" t="str">
        <f>IFERROR(__xludf.DUMMYFUNCTION("""COMPUTED_VALUE"""),"Fatima Aoulagha-Bannou")</f>
        <v>Fatima Aoulagha-Bannou</v>
      </c>
      <c r="H49" s="16" t="str">
        <f>IFERROR(__xludf.DUMMYFUNCTION("""COMPUTED_VALUE"""),"PartnerConnect - Technology")</f>
        <v>PartnerConnect - Technology</v>
      </c>
      <c r="I49" s="16" t="str">
        <f>IFERROR(__xludf.DUMMYFUNCTION("""COMPUTED_VALUE"""),"Alcolea, 8. Local")</f>
        <v>Alcolea, 8. Local</v>
      </c>
      <c r="J49" s="16"/>
      <c r="K49" s="16" t="str">
        <f>IFERROR(__xludf.DUMMYFUNCTION("""COMPUTED_VALUE"""),"Madrid")</f>
        <v>Madrid</v>
      </c>
      <c r="L49" s="16"/>
      <c r="M49" s="16">
        <f>IFERROR(__xludf.DUMMYFUNCTION("""COMPUTED_VALUE"""),28029.0)</f>
        <v>28029</v>
      </c>
      <c r="N49" s="16" t="str">
        <f>IFERROR(__xludf.DUMMYFUNCTION("""COMPUTED_VALUE"""),"Spain")</f>
        <v>Spain</v>
      </c>
      <c r="O49" s="16" t="str">
        <f>IFERROR(__xludf.DUMMYFUNCTION("""COMPUTED_VALUE"""),"Low")</f>
        <v>Low</v>
      </c>
      <c r="P49" s="16" t="b">
        <f>IFERROR(__xludf.DUMMYFUNCTION("""COMPUTED_VALUE"""),FALSE)</f>
        <v>0</v>
      </c>
      <c r="Q49" s="16" t="b">
        <f>IFERROR(__xludf.DUMMYFUNCTION("""COMPUTED_VALUE"""),TRUE)</f>
        <v>1</v>
      </c>
      <c r="R49" s="16" t="str">
        <f>IFERROR(__xludf.DUMMYFUNCTION("""COMPUTED_VALUE"""),"Events, Marketing")</f>
        <v>Events, Marketing</v>
      </c>
      <c r="S49" s="16" t="str">
        <f>IFERROR(__xludf.DUMMYFUNCTION("""COMPUTED_VALUE"""),"BDEO Technologies")</f>
        <v>BDEO Technologies</v>
      </c>
      <c r="T49" s="16" t="str">
        <f>IFERROR(__xludf.DUMMYFUNCTION("""COMPUTED_VALUE"""),"Current Partner")</f>
        <v>Current Partner</v>
      </c>
      <c r="U49" s="16" t="b">
        <f>IFERROR(__xludf.DUMMYFUNCTION("""COMPUTED_VALUE"""),FALSE)</f>
        <v>0</v>
      </c>
      <c r="V49" s="16"/>
      <c r="W49" s="16"/>
      <c r="X49" s="16"/>
    </row>
    <row r="50">
      <c r="A50" s="16" t="str">
        <f>IFERROR(__xludf.DUMMYFUNCTION("""COMPUTED_VALUE"""),"david")</f>
        <v>david</v>
      </c>
      <c r="B50" s="16" t="str">
        <f>IFERROR(__xludf.DUMMYFUNCTION("""COMPUTED_VALUE"""),"morris")</f>
        <v>morris</v>
      </c>
      <c r="C50" s="16" t="str">
        <f>IFERROR(__xludf.DUMMYFUNCTION("""COMPUTED_VALUE"""),"head of new markets")</f>
        <v>head of new markets</v>
      </c>
      <c r="D50" s="16" t="str">
        <f>IFERROR(__xludf.DUMMYFUNCTION("""COMPUTED_VALUE"""),"Bdeo Technologies")</f>
        <v>Bdeo Technologies</v>
      </c>
      <c r="E50" s="16" t="str">
        <f>IFERROR(__xludf.DUMMYFUNCTION("""COMPUTED_VALUE"""),"Growth")</f>
        <v>Growth</v>
      </c>
      <c r="F50" s="16" t="str">
        <f>IFERROR(__xludf.DUMMYFUNCTION("""COMPUTED_VALUE"""),"david@bdeo.io")</f>
        <v>david@bdeo.io</v>
      </c>
      <c r="G50" s="16" t="str">
        <f>IFERROR(__xludf.DUMMYFUNCTION("""COMPUTED_VALUE"""),"Fatima Aoulagha-Bannou")</f>
        <v>Fatima Aoulagha-Bannou</v>
      </c>
      <c r="H50" s="16" t="str">
        <f>IFERROR(__xludf.DUMMYFUNCTION("""COMPUTED_VALUE"""),"PartnerConnect - Technology")</f>
        <v>PartnerConnect - Technology</v>
      </c>
      <c r="I50" s="16"/>
      <c r="J50" s="16"/>
      <c r="K50" s="16"/>
      <c r="L50" s="16"/>
      <c r="M50" s="16"/>
      <c r="N50" s="16" t="str">
        <f>IFERROR(__xludf.DUMMYFUNCTION("""COMPUTED_VALUE"""),"United Kingdom")</f>
        <v>United Kingdom</v>
      </c>
      <c r="O50" s="16" t="str">
        <f>IFERROR(__xludf.DUMMYFUNCTION("""COMPUTED_VALUE"""),"Low")</f>
        <v>Low</v>
      </c>
      <c r="P50" s="16" t="b">
        <f>IFERROR(__xludf.DUMMYFUNCTION("""COMPUTED_VALUE"""),TRUE)</f>
        <v>1</v>
      </c>
      <c r="Q50" s="16" t="b">
        <f>IFERROR(__xludf.DUMMYFUNCTION("""COMPUTED_VALUE"""),FALSE)</f>
        <v>0</v>
      </c>
      <c r="R50" s="16" t="str">
        <f>IFERROR(__xludf.DUMMYFUNCTION("""COMPUTED_VALUE"""),"Business, Client Partner / Partner Account Executive")</f>
        <v>Business, Client Partner / Partner Account Executive</v>
      </c>
      <c r="S50" s="16" t="str">
        <f>IFERROR(__xludf.DUMMYFUNCTION("""COMPUTED_VALUE"""),"BDEO Technologies")</f>
        <v>BDEO Technologies</v>
      </c>
      <c r="T50" s="16" t="str">
        <f>IFERROR(__xludf.DUMMYFUNCTION("""COMPUTED_VALUE"""),"Current Partner")</f>
        <v>Current Partner</v>
      </c>
      <c r="U50" s="16" t="b">
        <f>IFERROR(__xludf.DUMMYFUNCTION("""COMPUTED_VALUE"""),FALSE)</f>
        <v>0</v>
      </c>
      <c r="V50" s="16"/>
      <c r="W50" s="16"/>
      <c r="X50" s="16"/>
    </row>
    <row r="51">
      <c r="A51" s="16" t="str">
        <f>IFERROR(__xludf.DUMMYFUNCTION("""COMPUTED_VALUE"""),"Sylvain")</f>
        <v>Sylvain</v>
      </c>
      <c r="B51" s="16" t="str">
        <f>IFERROR(__xludf.DUMMYFUNCTION("""COMPUTED_VALUE"""),"Paquette")</f>
        <v>Paquette</v>
      </c>
      <c r="C51" s="16" t="str">
        <f>IFERROR(__xludf.DUMMYFUNCTION("""COMPUTED_VALUE"""),"Senior National Manager, Strategic Initiatives")</f>
        <v>Senior National Manager, Strategic Initiatives</v>
      </c>
      <c r="D51" s="16" t="str">
        <f>IFERROR(__xludf.DUMMYFUNCTION("""COMPUTED_VALUE"""),"Belron Canada")</f>
        <v>Belron Canada</v>
      </c>
      <c r="E51" s="16" t="str">
        <f>IFERROR(__xludf.DUMMYFUNCTION("""COMPUTED_VALUE"""),"Growth")</f>
        <v>Growth</v>
      </c>
      <c r="F51" s="16" t="str">
        <f>IFERROR(__xludf.DUMMYFUNCTION("""COMPUTED_VALUE"""),"spaquette@belroncanada.com")</f>
        <v>spaquette@belroncanada.com</v>
      </c>
      <c r="G51" s="16" t="str">
        <f>IFERROR(__xludf.DUMMYFUNCTION("""COMPUTED_VALUE"""),"Rod Gowin")</f>
        <v>Rod Gowin</v>
      </c>
      <c r="H51" s="16" t="str">
        <f>IFERROR(__xludf.DUMMYFUNCTION("""COMPUTED_VALUE"""),"PartnerConnect - Technology")</f>
        <v>PartnerConnect - Technology</v>
      </c>
      <c r="I51" s="16" t="str">
        <f>IFERROR(__xludf.DUMMYFUNCTION("""COMPUTED_VALUE"""),"8288 boul. Pie IX")</f>
        <v>8288 boul. Pie IX</v>
      </c>
      <c r="J51" s="16"/>
      <c r="K51" s="16" t="str">
        <f>IFERROR(__xludf.DUMMYFUNCTION("""COMPUTED_VALUE"""),"Montreal")</f>
        <v>Montreal</v>
      </c>
      <c r="L51" s="16" t="str">
        <f>IFERROR(__xludf.DUMMYFUNCTION("""COMPUTED_VALUE"""),"QUÉBEC")</f>
        <v>QUÉBEC</v>
      </c>
      <c r="M51" s="16" t="str">
        <f>IFERROR(__xludf.DUMMYFUNCTION("""COMPUTED_VALUE"""),"H1Z3T6")</f>
        <v>H1Z3T6</v>
      </c>
      <c r="N51" s="16" t="str">
        <f>IFERROR(__xludf.DUMMYFUNCTION("""COMPUTED_VALUE"""),"Canada")</f>
        <v>Canada</v>
      </c>
      <c r="O51" s="16" t="str">
        <f>IFERROR(__xludf.DUMMYFUNCTION("""COMPUTED_VALUE"""),"Medium")</f>
        <v>Medium</v>
      </c>
      <c r="P51" s="16" t="b">
        <f>IFERROR(__xludf.DUMMYFUNCTION("""COMPUTED_VALUE"""),TRUE)</f>
        <v>1</v>
      </c>
      <c r="Q51" s="16" t="b">
        <f>IFERROR(__xludf.DUMMYFUNCTION("""COMPUTED_VALUE"""),FALSE)</f>
        <v>0</v>
      </c>
      <c r="R51" s="16" t="str">
        <f>IFERROR(__xludf.DUMMYFUNCTION("""COMPUTED_VALUE"""),"Admin, Business, Events, Legal / Contracts, Marketing, Support, Technical, Training, Billing Contact  LMS Training Fees, Sales Solution Architect, Delivery Lead / BA, Client Partner / Partner Account Executive")</f>
        <v>Admin, Business, Events, Legal / Contracts, Marketing, Support, Technical, Training, Billing Contact  LMS Training Fees, Sales Solution Architect, Delivery Lead / BA, Client Partner / Partner Account Executive</v>
      </c>
      <c r="S51" s="16" t="str">
        <f>IFERROR(__xludf.DUMMYFUNCTION("""COMPUTED_VALUE"""),"Belron")</f>
        <v>Belron</v>
      </c>
      <c r="T51" s="16" t="str">
        <f>IFERROR(__xludf.DUMMYFUNCTION("""COMPUTED_VALUE"""),"Current Partner")</f>
        <v>Current Partner</v>
      </c>
      <c r="U51" s="16" t="b">
        <f>IFERROR(__xludf.DUMMYFUNCTION("""COMPUTED_VALUE"""),FALSE)</f>
        <v>0</v>
      </c>
      <c r="V51" s="16"/>
      <c r="W51" s="16"/>
      <c r="X51" s="16"/>
    </row>
    <row r="52">
      <c r="A52" s="16" t="str">
        <f>IFERROR(__xludf.DUMMYFUNCTION("""COMPUTED_VALUE"""),"Mary Clare")</f>
        <v>Mary Clare</v>
      </c>
      <c r="B52" s="16" t="str">
        <f>IFERROR(__xludf.DUMMYFUNCTION("""COMPUTED_VALUE"""),"Riordan")</f>
        <v>Riordan</v>
      </c>
      <c r="C52" s="16" t="str">
        <f>IFERROR(__xludf.DUMMYFUNCTION("""COMPUTED_VALUE"""),"Director of Marketing")</f>
        <v>Director of Marketing</v>
      </c>
      <c r="D52" s="16" t="str">
        <f>IFERROR(__xludf.DUMMYFUNCTION("""COMPUTED_VALUE"""),"Bindable")</f>
        <v>Bindable</v>
      </c>
      <c r="E52" s="16" t="str">
        <f>IFERROR(__xludf.DUMMYFUNCTION("""COMPUTED_VALUE"""),"Growth")</f>
        <v>Growth</v>
      </c>
      <c r="F52" s="16" t="str">
        <f>IFERROR(__xludf.DUMMYFUNCTION("""COMPUTED_VALUE"""),"mcriordan@bindable.com")</f>
        <v>mcriordan@bindable.com</v>
      </c>
      <c r="G52" s="16" t="str">
        <f>IFERROR(__xludf.DUMMYFUNCTION("""COMPUTED_VALUE"""),"Eric Apse")</f>
        <v>Eric Apse</v>
      </c>
      <c r="H52" s="16" t="str">
        <f>IFERROR(__xludf.DUMMYFUNCTION("""COMPUTED_VALUE"""),"PartnerConnect - Technology")</f>
        <v>PartnerConnect - Technology</v>
      </c>
      <c r="I52" s="16"/>
      <c r="J52" s="16"/>
      <c r="K52" s="16"/>
      <c r="L52" s="16"/>
      <c r="M52" s="16"/>
      <c r="N52" s="16" t="str">
        <f>IFERROR(__xludf.DUMMYFUNCTION("""COMPUTED_VALUE"""),"United States")</f>
        <v>United States</v>
      </c>
      <c r="O52" s="16" t="str">
        <f>IFERROR(__xludf.DUMMYFUNCTION("""COMPUTED_VALUE"""),"Medium")</f>
        <v>Medium</v>
      </c>
      <c r="P52" s="16" t="b">
        <f>IFERROR(__xludf.DUMMYFUNCTION("""COMPUTED_VALUE"""),TRUE)</f>
        <v>1</v>
      </c>
      <c r="Q52" s="16" t="b">
        <f>IFERROR(__xludf.DUMMYFUNCTION("""COMPUTED_VALUE"""),FALSE)</f>
        <v>0</v>
      </c>
      <c r="R52" s="16" t="str">
        <f>IFERROR(__xludf.DUMMYFUNCTION("""COMPUTED_VALUE"""),"Admin")</f>
        <v>Admin</v>
      </c>
      <c r="S52" s="16" t="str">
        <f>IFERROR(__xludf.DUMMYFUNCTION("""COMPUTED_VALUE"""),"Bindable")</f>
        <v>Bindable</v>
      </c>
      <c r="T52" s="16" t="str">
        <f>IFERROR(__xludf.DUMMYFUNCTION("""COMPUTED_VALUE"""),"Current Partner")</f>
        <v>Current Partner</v>
      </c>
      <c r="U52" s="16" t="b">
        <f>IFERROR(__xludf.DUMMYFUNCTION("""COMPUTED_VALUE"""),FALSE)</f>
        <v>0</v>
      </c>
      <c r="V52" s="16"/>
      <c r="W52" s="16"/>
      <c r="X52" s="16"/>
    </row>
    <row r="53">
      <c r="A53" s="16" t="str">
        <f>IFERROR(__xludf.DUMMYFUNCTION("""COMPUTED_VALUE"""),"Susumu")</f>
        <v>Susumu</v>
      </c>
      <c r="B53" s="16" t="str">
        <f>IFERROR(__xludf.DUMMYFUNCTION("""COMPUTED_VALUE"""),"Iwamoto")</f>
        <v>Iwamoto</v>
      </c>
      <c r="C53" s="16"/>
      <c r="D53" s="16" t="str">
        <f>IFERROR(__xludf.DUMMYFUNCTION("""COMPUTED_VALUE"""),"Biprogy")</f>
        <v>Biprogy</v>
      </c>
      <c r="E53" s="16" t="str">
        <f>IFERROR(__xludf.DUMMYFUNCTION("""COMPUTED_VALUE"""),"Access")</f>
        <v>Access</v>
      </c>
      <c r="F53" s="16" t="str">
        <f>IFERROR(__xludf.DUMMYFUNCTION("""COMPUTED_VALUE"""),"susumu.iwamoto@biprogy.com")</f>
        <v>susumu.iwamoto@biprogy.com</v>
      </c>
      <c r="G53" s="16" t="str">
        <f>IFERROR(__xludf.DUMMYFUNCTION("""COMPUTED_VALUE"""),"Ketaki Padhye")</f>
        <v>Ketaki Padhye</v>
      </c>
      <c r="H53" s="16" t="str">
        <f>IFERROR(__xludf.DUMMYFUNCTION("""COMPUTED_VALUE"""),"PartnerConnect - Technology")</f>
        <v>PartnerConnect - Technology</v>
      </c>
      <c r="I53" s="16" t="str">
        <f>IFERROR(__xludf.DUMMYFUNCTION("""COMPUTED_VALUE"""),"1-1-1 Toyosu")</f>
        <v>1-1-1 Toyosu</v>
      </c>
      <c r="J53" s="16"/>
      <c r="K53" s="16" t="str">
        <f>IFERROR(__xludf.DUMMYFUNCTION("""COMPUTED_VALUE"""),"Koto-ku")</f>
        <v>Koto-ku</v>
      </c>
      <c r="L53" s="16" t="str">
        <f>IFERROR(__xludf.DUMMYFUNCTION("""COMPUTED_VALUE"""),"TOKYO-TO")</f>
        <v>TOKYO-TO</v>
      </c>
      <c r="M53" s="16" t="str">
        <f>IFERROR(__xludf.DUMMYFUNCTION("""COMPUTED_VALUE"""),"135-8560")</f>
        <v>135-8560</v>
      </c>
      <c r="N53" s="16" t="str">
        <f>IFERROR(__xludf.DUMMYFUNCTION("""COMPUTED_VALUE"""),"Japan")</f>
        <v>Japan</v>
      </c>
      <c r="O53" s="16" t="str">
        <f>IFERROR(__xludf.DUMMYFUNCTION("""COMPUTED_VALUE"""),"Medium")</f>
        <v>Medium</v>
      </c>
      <c r="P53" s="16" t="b">
        <f>IFERROR(__xludf.DUMMYFUNCTION("""COMPUTED_VALUE"""),TRUE)</f>
        <v>1</v>
      </c>
      <c r="Q53" s="16" t="b">
        <f>IFERROR(__xludf.DUMMYFUNCTION("""COMPUTED_VALUE"""),FALSE)</f>
        <v>0</v>
      </c>
      <c r="R53" s="16" t="str">
        <f>IFERROR(__xludf.DUMMYFUNCTION("""COMPUTED_VALUE"""),"Business")</f>
        <v>Business</v>
      </c>
      <c r="S53" s="16" t="str">
        <f>IFERROR(__xludf.DUMMYFUNCTION("""COMPUTED_VALUE"""),"Biprogy")</f>
        <v>Biprogy</v>
      </c>
      <c r="T53" s="16" t="str">
        <f>IFERROR(__xludf.DUMMYFUNCTION("""COMPUTED_VALUE"""),"Current Partner")</f>
        <v>Current Partner</v>
      </c>
      <c r="U53" s="16" t="b">
        <f>IFERROR(__xludf.DUMMYFUNCTION("""COMPUTED_VALUE"""),FALSE)</f>
        <v>0</v>
      </c>
      <c r="V53" s="16"/>
      <c r="W53" s="16"/>
      <c r="X53" s="16"/>
    </row>
    <row r="54">
      <c r="A54" s="16" t="str">
        <f>IFERROR(__xludf.DUMMYFUNCTION("""COMPUTED_VALUE"""),"Edward")</f>
        <v>Edward</v>
      </c>
      <c r="B54" s="16" t="str">
        <f>IFERROR(__xludf.DUMMYFUNCTION("""COMPUTED_VALUE"""),"Bunting")</f>
        <v>Bunting</v>
      </c>
      <c r="C54" s="16"/>
      <c r="D54" s="16" t="str">
        <f>IFERROR(__xludf.DUMMYFUNCTION("""COMPUTED_VALUE"""),"Blue Flag Pty Ltd")</f>
        <v>Blue Flag Pty Ltd</v>
      </c>
      <c r="E54" s="16" t="str">
        <f>IFERROR(__xludf.DUMMYFUNCTION("""COMPUTED_VALUE"""),"Growth")</f>
        <v>Growth</v>
      </c>
      <c r="F54" s="16" t="str">
        <f>IFERROR(__xludf.DUMMYFUNCTION("""COMPUTED_VALUE"""),"edward.bunting@blueflag.com.au")</f>
        <v>edward.bunting@blueflag.com.au</v>
      </c>
      <c r="G54" s="16" t="str">
        <f>IFERROR(__xludf.DUMMYFUNCTION("""COMPUTED_VALUE"""),"Ketaki Padhye")</f>
        <v>Ketaki Padhye</v>
      </c>
      <c r="H54" s="16" t="str">
        <f>IFERROR(__xludf.DUMMYFUNCTION("""COMPUTED_VALUE"""),"PartnerConnect - Technology")</f>
        <v>PartnerConnect - Technology</v>
      </c>
      <c r="I54" s="16" t="str">
        <f>IFERROR(__xludf.DUMMYFUNCTION("""COMPUTED_VALUE"""),"Level 1/254 Dorcas Street")</f>
        <v>Level 1/254 Dorcas Street</v>
      </c>
      <c r="J54" s="16"/>
      <c r="K54" s="16" t="str">
        <f>IFERROR(__xludf.DUMMYFUNCTION("""COMPUTED_VALUE"""),"South Melbourne")</f>
        <v>South Melbourne</v>
      </c>
      <c r="L54" s="16" t="str">
        <f>IFERROR(__xludf.DUMMYFUNCTION("""COMPUTED_VALUE"""),"Victoria")</f>
        <v>Victoria</v>
      </c>
      <c r="M54" s="16">
        <f>IFERROR(__xludf.DUMMYFUNCTION("""COMPUTED_VALUE"""),3205.0)</f>
        <v>3205</v>
      </c>
      <c r="N54" s="16" t="str">
        <f>IFERROR(__xludf.DUMMYFUNCTION("""COMPUTED_VALUE"""),"Australia")</f>
        <v>Australia</v>
      </c>
      <c r="O54" s="16" t="str">
        <f>IFERROR(__xludf.DUMMYFUNCTION("""COMPUTED_VALUE"""),"Medium")</f>
        <v>Medium</v>
      </c>
      <c r="P54" s="16" t="b">
        <f>IFERROR(__xludf.DUMMYFUNCTION("""COMPUTED_VALUE"""),TRUE)</f>
        <v>1</v>
      </c>
      <c r="Q54" s="16" t="b">
        <f>IFERROR(__xludf.DUMMYFUNCTION("""COMPUTED_VALUE"""),FALSE)</f>
        <v>0</v>
      </c>
      <c r="R54" s="16" t="str">
        <f>IFERROR(__xludf.DUMMYFUNCTION("""COMPUTED_VALUE"""),"Admin")</f>
        <v>Admin</v>
      </c>
      <c r="S54" s="16" t="str">
        <f>IFERROR(__xludf.DUMMYFUNCTION("""COMPUTED_VALUE"""),"Blue Flag")</f>
        <v>Blue Flag</v>
      </c>
      <c r="T54" s="16" t="str">
        <f>IFERROR(__xludf.DUMMYFUNCTION("""COMPUTED_VALUE"""),"Current Partner")</f>
        <v>Current Partner</v>
      </c>
      <c r="U54" s="16" t="b">
        <f>IFERROR(__xludf.DUMMYFUNCTION("""COMPUTED_VALUE"""),FALSE)</f>
        <v>0</v>
      </c>
      <c r="V54" s="16"/>
      <c r="W54" s="16"/>
      <c r="X54" s="16"/>
    </row>
    <row r="55">
      <c r="A55" s="16" t="str">
        <f>IFERROR(__xludf.DUMMYFUNCTION("""COMPUTED_VALUE"""),"Marc")</f>
        <v>Marc</v>
      </c>
      <c r="B55" s="16" t="str">
        <f>IFERROR(__xludf.DUMMYFUNCTION("""COMPUTED_VALUE"""),"Fenner")</f>
        <v>Fenner</v>
      </c>
      <c r="C55" s="16" t="str">
        <f>IFERROR(__xludf.DUMMYFUNCTION("""COMPUTED_VALUE"""),"Team Director, Business Development")</f>
        <v>Team Director, Business Development</v>
      </c>
      <c r="D55" s="16" t="str">
        <f>IFERROR(__xludf.DUMMYFUNCTION("""COMPUTED_VALUE"""),"Box")</f>
        <v>Box</v>
      </c>
      <c r="E55" s="16" t="str">
        <f>IFERROR(__xludf.DUMMYFUNCTION("""COMPUTED_VALUE"""),"Growth")</f>
        <v>Growth</v>
      </c>
      <c r="F55" s="16" t="str">
        <f>IFERROR(__xludf.DUMMYFUNCTION("""COMPUTED_VALUE"""),"mfenner@box.com")</f>
        <v>mfenner@box.com</v>
      </c>
      <c r="G55" s="16" t="str">
        <f>IFERROR(__xludf.DUMMYFUNCTION("""COMPUTED_VALUE"""),"Tim Kennedy")</f>
        <v>Tim Kennedy</v>
      </c>
      <c r="H55" s="16" t="str">
        <f>IFERROR(__xludf.DUMMYFUNCTION("""COMPUTED_VALUE"""),"PartnerConnect - Technology")</f>
        <v>PartnerConnect - Technology</v>
      </c>
      <c r="I55" s="16" t="str">
        <f>IFERROR(__xludf.DUMMYFUNCTION("""COMPUTED_VALUE"""),"900 Jefferson Ave")</f>
        <v>900 Jefferson Ave</v>
      </c>
      <c r="J55" s="16"/>
      <c r="K55" s="16" t="str">
        <f>IFERROR(__xludf.DUMMYFUNCTION("""COMPUTED_VALUE"""),"Redwood City")</f>
        <v>Redwood City</v>
      </c>
      <c r="L55" s="16" t="str">
        <f>IFERROR(__xludf.DUMMYFUNCTION("""COMPUTED_VALUE"""),"California")</f>
        <v>California</v>
      </c>
      <c r="M55" s="16">
        <f>IFERROR(__xludf.DUMMYFUNCTION("""COMPUTED_VALUE"""),94063.0)</f>
        <v>94063</v>
      </c>
      <c r="N55" s="16" t="str">
        <f>IFERROR(__xludf.DUMMYFUNCTION("""COMPUTED_VALUE"""),"United States")</f>
        <v>United States</v>
      </c>
      <c r="O55" s="16" t="str">
        <f>IFERROR(__xludf.DUMMYFUNCTION("""COMPUTED_VALUE"""),"High")</f>
        <v>High</v>
      </c>
      <c r="P55" s="16" t="b">
        <f>IFERROR(__xludf.DUMMYFUNCTION("""COMPUTED_VALUE"""),TRUE)</f>
        <v>1</v>
      </c>
      <c r="Q55" s="16" t="b">
        <f>IFERROR(__xludf.DUMMYFUNCTION("""COMPUTED_VALUE"""),FALSE)</f>
        <v>0</v>
      </c>
      <c r="R55" s="16" t="str">
        <f>IFERROR(__xludf.DUMMYFUNCTION("""COMPUTED_VALUE"""),"Admin, Support, Training, NPE User")</f>
        <v>Admin, Support, Training, NPE User</v>
      </c>
      <c r="S55" s="16" t="str">
        <f>IFERROR(__xludf.DUMMYFUNCTION("""COMPUTED_VALUE"""),"Box")</f>
        <v>Box</v>
      </c>
      <c r="T55" s="16" t="str">
        <f>IFERROR(__xludf.DUMMYFUNCTION("""COMPUTED_VALUE"""),"Current Partner")</f>
        <v>Current Partner</v>
      </c>
      <c r="U55" s="16" t="b">
        <f>IFERROR(__xludf.DUMMYFUNCTION("""COMPUTED_VALUE"""),TRUE)</f>
        <v>1</v>
      </c>
      <c r="V55" s="16"/>
      <c r="W55" s="16"/>
      <c r="X55" s="16"/>
    </row>
    <row r="56">
      <c r="A56" s="16" t="str">
        <f>IFERROR(__xludf.DUMMYFUNCTION("""COMPUTED_VALUE"""),"Anders")</f>
        <v>Anders</v>
      </c>
      <c r="B56" s="16" t="str">
        <f>IFERROR(__xludf.DUMMYFUNCTION("""COMPUTED_VALUE"""),"Melkersson")</f>
        <v>Melkersson</v>
      </c>
      <c r="C56" s="16" t="str">
        <f>IFERROR(__xludf.DUMMYFUNCTION("""COMPUTED_VALUE"""),"Commercial Director")</f>
        <v>Commercial Director</v>
      </c>
      <c r="D56" s="16" t="str">
        <f>IFERROR(__xludf.DUMMYFUNCTION("""COMPUTED_VALUE"""),"CAB Group AB")</f>
        <v>CAB Group AB</v>
      </c>
      <c r="E56" s="16" t="str">
        <f>IFERROR(__xludf.DUMMYFUNCTION("""COMPUTED_VALUE"""),"Growth")</f>
        <v>Growth</v>
      </c>
      <c r="F56" s="16" t="str">
        <f>IFERROR(__xludf.DUMMYFUNCTION("""COMPUTED_VALUE"""),"anders.melkersson@cab.se")</f>
        <v>anders.melkersson@cab.se</v>
      </c>
      <c r="G56" s="16" t="str">
        <f>IFERROR(__xludf.DUMMYFUNCTION("""COMPUTED_VALUE"""),"Vivienne Hoary")</f>
        <v>Vivienne Hoary</v>
      </c>
      <c r="H56" s="16" t="str">
        <f>IFERROR(__xludf.DUMMYFUNCTION("""COMPUTED_VALUE"""),"PartnerConnect - Technology")</f>
        <v>PartnerConnect - Technology</v>
      </c>
      <c r="I56" s="16"/>
      <c r="J56" s="16"/>
      <c r="K56" s="16"/>
      <c r="L56" s="16"/>
      <c r="M56" s="16"/>
      <c r="N56" s="16" t="str">
        <f>IFERROR(__xludf.DUMMYFUNCTION("""COMPUTED_VALUE"""),"Sweden")</f>
        <v>Sweden</v>
      </c>
      <c r="O56" s="16" t="str">
        <f>IFERROR(__xludf.DUMMYFUNCTION("""COMPUTED_VALUE"""),"Medium")</f>
        <v>Medium</v>
      </c>
      <c r="P56" s="16" t="b">
        <f>IFERROR(__xludf.DUMMYFUNCTION("""COMPUTED_VALUE"""),TRUE)</f>
        <v>1</v>
      </c>
      <c r="Q56" s="16" t="b">
        <f>IFERROR(__xludf.DUMMYFUNCTION("""COMPUTED_VALUE"""),FALSE)</f>
        <v>0</v>
      </c>
      <c r="R56" s="16" t="str">
        <f>IFERROR(__xludf.DUMMYFUNCTION("""COMPUTED_VALUE"""),"Admin, Business, Events, Legal / Contracts, Marketing, Support, Technical, Training, Main Billing Contact, Billing Contact  LMS Training Fees, Sales Solution Architect, Delivery Lead / BA, Client Partner / Partner Account Executive")</f>
        <v>Admin, Business, Events, Legal / Contracts, Marketing, Support, Technical, Training, Main Billing Contact, Billing Contact  LMS Training Fees, Sales Solution Architect, Delivery Lead / BA, Client Partner / Partner Account Executive</v>
      </c>
      <c r="S56" s="16" t="str">
        <f>IFERROR(__xludf.DUMMYFUNCTION("""COMPUTED_VALUE"""),"CAB Group")</f>
        <v>CAB Group</v>
      </c>
      <c r="T56" s="16" t="str">
        <f>IFERROR(__xludf.DUMMYFUNCTION("""COMPUTED_VALUE"""),"Current Partner")</f>
        <v>Current Partner</v>
      </c>
      <c r="U56" s="16" t="b">
        <f>IFERROR(__xludf.DUMMYFUNCTION("""COMPUTED_VALUE"""),FALSE)</f>
        <v>0</v>
      </c>
      <c r="V56" s="16"/>
      <c r="W56" s="16"/>
      <c r="X56" s="16"/>
    </row>
    <row r="57">
      <c r="A57" s="16" t="str">
        <f>IFERROR(__xludf.DUMMYFUNCTION("""COMPUTED_VALUE"""),"Anthony")</f>
        <v>Anthony</v>
      </c>
      <c r="B57" s="16" t="str">
        <f>IFERROR(__xludf.DUMMYFUNCTION("""COMPUTED_VALUE"""),"Lentini")</f>
        <v>Lentini</v>
      </c>
      <c r="C57" s="16" t="str">
        <f>IFERROR(__xludf.DUMMYFUNCTION("""COMPUTED_VALUE"""),"CIO")</f>
        <v>CIO</v>
      </c>
      <c r="D57" s="16" t="str">
        <f>IFERROR(__xludf.DUMMYFUNCTION("""COMPUTED_VALUE"""),"Cadence Rx, Inc.")</f>
        <v>Cadence Rx, Inc.</v>
      </c>
      <c r="E57" s="16" t="str">
        <f>IFERROR(__xludf.DUMMYFUNCTION("""COMPUTED_VALUE"""),"Growth")</f>
        <v>Growth</v>
      </c>
      <c r="F57" s="16" t="str">
        <f>IFERROR(__xludf.DUMMYFUNCTION("""COMPUTED_VALUE"""),"alentini@cadencerx.com")</f>
        <v>alentini@cadencerx.com</v>
      </c>
      <c r="G57" s="16" t="str">
        <f>IFERROR(__xludf.DUMMYFUNCTION("""COMPUTED_VALUE"""),"Rod Gowin")</f>
        <v>Rod Gowin</v>
      </c>
      <c r="H57" s="16" t="str">
        <f>IFERROR(__xludf.DUMMYFUNCTION("""COMPUTED_VALUE"""),"PartnerConnect - Technology")</f>
        <v>PartnerConnect - Technology</v>
      </c>
      <c r="I57" s="16" t="str">
        <f>IFERROR(__xludf.DUMMYFUNCTION("""COMPUTED_VALUE"""),"550N. Reo St. Suite 109")</f>
        <v>550N. Reo St. Suite 109</v>
      </c>
      <c r="J57" s="16"/>
      <c r="K57" s="16" t="str">
        <f>IFERROR(__xludf.DUMMYFUNCTION("""COMPUTED_VALUE"""),"Tampa")</f>
        <v>Tampa</v>
      </c>
      <c r="L57" s="16" t="str">
        <f>IFERROR(__xludf.DUMMYFUNCTION("""COMPUTED_VALUE"""),"FL")</f>
        <v>FL</v>
      </c>
      <c r="M57" s="16">
        <f>IFERROR(__xludf.DUMMYFUNCTION("""COMPUTED_VALUE"""),33609.0)</f>
        <v>33609</v>
      </c>
      <c r="N57" s="16" t="str">
        <f>IFERROR(__xludf.DUMMYFUNCTION("""COMPUTED_VALUE"""),"United States")</f>
        <v>United States</v>
      </c>
      <c r="O57" s="16" t="str">
        <f>IFERROR(__xludf.DUMMYFUNCTION("""COMPUTED_VALUE"""),"Medium")</f>
        <v>Medium</v>
      </c>
      <c r="P57" s="16" t="b">
        <f>IFERROR(__xludf.DUMMYFUNCTION("""COMPUTED_VALUE"""),TRUE)</f>
        <v>1</v>
      </c>
      <c r="Q57" s="16" t="b">
        <f>IFERROR(__xludf.DUMMYFUNCTION("""COMPUTED_VALUE"""),TRUE)</f>
        <v>1</v>
      </c>
      <c r="R57" s="16" t="str">
        <f>IFERROR(__xludf.DUMMYFUNCTION("""COMPUTED_VALUE"""),"Admin, Business, Events")</f>
        <v>Admin, Business, Events</v>
      </c>
      <c r="S57" s="16" t="str">
        <f>IFERROR(__xludf.DUMMYFUNCTION("""COMPUTED_VALUE"""),"Cadence Rx")</f>
        <v>Cadence Rx</v>
      </c>
      <c r="T57" s="16" t="str">
        <f>IFERROR(__xludf.DUMMYFUNCTION("""COMPUTED_VALUE"""),"Current Partner")</f>
        <v>Current Partner</v>
      </c>
      <c r="U57" s="16" t="b">
        <f>IFERROR(__xludf.DUMMYFUNCTION("""COMPUTED_VALUE"""),FALSE)</f>
        <v>0</v>
      </c>
      <c r="V57" s="16"/>
      <c r="W57" s="16"/>
      <c r="X57" s="16"/>
    </row>
    <row r="58">
      <c r="A58" s="16" t="str">
        <f>IFERROR(__xludf.DUMMYFUNCTION("""COMPUTED_VALUE"""),"Alan")</f>
        <v>Alan</v>
      </c>
      <c r="B58" s="16" t="str">
        <f>IFERROR(__xludf.DUMMYFUNCTION("""COMPUTED_VALUE"""),"Hemmi")</f>
        <v>Hemmi</v>
      </c>
      <c r="C58" s="16" t="str">
        <f>IFERROR(__xludf.DUMMYFUNCTION("""COMPUTED_VALUE"""),"VP IT")</f>
        <v>VP IT</v>
      </c>
      <c r="D58" s="16" t="str">
        <f>IFERROR(__xludf.DUMMYFUNCTION("""COMPUTED_VALUE"""),"Caliber Collision")</f>
        <v>Caliber Collision</v>
      </c>
      <c r="E58" s="16" t="str">
        <f>IFERROR(__xludf.DUMMYFUNCTION("""COMPUTED_VALUE"""),"Growth")</f>
        <v>Growth</v>
      </c>
      <c r="F58" s="16" t="str">
        <f>IFERROR(__xludf.DUMMYFUNCTION("""COMPUTED_VALUE"""),"alan.hemmi@caliber.com")</f>
        <v>alan.hemmi@caliber.com</v>
      </c>
      <c r="G58" s="16" t="str">
        <f>IFERROR(__xludf.DUMMYFUNCTION("""COMPUTED_VALUE"""),"Aaron Shaw")</f>
        <v>Aaron Shaw</v>
      </c>
      <c r="H58" s="16" t="str">
        <f>IFERROR(__xludf.DUMMYFUNCTION("""COMPUTED_VALUE"""),"PartnerConnect - Technology")</f>
        <v>PartnerConnect - Technology</v>
      </c>
      <c r="I58" s="16" t="str">
        <f>IFERROR(__xludf.DUMMYFUNCTION("""COMPUTED_VALUE"""),"2941 Lake Vista Dr")</f>
        <v>2941 Lake Vista Dr</v>
      </c>
      <c r="J58" s="16"/>
      <c r="K58" s="16" t="str">
        <f>IFERROR(__xludf.DUMMYFUNCTION("""COMPUTED_VALUE"""),"Lewisville")</f>
        <v>Lewisville</v>
      </c>
      <c r="L58" s="16" t="str">
        <f>IFERROR(__xludf.DUMMYFUNCTION("""COMPUTED_VALUE"""),"Texas")</f>
        <v>Texas</v>
      </c>
      <c r="M58" s="16">
        <f>IFERROR(__xludf.DUMMYFUNCTION("""COMPUTED_VALUE"""),75062.0)</f>
        <v>75062</v>
      </c>
      <c r="N58" s="16" t="str">
        <f>IFERROR(__xludf.DUMMYFUNCTION("""COMPUTED_VALUE"""),"United States")</f>
        <v>United States</v>
      </c>
      <c r="O58" s="16" t="str">
        <f>IFERROR(__xludf.DUMMYFUNCTION("""COMPUTED_VALUE"""),"Low")</f>
        <v>Low</v>
      </c>
      <c r="P58" s="16" t="b">
        <f>IFERROR(__xludf.DUMMYFUNCTION("""COMPUTED_VALUE"""),TRUE)</f>
        <v>1</v>
      </c>
      <c r="Q58" s="16" t="b">
        <f>IFERROR(__xludf.DUMMYFUNCTION("""COMPUTED_VALUE"""),TRUE)</f>
        <v>1</v>
      </c>
      <c r="R58" s="16" t="str">
        <f>IFERROR(__xludf.DUMMYFUNCTION("""COMPUTED_VALUE"""),"Admin, Business")</f>
        <v>Admin, Business</v>
      </c>
      <c r="S58" s="16" t="str">
        <f>IFERROR(__xludf.DUMMYFUNCTION("""COMPUTED_VALUE"""),"Caliber")</f>
        <v>Caliber</v>
      </c>
      <c r="T58" s="16" t="str">
        <f>IFERROR(__xludf.DUMMYFUNCTION("""COMPUTED_VALUE"""),"Current Partner")</f>
        <v>Current Partner</v>
      </c>
      <c r="U58" s="16" t="b">
        <f>IFERROR(__xludf.DUMMYFUNCTION("""COMPUTED_VALUE"""),FALSE)</f>
        <v>0</v>
      </c>
      <c r="V58" s="16"/>
      <c r="W58" s="16"/>
      <c r="X58" s="16"/>
    </row>
    <row r="59">
      <c r="A59" s="16" t="str">
        <f>IFERROR(__xludf.DUMMYFUNCTION("""COMPUTED_VALUE"""),"Jordon")</f>
        <v>Jordon</v>
      </c>
      <c r="B59" s="16" t="str">
        <f>IFERROR(__xludf.DUMMYFUNCTION("""COMPUTED_VALUE"""),"Brill")</f>
        <v>Brill</v>
      </c>
      <c r="C59" s="16" t="str">
        <f>IFERROR(__xludf.DUMMYFUNCTION("""COMPUTED_VALUE"""),"Chief Product Officer")</f>
        <v>Chief Product Officer</v>
      </c>
      <c r="D59" s="16" t="str">
        <f>IFERROR(__xludf.DUMMYFUNCTION("""COMPUTED_VALUE"""),"Caliber Data Processing, LLC")</f>
        <v>Caliber Data Processing, LLC</v>
      </c>
      <c r="E59" s="16" t="str">
        <f>IFERROR(__xludf.DUMMYFUNCTION("""COMPUTED_VALUE"""),"Growth")</f>
        <v>Growth</v>
      </c>
      <c r="F59" s="16" t="str">
        <f>IFERROR(__xludf.DUMMYFUNCTION("""COMPUTED_VALUE"""),"jordon@caliber.tech")</f>
        <v>jordon@caliber.tech</v>
      </c>
      <c r="G59" s="16" t="str">
        <f>IFERROR(__xludf.DUMMYFUNCTION("""COMPUTED_VALUE"""),"Aaron Shaw")</f>
        <v>Aaron Shaw</v>
      </c>
      <c r="H59" s="16" t="str">
        <f>IFERROR(__xludf.DUMMYFUNCTION("""COMPUTED_VALUE"""),"PartnerConnect - Technology")</f>
        <v>PartnerConnect - Technology</v>
      </c>
      <c r="I59" s="16" t="str">
        <f>IFERROR(__xludf.DUMMYFUNCTION("""COMPUTED_VALUE"""),"210 Landmark Drive")</f>
        <v>210 Landmark Drive</v>
      </c>
      <c r="J59" s="16"/>
      <c r="K59" s="16" t="str">
        <f>IFERROR(__xludf.DUMMYFUNCTION("""COMPUTED_VALUE"""),"Normal")</f>
        <v>Normal</v>
      </c>
      <c r="L59" s="16" t="str">
        <f>IFERROR(__xludf.DUMMYFUNCTION("""COMPUTED_VALUE"""),"Illinois")</f>
        <v>Illinois</v>
      </c>
      <c r="M59" s="16">
        <f>IFERROR(__xludf.DUMMYFUNCTION("""COMPUTED_VALUE"""),61761.0)</f>
        <v>61761</v>
      </c>
      <c r="N59" s="16" t="str">
        <f>IFERROR(__xludf.DUMMYFUNCTION("""COMPUTED_VALUE"""),"United States")</f>
        <v>United States</v>
      </c>
      <c r="O59" s="16" t="str">
        <f>IFERROR(__xludf.DUMMYFUNCTION("""COMPUTED_VALUE"""),"Medium")</f>
        <v>Medium</v>
      </c>
      <c r="P59" s="16" t="b">
        <f>IFERROR(__xludf.DUMMYFUNCTION("""COMPUTED_VALUE"""),TRUE)</f>
        <v>1</v>
      </c>
      <c r="Q59" s="16" t="b">
        <f>IFERROR(__xludf.DUMMYFUNCTION("""COMPUTED_VALUE"""),FALSE)</f>
        <v>0</v>
      </c>
      <c r="R59" s="16" t="str">
        <f>IFERROR(__xludf.DUMMYFUNCTION("""COMPUTED_VALUE"""),"Admin, Business, Support, Training, Main Billing Contact, Billing Contact  LMS Training Fees")</f>
        <v>Admin, Business, Support, Training, Main Billing Contact, Billing Contact  LMS Training Fees</v>
      </c>
      <c r="S59" s="16" t="str">
        <f>IFERROR(__xludf.DUMMYFUNCTION("""COMPUTED_VALUE"""),"Caliber Data Processing")</f>
        <v>Caliber Data Processing</v>
      </c>
      <c r="T59" s="16" t="str">
        <f>IFERROR(__xludf.DUMMYFUNCTION("""COMPUTED_VALUE"""),"Current Partner")</f>
        <v>Current Partner</v>
      </c>
      <c r="U59" s="16" t="b">
        <f>IFERROR(__xludf.DUMMYFUNCTION("""COMPUTED_VALUE"""),FALSE)</f>
        <v>0</v>
      </c>
      <c r="V59" s="16"/>
      <c r="W59" s="16"/>
      <c r="X59" s="16"/>
    </row>
    <row r="60">
      <c r="A60" s="16" t="str">
        <f>IFERROR(__xludf.DUMMYFUNCTION("""COMPUTED_VALUE"""),"Thomas")</f>
        <v>Thomas</v>
      </c>
      <c r="B60" s="16" t="str">
        <f>IFERROR(__xludf.DUMMYFUNCTION("""COMPUTED_VALUE"""),"Hallauer")</f>
        <v>Hallauer</v>
      </c>
      <c r="C60" s="16" t="str">
        <f>IFERROR(__xludf.DUMMYFUNCTION("""COMPUTED_VALUE"""),"Directeur Marketing Europe")</f>
        <v>Directeur Marketing Europe</v>
      </c>
      <c r="D60" s="16" t="str">
        <f>IFERROR(__xludf.DUMMYFUNCTION("""COMPUTED_VALUE"""),"Cambridge Mobile Telematics")</f>
        <v>Cambridge Mobile Telematics</v>
      </c>
      <c r="E60" s="16" t="str">
        <f>IFERROR(__xludf.DUMMYFUNCTION("""COMPUTED_VALUE"""),"Advantage")</f>
        <v>Advantage</v>
      </c>
      <c r="F60" s="16" t="str">
        <f>IFERROR(__xludf.DUMMYFUNCTION("""COMPUTED_VALUE"""),"thallauer@cmtelematics.com")</f>
        <v>thallauer@cmtelematics.com</v>
      </c>
      <c r="G60" s="16" t="str">
        <f>IFERROR(__xludf.DUMMYFUNCTION("""COMPUTED_VALUE"""),"Tim Kennedy")</f>
        <v>Tim Kennedy</v>
      </c>
      <c r="H60" s="16" t="str">
        <f>IFERROR(__xludf.DUMMYFUNCTION("""COMPUTED_VALUE"""),"PartnerConnect - Technology")</f>
        <v>PartnerConnect - Technology</v>
      </c>
      <c r="I60" s="16"/>
      <c r="J60" s="16"/>
      <c r="K60" s="16"/>
      <c r="L60" s="16"/>
      <c r="M60" s="16"/>
      <c r="N60" s="16" t="str">
        <f>IFERROR(__xludf.DUMMYFUNCTION("""COMPUTED_VALUE"""),"United States")</f>
        <v>United States</v>
      </c>
      <c r="O60" s="16" t="str">
        <f>IFERROR(__xludf.DUMMYFUNCTION("""COMPUTED_VALUE"""),"Medium")</f>
        <v>Medium</v>
      </c>
      <c r="P60" s="16" t="b">
        <f>IFERROR(__xludf.DUMMYFUNCTION("""COMPUTED_VALUE"""),FALSE)</f>
        <v>0</v>
      </c>
      <c r="Q60" s="16" t="b">
        <f>IFERROR(__xludf.DUMMYFUNCTION("""COMPUTED_VALUE"""),TRUE)</f>
        <v>1</v>
      </c>
      <c r="R60" s="16" t="str">
        <f>IFERROR(__xludf.DUMMYFUNCTION("""COMPUTED_VALUE"""),"Business, Events, Marketing")</f>
        <v>Business, Events, Marketing</v>
      </c>
      <c r="S60" s="16" t="str">
        <f>IFERROR(__xludf.DUMMYFUNCTION("""COMPUTED_VALUE"""),"Cambridge Mobile")</f>
        <v>Cambridge Mobile</v>
      </c>
      <c r="T60" s="16" t="str">
        <f>IFERROR(__xludf.DUMMYFUNCTION("""COMPUTED_VALUE"""),"Current Partner")</f>
        <v>Current Partner</v>
      </c>
      <c r="U60" s="16" t="b">
        <f>IFERROR(__xludf.DUMMYFUNCTION("""COMPUTED_VALUE"""),FALSE)</f>
        <v>0</v>
      </c>
      <c r="V60" s="16"/>
      <c r="W60" s="16"/>
      <c r="X60" s="16"/>
    </row>
    <row r="61">
      <c r="A61" s="16" t="str">
        <f>IFERROR(__xludf.DUMMYFUNCTION("""COMPUTED_VALUE"""),"Cornelius")</f>
        <v>Cornelius</v>
      </c>
      <c r="B61" s="16" t="str">
        <f>IFERROR(__xludf.DUMMYFUNCTION("""COMPUTED_VALUE"""),"Young")</f>
        <v>Young</v>
      </c>
      <c r="C61" s="16" t="str">
        <f>IFERROR(__xludf.DUMMYFUNCTION("""COMPUTED_VALUE"""),"SVP, Product Management")</f>
        <v>SVP, Product Management</v>
      </c>
      <c r="D61" s="16" t="str">
        <f>IFERROR(__xludf.DUMMYFUNCTION("""COMPUTED_VALUE"""),"Cambridge Mobile Telematics")</f>
        <v>Cambridge Mobile Telematics</v>
      </c>
      <c r="E61" s="16" t="str">
        <f>IFERROR(__xludf.DUMMYFUNCTION("""COMPUTED_VALUE"""),"Advantage")</f>
        <v>Advantage</v>
      </c>
      <c r="F61" s="16" t="str">
        <f>IFERROR(__xludf.DUMMYFUNCTION("""COMPUTED_VALUE"""),"cyoung@cmtelematics.com")</f>
        <v>cyoung@cmtelematics.com</v>
      </c>
      <c r="G61" s="16" t="str">
        <f>IFERROR(__xludf.DUMMYFUNCTION("""COMPUTED_VALUE"""),"Tim Kennedy")</f>
        <v>Tim Kennedy</v>
      </c>
      <c r="H61" s="16" t="str">
        <f>IFERROR(__xludf.DUMMYFUNCTION("""COMPUTED_VALUE"""),"PartnerConnect - Technology")</f>
        <v>PartnerConnect - Technology</v>
      </c>
      <c r="I61" s="16" t="str">
        <f>IFERROR(__xludf.DUMMYFUNCTION("""COMPUTED_VALUE"""),"314 Main Street, Suite 1200")</f>
        <v>314 Main Street, Suite 1200</v>
      </c>
      <c r="J61" s="16"/>
      <c r="K61" s="16" t="str">
        <f>IFERROR(__xludf.DUMMYFUNCTION("""COMPUTED_VALUE"""),"Cambridge")</f>
        <v>Cambridge</v>
      </c>
      <c r="L61" s="16" t="str">
        <f>IFERROR(__xludf.DUMMYFUNCTION("""COMPUTED_VALUE"""),"Massachusetts")</f>
        <v>Massachusetts</v>
      </c>
      <c r="M61" s="16">
        <f>IFERROR(__xludf.DUMMYFUNCTION("""COMPUTED_VALUE"""),2142.0)</f>
        <v>2142</v>
      </c>
      <c r="N61" s="16" t="str">
        <f>IFERROR(__xludf.DUMMYFUNCTION("""COMPUTED_VALUE"""),"United States")</f>
        <v>United States</v>
      </c>
      <c r="O61" s="16" t="str">
        <f>IFERROR(__xludf.DUMMYFUNCTION("""COMPUTED_VALUE"""),"Medium")</f>
        <v>Medium</v>
      </c>
      <c r="P61" s="16" t="b">
        <f>IFERROR(__xludf.DUMMYFUNCTION("""COMPUTED_VALUE"""),TRUE)</f>
        <v>1</v>
      </c>
      <c r="Q61" s="16" t="b">
        <f>IFERROR(__xludf.DUMMYFUNCTION("""COMPUTED_VALUE"""),TRUE)</f>
        <v>1</v>
      </c>
      <c r="R61" s="16" t="str">
        <f>IFERROR(__xludf.DUMMYFUNCTION("""COMPUTED_VALUE"""),"Admin, Business, Legal / Contracts, Marketing, Billing Contact  LMS Training Fees")</f>
        <v>Admin, Business, Legal / Contracts, Marketing, Billing Contact  LMS Training Fees</v>
      </c>
      <c r="S61" s="16" t="str">
        <f>IFERROR(__xludf.DUMMYFUNCTION("""COMPUTED_VALUE"""),"Cambridge Mobile")</f>
        <v>Cambridge Mobile</v>
      </c>
      <c r="T61" s="16" t="str">
        <f>IFERROR(__xludf.DUMMYFUNCTION("""COMPUTED_VALUE"""),"Current Partner")</f>
        <v>Current Partner</v>
      </c>
      <c r="U61" s="16" t="b">
        <f>IFERROR(__xludf.DUMMYFUNCTION("""COMPUTED_VALUE"""),FALSE)</f>
        <v>0</v>
      </c>
      <c r="V61" s="16"/>
      <c r="W61" s="16"/>
      <c r="X61" s="16"/>
    </row>
    <row r="62">
      <c r="A62" s="16" t="str">
        <f>IFERROR(__xludf.DUMMYFUNCTION("""COMPUTED_VALUE"""),"Jamie")</f>
        <v>Jamie</v>
      </c>
      <c r="B62" s="16" t="str">
        <f>IFERROR(__xludf.DUMMYFUNCTION("""COMPUTED_VALUE"""),"Landers")</f>
        <v>Landers</v>
      </c>
      <c r="C62" s="16"/>
      <c r="D62" s="16" t="str">
        <f>IFERROR(__xludf.DUMMYFUNCTION("""COMPUTED_VALUE"""),"Cambridge Mobile Telematics")</f>
        <v>Cambridge Mobile Telematics</v>
      </c>
      <c r="E62" s="16" t="str">
        <f>IFERROR(__xludf.DUMMYFUNCTION("""COMPUTED_VALUE"""),"Advantage")</f>
        <v>Advantage</v>
      </c>
      <c r="F62" s="16" t="str">
        <f>IFERROR(__xludf.DUMMYFUNCTION("""COMPUTED_VALUE"""),"jlanders@cmtelematics.com")</f>
        <v>jlanders@cmtelematics.com</v>
      </c>
      <c r="G62" s="16" t="str">
        <f>IFERROR(__xludf.DUMMYFUNCTION("""COMPUTED_VALUE"""),"Tim Kennedy")</f>
        <v>Tim Kennedy</v>
      </c>
      <c r="H62" s="16" t="str">
        <f>IFERROR(__xludf.DUMMYFUNCTION("""COMPUTED_VALUE"""),"PartnerConnect - Technology")</f>
        <v>PartnerConnect - Technology</v>
      </c>
      <c r="I62" s="16" t="str">
        <f>IFERROR(__xludf.DUMMYFUNCTION("""COMPUTED_VALUE"""),"314 Main Street, Suite 1200")</f>
        <v>314 Main Street, Suite 1200</v>
      </c>
      <c r="J62" s="16"/>
      <c r="K62" s="16" t="str">
        <f>IFERROR(__xludf.DUMMYFUNCTION("""COMPUTED_VALUE"""),"Cambridge")</f>
        <v>Cambridge</v>
      </c>
      <c r="L62" s="16" t="str">
        <f>IFERROR(__xludf.DUMMYFUNCTION("""COMPUTED_VALUE"""),"Massachusetts")</f>
        <v>Massachusetts</v>
      </c>
      <c r="M62" s="16">
        <f>IFERROR(__xludf.DUMMYFUNCTION("""COMPUTED_VALUE"""),2142.0)</f>
        <v>2142</v>
      </c>
      <c r="N62" s="16" t="str">
        <f>IFERROR(__xludf.DUMMYFUNCTION("""COMPUTED_VALUE"""),"United States")</f>
        <v>United States</v>
      </c>
      <c r="O62" s="16" t="str">
        <f>IFERROR(__xludf.DUMMYFUNCTION("""COMPUTED_VALUE"""),"Medium")</f>
        <v>Medium</v>
      </c>
      <c r="P62" s="16" t="b">
        <f>IFERROR(__xludf.DUMMYFUNCTION("""COMPUTED_VALUE"""),TRUE)</f>
        <v>1</v>
      </c>
      <c r="Q62" s="16" t="b">
        <f>IFERROR(__xludf.DUMMYFUNCTION("""COMPUTED_VALUE"""),TRUE)</f>
        <v>1</v>
      </c>
      <c r="R62" s="16" t="str">
        <f>IFERROR(__xludf.DUMMYFUNCTION("""COMPUTED_VALUE"""),"")</f>
        <v/>
      </c>
      <c r="S62" s="16" t="str">
        <f>IFERROR(__xludf.DUMMYFUNCTION("""COMPUTED_VALUE"""),"Cambridge Mobile")</f>
        <v>Cambridge Mobile</v>
      </c>
      <c r="T62" s="16" t="str">
        <f>IFERROR(__xludf.DUMMYFUNCTION("""COMPUTED_VALUE"""),"Current Partner")</f>
        <v>Current Partner</v>
      </c>
      <c r="U62" s="16" t="b">
        <f>IFERROR(__xludf.DUMMYFUNCTION("""COMPUTED_VALUE"""),FALSE)</f>
        <v>0</v>
      </c>
      <c r="V62" s="16"/>
      <c r="W62" s="16"/>
      <c r="X62" s="16"/>
    </row>
    <row r="63">
      <c r="A63" s="16" t="str">
        <f>IFERROR(__xludf.DUMMYFUNCTION("""COMPUTED_VALUE"""),"Debarshi")</f>
        <v>Debarshi</v>
      </c>
      <c r="B63" s="16" t="str">
        <f>IFERROR(__xludf.DUMMYFUNCTION("""COMPUTED_VALUE"""),"Banerjee")</f>
        <v>Banerjee</v>
      </c>
      <c r="C63" s="16"/>
      <c r="D63" s="16" t="str">
        <f>IFERROR(__xludf.DUMMYFUNCTION("""COMPUTED_VALUE"""),"CamCom Technologies Pvt. Ltd.")</f>
        <v>CamCom Technologies Pvt. Ltd.</v>
      </c>
      <c r="E63" s="16" t="str">
        <f>IFERROR(__xludf.DUMMYFUNCTION("""COMPUTED_VALUE"""),"Growth")</f>
        <v>Growth</v>
      </c>
      <c r="F63" s="16" t="str">
        <f>IFERROR(__xludf.DUMMYFUNCTION("""COMPUTED_VALUE"""),"debarshi.banerjee@camcom.ai")</f>
        <v>debarshi.banerjee@camcom.ai</v>
      </c>
      <c r="G63" s="16" t="str">
        <f>IFERROR(__xludf.DUMMYFUNCTION("""COMPUTED_VALUE"""),"Ketaki Padhye")</f>
        <v>Ketaki Padhye</v>
      </c>
      <c r="H63" s="16" t="str">
        <f>IFERROR(__xludf.DUMMYFUNCTION("""COMPUTED_VALUE"""),"PartnerConnect - Technology")</f>
        <v>PartnerConnect - Technology</v>
      </c>
      <c r="I63" s="16" t="str">
        <f>IFERROR(__xludf.DUMMYFUNCTION("""COMPUTED_VALUE"""),"No. 70, 1st Cross, Sahyadri Layout")</f>
        <v>No. 70, 1st Cross, Sahyadri Layout</v>
      </c>
      <c r="J63" s="16"/>
      <c r="K63" s="16" t="str">
        <f>IFERROR(__xludf.DUMMYFUNCTION("""COMPUTED_VALUE"""),"Bangalore")</f>
        <v>Bangalore</v>
      </c>
      <c r="L63" s="16"/>
      <c r="M63" s="16">
        <f>IFERROR(__xludf.DUMMYFUNCTION("""COMPUTED_VALUE"""),560076.0)</f>
        <v>560076</v>
      </c>
      <c r="N63" s="16" t="str">
        <f>IFERROR(__xludf.DUMMYFUNCTION("""COMPUTED_VALUE"""),"India")</f>
        <v>India</v>
      </c>
      <c r="O63" s="16" t="str">
        <f>IFERROR(__xludf.DUMMYFUNCTION("""COMPUTED_VALUE"""),"Medium")</f>
        <v>Medium</v>
      </c>
      <c r="P63" s="16" t="b">
        <f>IFERROR(__xludf.DUMMYFUNCTION("""COMPUTED_VALUE"""),TRUE)</f>
        <v>1</v>
      </c>
      <c r="Q63" s="16" t="b">
        <f>IFERROR(__xludf.DUMMYFUNCTION("""COMPUTED_VALUE"""),FALSE)</f>
        <v>0</v>
      </c>
      <c r="R63" s="16" t="str">
        <f>IFERROR(__xludf.DUMMYFUNCTION("""COMPUTED_VALUE"""),"Admin, Main Billing Contact")</f>
        <v>Admin, Main Billing Contact</v>
      </c>
      <c r="S63" s="16" t="str">
        <f>IFERROR(__xludf.DUMMYFUNCTION("""COMPUTED_VALUE"""),"CamCom Technologies")</f>
        <v>CamCom Technologies</v>
      </c>
      <c r="T63" s="16" t="str">
        <f>IFERROR(__xludf.DUMMYFUNCTION("""COMPUTED_VALUE"""),"Current Partner")</f>
        <v>Current Partner</v>
      </c>
      <c r="U63" s="16" t="b">
        <f>IFERROR(__xludf.DUMMYFUNCTION("""COMPUTED_VALUE"""),FALSE)</f>
        <v>0</v>
      </c>
      <c r="V63" s="16"/>
      <c r="W63" s="16"/>
      <c r="X63" s="16"/>
    </row>
    <row r="64">
      <c r="A64" s="16" t="str">
        <f>IFERROR(__xludf.DUMMYFUNCTION("""COMPUTED_VALUE"""),"Busy")</f>
        <v>Busy</v>
      </c>
      <c r="B64" s="16" t="str">
        <f>IFERROR(__xludf.DUMMYFUNCTION("""COMPUTED_VALUE"""),"Cummings")</f>
        <v>Cummings</v>
      </c>
      <c r="C64" s="16" t="str">
        <f>IFERROR(__xludf.DUMMYFUNCTION("""COMPUTED_VALUE"""),"Chief Revenue Officer")</f>
        <v>Chief Revenue Officer</v>
      </c>
      <c r="D64" s="16" t="str">
        <f>IFERROR(__xludf.DUMMYFUNCTION("""COMPUTED_VALUE"""),"Cape Analytics")</f>
        <v>Cape Analytics</v>
      </c>
      <c r="E64" s="16" t="str">
        <f>IFERROR(__xludf.DUMMYFUNCTION("""COMPUTED_VALUE"""),"Growth")</f>
        <v>Growth</v>
      </c>
      <c r="F64" s="16" t="str">
        <f>IFERROR(__xludf.DUMMYFUNCTION("""COMPUTED_VALUE"""),"busy@capeanalytics.com")</f>
        <v>busy@capeanalytics.com</v>
      </c>
      <c r="G64" s="16" t="str">
        <f>IFERROR(__xludf.DUMMYFUNCTION("""COMPUTED_VALUE"""),"Tim Kennedy")</f>
        <v>Tim Kennedy</v>
      </c>
      <c r="H64" s="16" t="str">
        <f>IFERROR(__xludf.DUMMYFUNCTION("""COMPUTED_VALUE"""),"PartnerConnect - Technology")</f>
        <v>PartnerConnect - Technology</v>
      </c>
      <c r="I64" s="16" t="str">
        <f>IFERROR(__xludf.DUMMYFUNCTION("""COMPUTED_VALUE"""),"2306 NW High Lakes Loop")</f>
        <v>2306 NW High Lakes Loop</v>
      </c>
      <c r="J64" s="16"/>
      <c r="K64" s="16" t="str">
        <f>IFERROR(__xludf.DUMMYFUNCTION("""COMPUTED_VALUE"""),"Bend")</f>
        <v>Bend</v>
      </c>
      <c r="L64" s="16" t="str">
        <f>IFERROR(__xludf.DUMMYFUNCTION("""COMPUTED_VALUE"""),"OR")</f>
        <v>OR</v>
      </c>
      <c r="M64" s="16">
        <f>IFERROR(__xludf.DUMMYFUNCTION("""COMPUTED_VALUE"""),97701.0)</f>
        <v>97701</v>
      </c>
      <c r="N64" s="16" t="str">
        <f>IFERROR(__xludf.DUMMYFUNCTION("""COMPUTED_VALUE"""),"United States")</f>
        <v>United States</v>
      </c>
      <c r="O64" s="16" t="str">
        <f>IFERROR(__xludf.DUMMYFUNCTION("""COMPUTED_VALUE"""),"Medium")</f>
        <v>Medium</v>
      </c>
      <c r="P64" s="16" t="b">
        <f>IFERROR(__xludf.DUMMYFUNCTION("""COMPUTED_VALUE"""),TRUE)</f>
        <v>1</v>
      </c>
      <c r="Q64" s="16" t="b">
        <f>IFERROR(__xludf.DUMMYFUNCTION("""COMPUTED_VALUE"""),TRUE)</f>
        <v>1</v>
      </c>
      <c r="R64" s="16" t="str">
        <f>IFERROR(__xludf.DUMMYFUNCTION("""COMPUTED_VALUE"""),"Admin, Admin, Business")</f>
        <v>Admin, Admin, Business</v>
      </c>
      <c r="S64" s="16" t="str">
        <f>IFERROR(__xludf.DUMMYFUNCTION("""COMPUTED_VALUE"""),"Cape Analytics")</f>
        <v>Cape Analytics</v>
      </c>
      <c r="T64" s="16" t="str">
        <f>IFERROR(__xludf.DUMMYFUNCTION("""COMPUTED_VALUE"""),"Current Partner")</f>
        <v>Current Partner</v>
      </c>
      <c r="U64" s="16" t="b">
        <f>IFERROR(__xludf.DUMMYFUNCTION("""COMPUTED_VALUE"""),FALSE)</f>
        <v>0</v>
      </c>
      <c r="V64" s="16"/>
      <c r="W64" s="16"/>
      <c r="X64" s="16"/>
    </row>
    <row r="65">
      <c r="A65" s="16" t="str">
        <f>IFERROR(__xludf.DUMMYFUNCTION("""COMPUTED_VALUE"""),"Kayvan")</f>
        <v>Kayvan</v>
      </c>
      <c r="B65" s="16" t="str">
        <f>IFERROR(__xludf.DUMMYFUNCTION("""COMPUTED_VALUE"""),"Farzaneh")</f>
        <v>Farzaneh</v>
      </c>
      <c r="C65" s="16" t="str">
        <f>IFERROR(__xludf.DUMMYFUNCTION("""COMPUTED_VALUE"""),"Head of Marketing")</f>
        <v>Head of Marketing</v>
      </c>
      <c r="D65" s="16" t="str">
        <f>IFERROR(__xludf.DUMMYFUNCTION("""COMPUTED_VALUE"""),"Cape Analytics")</f>
        <v>Cape Analytics</v>
      </c>
      <c r="E65" s="16" t="str">
        <f>IFERROR(__xludf.DUMMYFUNCTION("""COMPUTED_VALUE"""),"Growth")</f>
        <v>Growth</v>
      </c>
      <c r="F65" s="16" t="str">
        <f>IFERROR(__xludf.DUMMYFUNCTION("""COMPUTED_VALUE"""),"kayvan@capeanalytics.com")</f>
        <v>kayvan@capeanalytics.com</v>
      </c>
      <c r="G65" s="16" t="str">
        <f>IFERROR(__xludf.DUMMYFUNCTION("""COMPUTED_VALUE"""),"Tim Kennedy")</f>
        <v>Tim Kennedy</v>
      </c>
      <c r="H65" s="16" t="str">
        <f>IFERROR(__xludf.DUMMYFUNCTION("""COMPUTED_VALUE"""),"PartnerConnect - Technology")</f>
        <v>PartnerConnect - Technology</v>
      </c>
      <c r="I65" s="16"/>
      <c r="J65" s="16"/>
      <c r="K65" s="16"/>
      <c r="L65" s="16"/>
      <c r="M65" s="16"/>
      <c r="N65" s="16" t="str">
        <f>IFERROR(__xludf.DUMMYFUNCTION("""COMPUTED_VALUE"""),"United States")</f>
        <v>United States</v>
      </c>
      <c r="O65" s="16" t="str">
        <f>IFERROR(__xludf.DUMMYFUNCTION("""COMPUTED_VALUE"""),"Medium")</f>
        <v>Medium</v>
      </c>
      <c r="P65" s="16" t="b">
        <f>IFERROR(__xludf.DUMMYFUNCTION("""COMPUTED_VALUE"""),TRUE)</f>
        <v>1</v>
      </c>
      <c r="Q65" s="16" t="b">
        <f>IFERROR(__xludf.DUMMYFUNCTION("""COMPUTED_VALUE"""),TRUE)</f>
        <v>1</v>
      </c>
      <c r="R65" s="16" t="str">
        <f>IFERROR(__xludf.DUMMYFUNCTION("""COMPUTED_VALUE"""),"Business, Events, Marketing")</f>
        <v>Business, Events, Marketing</v>
      </c>
      <c r="S65" s="16" t="str">
        <f>IFERROR(__xludf.DUMMYFUNCTION("""COMPUTED_VALUE"""),"Cape Analytics")</f>
        <v>Cape Analytics</v>
      </c>
      <c r="T65" s="16" t="str">
        <f>IFERROR(__xludf.DUMMYFUNCTION("""COMPUTED_VALUE"""),"Current Partner")</f>
        <v>Current Partner</v>
      </c>
      <c r="U65" s="16" t="b">
        <f>IFERROR(__xludf.DUMMYFUNCTION("""COMPUTED_VALUE"""),FALSE)</f>
        <v>0</v>
      </c>
      <c r="V65" s="16"/>
      <c r="W65" s="16"/>
      <c r="X65" s="16"/>
    </row>
    <row r="66">
      <c r="A66" s="16" t="str">
        <f>IFERROR(__xludf.DUMMYFUNCTION("""COMPUTED_VALUE"""),"Ben")</f>
        <v>Ben</v>
      </c>
      <c r="B66" s="16" t="str">
        <f>IFERROR(__xludf.DUMMYFUNCTION("""COMPUTED_VALUE"""),"Offringa")</f>
        <v>Offringa</v>
      </c>
      <c r="C66" s="16" t="str">
        <f>IFERROR(__xludf.DUMMYFUNCTION("""COMPUTED_VALUE"""),"Head of Marketing")</f>
        <v>Head of Marketing</v>
      </c>
      <c r="D66" s="16" t="str">
        <f>IFERROR(__xludf.DUMMYFUNCTION("""COMPUTED_VALUE"""),"Carpe Data")</f>
        <v>Carpe Data</v>
      </c>
      <c r="E66" s="16" t="str">
        <f>IFERROR(__xludf.DUMMYFUNCTION("""COMPUTED_VALUE"""),"Growth")</f>
        <v>Growth</v>
      </c>
      <c r="F66" s="16" t="str">
        <f>IFERROR(__xludf.DUMMYFUNCTION("""COMPUTED_VALUE"""),"ben.offringa@carpe.io")</f>
        <v>ben.offringa@carpe.io</v>
      </c>
      <c r="G66" s="16" t="str">
        <f>IFERROR(__xludf.DUMMYFUNCTION("""COMPUTED_VALUE"""),"Rod Gowin")</f>
        <v>Rod Gowin</v>
      </c>
      <c r="H66" s="16" t="str">
        <f>IFERROR(__xludf.DUMMYFUNCTION("""COMPUTED_VALUE"""),"PartnerConnect - Technology")</f>
        <v>PartnerConnect - Technology</v>
      </c>
      <c r="I66" s="16" t="str">
        <f>IFERROR(__xludf.DUMMYFUNCTION("""COMPUTED_VALUE"""),"735 State Street
")</f>
        <v>735 State Street
</v>
      </c>
      <c r="J66" s="16" t="str">
        <f>IFERROR(__xludf.DUMMYFUNCTION("""COMPUTED_VALUE"""),"Suite 600")</f>
        <v>Suite 600</v>
      </c>
      <c r="K66" s="16" t="str">
        <f>IFERROR(__xludf.DUMMYFUNCTION("""COMPUTED_VALUE"""),"Santa Barbara")</f>
        <v>Santa Barbara</v>
      </c>
      <c r="L66" s="16" t="str">
        <f>IFERROR(__xludf.DUMMYFUNCTION("""COMPUTED_VALUE"""),"California")</f>
        <v>California</v>
      </c>
      <c r="M66" s="16">
        <f>IFERROR(__xludf.DUMMYFUNCTION("""COMPUTED_VALUE"""),93101.0)</f>
        <v>93101</v>
      </c>
      <c r="N66" s="16" t="str">
        <f>IFERROR(__xludf.DUMMYFUNCTION("""COMPUTED_VALUE"""),"United States")</f>
        <v>United States</v>
      </c>
      <c r="O66" s="16" t="str">
        <f>IFERROR(__xludf.DUMMYFUNCTION("""COMPUTED_VALUE"""),"Low")</f>
        <v>Low</v>
      </c>
      <c r="P66" s="16" t="b">
        <f>IFERROR(__xludf.DUMMYFUNCTION("""COMPUTED_VALUE"""),TRUE)</f>
        <v>1</v>
      </c>
      <c r="Q66" s="16" t="b">
        <f>IFERROR(__xludf.DUMMYFUNCTION("""COMPUTED_VALUE"""),TRUE)</f>
        <v>1</v>
      </c>
      <c r="R66" s="16" t="str">
        <f>IFERROR(__xludf.DUMMYFUNCTION("""COMPUTED_VALUE"""),"Business, Events, Marketing")</f>
        <v>Business, Events, Marketing</v>
      </c>
      <c r="S66" s="16" t="str">
        <f>IFERROR(__xludf.DUMMYFUNCTION("""COMPUTED_VALUE"""),"Carpe Data")</f>
        <v>Carpe Data</v>
      </c>
      <c r="T66" s="16" t="str">
        <f>IFERROR(__xludf.DUMMYFUNCTION("""COMPUTED_VALUE"""),"Current Partner")</f>
        <v>Current Partner</v>
      </c>
      <c r="U66" s="16" t="b">
        <f>IFERROR(__xludf.DUMMYFUNCTION("""COMPUTED_VALUE"""),FALSE)</f>
        <v>0</v>
      </c>
      <c r="V66" s="16"/>
      <c r="W66" s="16"/>
      <c r="X66" s="16"/>
    </row>
    <row r="67">
      <c r="A67" s="16" t="str">
        <f>IFERROR(__xludf.DUMMYFUNCTION("""COMPUTED_VALUE"""),"Charles")</f>
        <v>Charles</v>
      </c>
      <c r="B67" s="16" t="str">
        <f>IFERROR(__xludf.DUMMYFUNCTION("""COMPUTED_VALUE"""),"Kirker")</f>
        <v>Kirker</v>
      </c>
      <c r="C67" s="16"/>
      <c r="D67" s="16" t="str">
        <f>IFERROR(__xludf.DUMMYFUNCTION("""COMPUTED_VALUE"""),"Caseglide")</f>
        <v>Caseglide</v>
      </c>
      <c r="E67" s="16" t="str">
        <f>IFERROR(__xludf.DUMMYFUNCTION("""COMPUTED_VALUE"""),"Growth")</f>
        <v>Growth</v>
      </c>
      <c r="F67" s="16" t="str">
        <f>IFERROR(__xludf.DUMMYFUNCTION("""COMPUTED_VALUE"""),"ckirker@caseglide.com")</f>
        <v>ckirker@caseglide.com</v>
      </c>
      <c r="G67" s="16" t="str">
        <f>IFERROR(__xludf.DUMMYFUNCTION("""COMPUTED_VALUE"""),"Shannon Spies")</f>
        <v>Shannon Spies</v>
      </c>
      <c r="H67" s="16" t="str">
        <f>IFERROR(__xludf.DUMMYFUNCTION("""COMPUTED_VALUE"""),"PartnerConnect - Technology")</f>
        <v>PartnerConnect - Technology</v>
      </c>
      <c r="I67" s="16" t="str">
        <f>IFERROR(__xludf.DUMMYFUNCTION("""COMPUTED_VALUE"""),"333 3rd Ave. 
")</f>
        <v>333 3rd Ave. 
</v>
      </c>
      <c r="J67" s="16" t="str">
        <f>IFERROR(__xludf.DUMMYFUNCTION("""COMPUTED_VALUE"""),"N. 300F")</f>
        <v>N. 300F</v>
      </c>
      <c r="K67" s="16" t="str">
        <f>IFERROR(__xludf.DUMMYFUNCTION("""COMPUTED_VALUE"""),"St Petersburg")</f>
        <v>St Petersburg</v>
      </c>
      <c r="L67" s="16" t="str">
        <f>IFERROR(__xludf.DUMMYFUNCTION("""COMPUTED_VALUE"""),"Florida")</f>
        <v>Florida</v>
      </c>
      <c r="M67" s="16">
        <f>IFERROR(__xludf.DUMMYFUNCTION("""COMPUTED_VALUE"""),33701.0)</f>
        <v>33701</v>
      </c>
      <c r="N67" s="16" t="str">
        <f>IFERROR(__xludf.DUMMYFUNCTION("""COMPUTED_VALUE"""),"United States")</f>
        <v>United States</v>
      </c>
      <c r="O67" s="16" t="str">
        <f>IFERROR(__xludf.DUMMYFUNCTION("""COMPUTED_VALUE"""),"Medium")</f>
        <v>Medium</v>
      </c>
      <c r="P67" s="16" t="b">
        <f>IFERROR(__xludf.DUMMYFUNCTION("""COMPUTED_VALUE"""),TRUE)</f>
        <v>1</v>
      </c>
      <c r="Q67" s="16" t="b">
        <f>IFERROR(__xludf.DUMMYFUNCTION("""COMPUTED_VALUE"""),FALSE)</f>
        <v>0</v>
      </c>
      <c r="R67" s="16" t="str">
        <f>IFERROR(__xludf.DUMMYFUNCTION("""COMPUTED_VALUE"""),"Support, Technical")</f>
        <v>Support, Technical</v>
      </c>
      <c r="S67" s="16" t="str">
        <f>IFERROR(__xludf.DUMMYFUNCTION("""COMPUTED_VALUE"""),"CaseGlide")</f>
        <v>CaseGlide</v>
      </c>
      <c r="T67" s="16" t="str">
        <f>IFERROR(__xludf.DUMMYFUNCTION("""COMPUTED_VALUE"""),"Current Partner")</f>
        <v>Current Partner</v>
      </c>
      <c r="U67" s="16" t="b">
        <f>IFERROR(__xludf.DUMMYFUNCTION("""COMPUTED_VALUE"""),FALSE)</f>
        <v>0</v>
      </c>
      <c r="V67" s="16"/>
      <c r="W67" s="16"/>
      <c r="X67" s="16"/>
    </row>
    <row r="68">
      <c r="A68" s="16" t="str">
        <f>IFERROR(__xludf.DUMMYFUNCTION("""COMPUTED_VALUE"""),"Liana")</f>
        <v>Liana</v>
      </c>
      <c r="B68" s="16" t="str">
        <f>IFERROR(__xludf.DUMMYFUNCTION("""COMPUTED_VALUE"""),"Rodriguez")</f>
        <v>Rodriguez</v>
      </c>
      <c r="C68" s="16" t="str">
        <f>IFERROR(__xludf.DUMMYFUNCTION("""COMPUTED_VALUE"""),"Client Services")</f>
        <v>Client Services</v>
      </c>
      <c r="D68" s="16" t="str">
        <f>IFERROR(__xludf.DUMMYFUNCTION("""COMPUTED_VALUE"""),"Caseglide")</f>
        <v>Caseglide</v>
      </c>
      <c r="E68" s="16" t="str">
        <f>IFERROR(__xludf.DUMMYFUNCTION("""COMPUTED_VALUE"""),"Growth")</f>
        <v>Growth</v>
      </c>
      <c r="F68" s="16" t="str">
        <f>IFERROR(__xludf.DUMMYFUNCTION("""COMPUTED_VALUE"""),"lrodriguez@caseglide.com")</f>
        <v>lrodriguez@caseglide.com</v>
      </c>
      <c r="G68" s="16" t="str">
        <f>IFERROR(__xludf.DUMMYFUNCTION("""COMPUTED_VALUE"""),"Shannon Spies")</f>
        <v>Shannon Spies</v>
      </c>
      <c r="H68" s="16" t="str">
        <f>IFERROR(__xludf.DUMMYFUNCTION("""COMPUTED_VALUE"""),"PartnerConnect - Technology")</f>
        <v>PartnerConnect - Technology</v>
      </c>
      <c r="I68" s="16" t="str">
        <f>IFERROR(__xludf.DUMMYFUNCTION("""COMPUTED_VALUE"""),"333 3rd Ave. 
")</f>
        <v>333 3rd Ave. 
</v>
      </c>
      <c r="J68" s="16" t="str">
        <f>IFERROR(__xludf.DUMMYFUNCTION("""COMPUTED_VALUE"""),"N. 300F")</f>
        <v>N. 300F</v>
      </c>
      <c r="K68" s="16" t="str">
        <f>IFERROR(__xludf.DUMMYFUNCTION("""COMPUTED_VALUE"""),"St Petersburg")</f>
        <v>St Petersburg</v>
      </c>
      <c r="L68" s="16" t="str">
        <f>IFERROR(__xludf.DUMMYFUNCTION("""COMPUTED_VALUE"""),"Florida")</f>
        <v>Florida</v>
      </c>
      <c r="M68" s="16">
        <f>IFERROR(__xludf.DUMMYFUNCTION("""COMPUTED_VALUE"""),33701.0)</f>
        <v>33701</v>
      </c>
      <c r="N68" s="16" t="str">
        <f>IFERROR(__xludf.DUMMYFUNCTION("""COMPUTED_VALUE"""),"United States")</f>
        <v>United States</v>
      </c>
      <c r="O68" s="16" t="str">
        <f>IFERROR(__xludf.DUMMYFUNCTION("""COMPUTED_VALUE"""),"Medium")</f>
        <v>Medium</v>
      </c>
      <c r="P68" s="16" t="b">
        <f>IFERROR(__xludf.DUMMYFUNCTION("""COMPUTED_VALUE"""),TRUE)</f>
        <v>1</v>
      </c>
      <c r="Q68" s="16" t="b">
        <f>IFERROR(__xludf.DUMMYFUNCTION("""COMPUTED_VALUE"""),FALSE)</f>
        <v>0</v>
      </c>
      <c r="R68" s="16" t="str">
        <f>IFERROR(__xludf.DUMMYFUNCTION("""COMPUTED_VALUE"""),"Admin, Business, Events, Legal / Contracts, Marketing, Support, Technical, Training, Main Billing Contact, Billing Contact  LMS Training Fees, NPE User, Sales Solution Architect, Delivery Lead / BA, Client Partner / Partner Account Executive, Developer")</f>
        <v>Admin, Business, Events, Legal / Contracts, Marketing, Support, Technical, Training, Main Billing Contact, Billing Contact  LMS Training Fees, NPE User, Sales Solution Architect, Delivery Lead / BA, Client Partner / Partner Account Executive, Developer</v>
      </c>
      <c r="S68" s="16" t="str">
        <f>IFERROR(__xludf.DUMMYFUNCTION("""COMPUTED_VALUE"""),"CaseGlide")</f>
        <v>CaseGlide</v>
      </c>
      <c r="T68" s="16" t="str">
        <f>IFERROR(__xludf.DUMMYFUNCTION("""COMPUTED_VALUE"""),"Current Partner")</f>
        <v>Current Partner</v>
      </c>
      <c r="U68" s="16" t="b">
        <f>IFERROR(__xludf.DUMMYFUNCTION("""COMPUTED_VALUE"""),TRUE)</f>
        <v>1</v>
      </c>
      <c r="V68" s="16"/>
      <c r="W68" s="16"/>
      <c r="X68" s="16"/>
    </row>
    <row r="69">
      <c r="A69" s="16" t="str">
        <f>IFERROR(__xludf.DUMMYFUNCTION("""COMPUTED_VALUE"""),"Manjaree")</f>
        <v>Manjaree</v>
      </c>
      <c r="B69" s="16" t="str">
        <f>IFERROR(__xludf.DUMMYFUNCTION("""COMPUTED_VALUE"""),"Harwood")</f>
        <v>Harwood</v>
      </c>
      <c r="C69" s="16" t="str">
        <f>IFERROR(__xludf.DUMMYFUNCTION("""COMPUTED_VALUE"""),"Senior Director, Ecosystems &amp; Alliances")</f>
        <v>Senior Director, Ecosystems &amp; Alliances</v>
      </c>
      <c r="D69" s="16" t="str">
        <f>IFERROR(__xludf.DUMMYFUNCTION("""COMPUTED_VALUE"""),"CCC Intelligent Solutions Inc")</f>
        <v>CCC Intelligent Solutions Inc</v>
      </c>
      <c r="E69" s="16" t="str">
        <f>IFERROR(__xludf.DUMMYFUNCTION("""COMPUTED_VALUE"""),"Growth")</f>
        <v>Growth</v>
      </c>
      <c r="F69" s="16" t="str">
        <f>IFERROR(__xludf.DUMMYFUNCTION("""COMPUTED_VALUE"""),"mharwood@cccis.com")</f>
        <v>mharwood@cccis.com</v>
      </c>
      <c r="G69" s="16" t="str">
        <f>IFERROR(__xludf.DUMMYFUNCTION("""COMPUTED_VALUE"""),"Kelly Clayton")</f>
        <v>Kelly Clayton</v>
      </c>
      <c r="H69" s="16" t="str">
        <f>IFERROR(__xludf.DUMMYFUNCTION("""COMPUTED_VALUE"""),"PartnerConnect - Technology")</f>
        <v>PartnerConnect - Technology</v>
      </c>
      <c r="I69" s="16" t="str">
        <f>IFERROR(__xludf.DUMMYFUNCTION("""COMPUTED_VALUE"""),"167 N. Green Street")</f>
        <v>167 N. Green Street</v>
      </c>
      <c r="J69" s="16"/>
      <c r="K69" s="16" t="str">
        <f>IFERROR(__xludf.DUMMYFUNCTION("""COMPUTED_VALUE"""),"Chicago")</f>
        <v>Chicago</v>
      </c>
      <c r="L69" s="16" t="str">
        <f>IFERROR(__xludf.DUMMYFUNCTION("""COMPUTED_VALUE"""),"Illinois")</f>
        <v>Illinois</v>
      </c>
      <c r="M69" s="16">
        <f>IFERROR(__xludf.DUMMYFUNCTION("""COMPUTED_VALUE"""),60607.0)</f>
        <v>60607</v>
      </c>
      <c r="N69" s="16" t="str">
        <f>IFERROR(__xludf.DUMMYFUNCTION("""COMPUTED_VALUE"""),"United States")</f>
        <v>United States</v>
      </c>
      <c r="O69" s="16" t="str">
        <f>IFERROR(__xludf.DUMMYFUNCTION("""COMPUTED_VALUE"""),"High")</f>
        <v>High</v>
      </c>
      <c r="P69" s="16" t="b">
        <f>IFERROR(__xludf.DUMMYFUNCTION("""COMPUTED_VALUE"""),TRUE)</f>
        <v>1</v>
      </c>
      <c r="Q69" s="16" t="b">
        <f>IFERROR(__xludf.DUMMYFUNCTION("""COMPUTED_VALUE"""),TRUE)</f>
        <v>1</v>
      </c>
      <c r="R69" s="16" t="str">
        <f>IFERROR(__xludf.DUMMYFUNCTION("""COMPUTED_VALUE"""),"Admin, Business, Events, Technical, Training, Client Partner / Partner Account Executive")</f>
        <v>Admin, Business, Events, Technical, Training, Client Partner / Partner Account Executive</v>
      </c>
      <c r="S69" s="16" t="str">
        <f>IFERROR(__xludf.DUMMYFUNCTION("""COMPUTED_VALUE"""),"CCC Intelligent Solutions")</f>
        <v>CCC Intelligent Solutions</v>
      </c>
      <c r="T69" s="16" t="str">
        <f>IFERROR(__xludf.DUMMYFUNCTION("""COMPUTED_VALUE"""),"Current Partner")</f>
        <v>Current Partner</v>
      </c>
      <c r="U69" s="16" t="b">
        <f>IFERROR(__xludf.DUMMYFUNCTION("""COMPUTED_VALUE"""),FALSE)</f>
        <v>0</v>
      </c>
      <c r="V69" s="16"/>
      <c r="W69" s="16"/>
      <c r="X69" s="16"/>
    </row>
    <row r="70">
      <c r="A70" s="16" t="str">
        <f>IFERROR(__xludf.DUMMYFUNCTION("""COMPUTED_VALUE"""),"Ann")</f>
        <v>Ann</v>
      </c>
      <c r="B70" s="16" t="str">
        <f>IFERROR(__xludf.DUMMYFUNCTION("""COMPUTED_VALUE"""),"Groothuis")</f>
        <v>Groothuis</v>
      </c>
      <c r="C70" s="16" t="str">
        <f>IFERROR(__xludf.DUMMYFUNCTION("""COMPUTED_VALUE"""),"Associate Director, Marketing")</f>
        <v>Associate Director, Marketing</v>
      </c>
      <c r="D70" s="16" t="str">
        <f>IFERROR(__xludf.DUMMYFUNCTION("""COMPUTED_VALUE"""),"CCC Intelligent Solutions Inc")</f>
        <v>CCC Intelligent Solutions Inc</v>
      </c>
      <c r="E70" s="16" t="str">
        <f>IFERROR(__xludf.DUMMYFUNCTION("""COMPUTED_VALUE"""),"Growth")</f>
        <v>Growth</v>
      </c>
      <c r="F70" s="16" t="str">
        <f>IFERROR(__xludf.DUMMYFUNCTION("""COMPUTED_VALUE"""),"agroothuis@cccis.com")</f>
        <v>agroothuis@cccis.com</v>
      </c>
      <c r="G70" s="16" t="str">
        <f>IFERROR(__xludf.DUMMYFUNCTION("""COMPUTED_VALUE"""),"Kelly Clayton")</f>
        <v>Kelly Clayton</v>
      </c>
      <c r="H70" s="16" t="str">
        <f>IFERROR(__xludf.DUMMYFUNCTION("""COMPUTED_VALUE"""),"PartnerConnect - Technology")</f>
        <v>PartnerConnect - Technology</v>
      </c>
      <c r="I70" s="16" t="str">
        <f>IFERROR(__xludf.DUMMYFUNCTION("""COMPUTED_VALUE"""),"167 N. Green Street")</f>
        <v>167 N. Green Street</v>
      </c>
      <c r="J70" s="16"/>
      <c r="K70" s="16" t="str">
        <f>IFERROR(__xludf.DUMMYFUNCTION("""COMPUTED_VALUE"""),"Chicago")</f>
        <v>Chicago</v>
      </c>
      <c r="L70" s="16" t="str">
        <f>IFERROR(__xludf.DUMMYFUNCTION("""COMPUTED_VALUE"""),"Illinois")</f>
        <v>Illinois</v>
      </c>
      <c r="M70" s="16">
        <f>IFERROR(__xludf.DUMMYFUNCTION("""COMPUTED_VALUE"""),60607.0)</f>
        <v>60607</v>
      </c>
      <c r="N70" s="16" t="str">
        <f>IFERROR(__xludf.DUMMYFUNCTION("""COMPUTED_VALUE"""),"United States")</f>
        <v>United States</v>
      </c>
      <c r="O70" s="16" t="str">
        <f>IFERROR(__xludf.DUMMYFUNCTION("""COMPUTED_VALUE"""),"High")</f>
        <v>High</v>
      </c>
      <c r="P70" s="16" t="b">
        <f>IFERROR(__xludf.DUMMYFUNCTION("""COMPUTED_VALUE"""),FALSE)</f>
        <v>0</v>
      </c>
      <c r="Q70" s="16" t="b">
        <f>IFERROR(__xludf.DUMMYFUNCTION("""COMPUTED_VALUE"""),TRUE)</f>
        <v>1</v>
      </c>
      <c r="R70" s="16" t="str">
        <f>IFERROR(__xludf.DUMMYFUNCTION("""COMPUTED_VALUE"""),"Events, Marketing")</f>
        <v>Events, Marketing</v>
      </c>
      <c r="S70" s="16" t="str">
        <f>IFERROR(__xludf.DUMMYFUNCTION("""COMPUTED_VALUE"""),"CCC Intelligent Solutions")</f>
        <v>CCC Intelligent Solutions</v>
      </c>
      <c r="T70" s="16" t="str">
        <f>IFERROR(__xludf.DUMMYFUNCTION("""COMPUTED_VALUE"""),"Current Partner")</f>
        <v>Current Partner</v>
      </c>
      <c r="U70" s="16" t="b">
        <f>IFERROR(__xludf.DUMMYFUNCTION("""COMPUTED_VALUE"""),FALSE)</f>
        <v>0</v>
      </c>
      <c r="V70" s="16"/>
      <c r="W70" s="16"/>
      <c r="X70" s="16"/>
    </row>
    <row r="71">
      <c r="A71" s="16" t="str">
        <f>IFERROR(__xludf.DUMMYFUNCTION("""COMPUTED_VALUE"""),"Jessy")</f>
        <v>Jessy</v>
      </c>
      <c r="B71" s="16" t="str">
        <f>IFERROR(__xludf.DUMMYFUNCTION("""COMPUTED_VALUE"""),"Risley")</f>
        <v>Risley</v>
      </c>
      <c r="C71" s="16"/>
      <c r="D71" s="16" t="str">
        <f>IFERROR(__xludf.DUMMYFUNCTION("""COMPUTED_VALUE"""),"CCC Intelligent Solutions Inc")</f>
        <v>CCC Intelligent Solutions Inc</v>
      </c>
      <c r="E71" s="16" t="str">
        <f>IFERROR(__xludf.DUMMYFUNCTION("""COMPUTED_VALUE"""),"Growth")</f>
        <v>Growth</v>
      </c>
      <c r="F71" s="16" t="str">
        <f>IFERROR(__xludf.DUMMYFUNCTION("""COMPUTED_VALUE"""),"jrisley@cccis.com")</f>
        <v>jrisley@cccis.com</v>
      </c>
      <c r="G71" s="16" t="str">
        <f>IFERROR(__xludf.DUMMYFUNCTION("""COMPUTED_VALUE"""),"Kelly Clayton")</f>
        <v>Kelly Clayton</v>
      </c>
      <c r="H71" s="16" t="str">
        <f>IFERROR(__xludf.DUMMYFUNCTION("""COMPUTED_VALUE"""),"PartnerConnect - Technology")</f>
        <v>PartnerConnect - Technology</v>
      </c>
      <c r="I71" s="16" t="str">
        <f>IFERROR(__xludf.DUMMYFUNCTION("""COMPUTED_VALUE"""),"167 N. Green Street, 9th Floor")</f>
        <v>167 N. Green Street, 9th Floor</v>
      </c>
      <c r="J71" s="16"/>
      <c r="K71" s="16" t="str">
        <f>IFERROR(__xludf.DUMMYFUNCTION("""COMPUTED_VALUE"""),"Chicago")</f>
        <v>Chicago</v>
      </c>
      <c r="L71" s="16" t="str">
        <f>IFERROR(__xludf.DUMMYFUNCTION("""COMPUTED_VALUE"""),"Illinois")</f>
        <v>Illinois</v>
      </c>
      <c r="M71" s="16">
        <f>IFERROR(__xludf.DUMMYFUNCTION("""COMPUTED_VALUE"""),60607.0)</f>
        <v>60607</v>
      </c>
      <c r="N71" s="16" t="str">
        <f>IFERROR(__xludf.DUMMYFUNCTION("""COMPUTED_VALUE"""),"United States")</f>
        <v>United States</v>
      </c>
      <c r="O71" s="16" t="str">
        <f>IFERROR(__xludf.DUMMYFUNCTION("""COMPUTED_VALUE"""),"High")</f>
        <v>High</v>
      </c>
      <c r="P71" s="16" t="b">
        <f>IFERROR(__xludf.DUMMYFUNCTION("""COMPUTED_VALUE"""),FALSE)</f>
        <v>0</v>
      </c>
      <c r="Q71" s="16" t="b">
        <f>IFERROR(__xludf.DUMMYFUNCTION("""COMPUTED_VALUE"""),TRUE)</f>
        <v>1</v>
      </c>
      <c r="R71" s="16" t="str">
        <f>IFERROR(__xludf.DUMMYFUNCTION("""COMPUTED_VALUE"""),"Events, Marketing")</f>
        <v>Events, Marketing</v>
      </c>
      <c r="S71" s="16" t="str">
        <f>IFERROR(__xludf.DUMMYFUNCTION("""COMPUTED_VALUE"""),"CCC Intelligent Solutions")</f>
        <v>CCC Intelligent Solutions</v>
      </c>
      <c r="T71" s="16" t="str">
        <f>IFERROR(__xludf.DUMMYFUNCTION("""COMPUTED_VALUE"""),"Current Partner")</f>
        <v>Current Partner</v>
      </c>
      <c r="U71" s="16" t="b">
        <f>IFERROR(__xludf.DUMMYFUNCTION("""COMPUTED_VALUE"""),FALSE)</f>
        <v>0</v>
      </c>
      <c r="V71" s="16"/>
      <c r="W71" s="16"/>
      <c r="X71" s="16"/>
    </row>
    <row r="72">
      <c r="A72" s="16" t="str">
        <f>IFERROR(__xludf.DUMMYFUNCTION("""COMPUTED_VALUE"""),"Damon")</f>
        <v>Damon</v>
      </c>
      <c r="B72" s="16" t="str">
        <f>IFERROR(__xludf.DUMMYFUNCTION("""COMPUTED_VALUE"""),"Stafford")</f>
        <v>Stafford</v>
      </c>
      <c r="C72" s="16" t="str">
        <f>IFERROR(__xludf.DUMMYFUNCTION("""COMPUTED_VALUE"""),"CEO")</f>
        <v>CEO</v>
      </c>
      <c r="D72" s="16" t="str">
        <f>IFERROR(__xludf.DUMMYFUNCTION("""COMPUTED_VALUE"""),"CCG IQ")</f>
        <v>CCG IQ</v>
      </c>
      <c r="E72" s="16" t="str">
        <f>IFERROR(__xludf.DUMMYFUNCTION("""COMPUTED_VALUE"""),"Growth")</f>
        <v>Growth</v>
      </c>
      <c r="F72" s="16" t="str">
        <f>IFERROR(__xludf.DUMMYFUNCTION("""COMPUTED_VALUE"""),"dstafford@ccgiq.com")</f>
        <v>dstafford@ccgiq.com</v>
      </c>
      <c r="G72" s="16" t="str">
        <f>IFERROR(__xludf.DUMMYFUNCTION("""COMPUTED_VALUE"""),"Aaron Shaw")</f>
        <v>Aaron Shaw</v>
      </c>
      <c r="H72" s="16" t="str">
        <f>IFERROR(__xludf.DUMMYFUNCTION("""COMPUTED_VALUE"""),"PartnerConnect - Technology")</f>
        <v>PartnerConnect - Technology</v>
      </c>
      <c r="I72" s="16" t="str">
        <f>IFERROR(__xludf.DUMMYFUNCTION("""COMPUTED_VALUE"""),"101 S. Tryon Street
")</f>
        <v>101 S. Tryon Street
</v>
      </c>
      <c r="J72" s="16" t="str">
        <f>IFERROR(__xludf.DUMMYFUNCTION("""COMPUTED_VALUE"""),"Suite 3300")</f>
        <v>Suite 3300</v>
      </c>
      <c r="K72" s="16" t="str">
        <f>IFERROR(__xludf.DUMMYFUNCTION("""COMPUTED_VALUE"""),"Charlotte")</f>
        <v>Charlotte</v>
      </c>
      <c r="L72" s="16" t="str">
        <f>IFERROR(__xludf.DUMMYFUNCTION("""COMPUTED_VALUE"""),"NC")</f>
        <v>NC</v>
      </c>
      <c r="M72" s="16">
        <f>IFERROR(__xludf.DUMMYFUNCTION("""COMPUTED_VALUE"""),28280.0)</f>
        <v>28280</v>
      </c>
      <c r="N72" s="16" t="str">
        <f>IFERROR(__xludf.DUMMYFUNCTION("""COMPUTED_VALUE"""),"United States")</f>
        <v>United States</v>
      </c>
      <c r="O72" s="16" t="str">
        <f>IFERROR(__xludf.DUMMYFUNCTION("""COMPUTED_VALUE"""),"Low")</f>
        <v>Low</v>
      </c>
      <c r="P72" s="16" t="b">
        <f>IFERROR(__xludf.DUMMYFUNCTION("""COMPUTED_VALUE"""),TRUE)</f>
        <v>1</v>
      </c>
      <c r="Q72" s="16" t="b">
        <f>IFERROR(__xludf.DUMMYFUNCTION("""COMPUTED_VALUE"""),FALSE)</f>
        <v>0</v>
      </c>
      <c r="R72" s="16" t="str">
        <f>IFERROR(__xludf.DUMMYFUNCTION("""COMPUTED_VALUE"""),"Admin, Admin, Business, Marketing")</f>
        <v>Admin, Admin, Business, Marketing</v>
      </c>
      <c r="S72" s="16" t="str">
        <f>IFERROR(__xludf.DUMMYFUNCTION("""COMPUTED_VALUE"""),"CCG IQ")</f>
        <v>CCG IQ</v>
      </c>
      <c r="T72" s="16" t="str">
        <f>IFERROR(__xludf.DUMMYFUNCTION("""COMPUTED_VALUE"""),"Current Partner")</f>
        <v>Current Partner</v>
      </c>
      <c r="U72" s="16" t="b">
        <f>IFERROR(__xludf.DUMMYFUNCTION("""COMPUTED_VALUE"""),FALSE)</f>
        <v>0</v>
      </c>
      <c r="V72" s="16"/>
      <c r="W72" s="16"/>
      <c r="X72" s="16"/>
    </row>
    <row r="73">
      <c r="A73" s="16" t="str">
        <f>IFERROR(__xludf.DUMMYFUNCTION("""COMPUTED_VALUE"""),"Katie")</f>
        <v>Katie</v>
      </c>
      <c r="B73" s="16" t="str">
        <f>IFERROR(__xludf.DUMMYFUNCTION("""COMPUTED_VALUE"""),"Roudabush")</f>
        <v>Roudabush</v>
      </c>
      <c r="C73" s="16" t="str">
        <f>IFERROR(__xludf.DUMMYFUNCTION("""COMPUTED_VALUE"""),"Chief Marketing Officer")</f>
        <v>Chief Marketing Officer</v>
      </c>
      <c r="D73" s="16" t="str">
        <f>IFERROR(__xludf.DUMMYFUNCTION("""COMPUTED_VALUE"""),"CCG IQ")</f>
        <v>CCG IQ</v>
      </c>
      <c r="E73" s="16" t="str">
        <f>IFERROR(__xludf.DUMMYFUNCTION("""COMPUTED_VALUE"""),"Growth")</f>
        <v>Growth</v>
      </c>
      <c r="F73" s="16" t="str">
        <f>IFERROR(__xludf.DUMMYFUNCTION("""COMPUTED_VALUE"""),"kroudabush@alpineintel.com")</f>
        <v>kroudabush@alpineintel.com</v>
      </c>
      <c r="G73" s="16" t="str">
        <f>IFERROR(__xludf.DUMMYFUNCTION("""COMPUTED_VALUE"""),"Aaron Shaw")</f>
        <v>Aaron Shaw</v>
      </c>
      <c r="H73" s="16" t="str">
        <f>IFERROR(__xludf.DUMMYFUNCTION("""COMPUTED_VALUE"""),"PartnerConnect - Technology")</f>
        <v>PartnerConnect - Technology</v>
      </c>
      <c r="I73" s="16" t="str">
        <f>IFERROR(__xludf.DUMMYFUNCTION("""COMPUTED_VALUE"""),"101 S. Tryon Street
")</f>
        <v>101 S. Tryon Street
</v>
      </c>
      <c r="J73" s="16" t="str">
        <f>IFERROR(__xludf.DUMMYFUNCTION("""COMPUTED_VALUE"""),"Suite 3300")</f>
        <v>Suite 3300</v>
      </c>
      <c r="K73" s="16" t="str">
        <f>IFERROR(__xludf.DUMMYFUNCTION("""COMPUTED_VALUE"""),"Charlotte")</f>
        <v>Charlotte</v>
      </c>
      <c r="L73" s="16" t="str">
        <f>IFERROR(__xludf.DUMMYFUNCTION("""COMPUTED_VALUE"""),"North Carolina")</f>
        <v>North Carolina</v>
      </c>
      <c r="M73" s="16">
        <f>IFERROR(__xludf.DUMMYFUNCTION("""COMPUTED_VALUE"""),28280.0)</f>
        <v>28280</v>
      </c>
      <c r="N73" s="16" t="str">
        <f>IFERROR(__xludf.DUMMYFUNCTION("""COMPUTED_VALUE"""),"United States")</f>
        <v>United States</v>
      </c>
      <c r="O73" s="16" t="str">
        <f>IFERROR(__xludf.DUMMYFUNCTION("""COMPUTED_VALUE"""),"Low")</f>
        <v>Low</v>
      </c>
      <c r="P73" s="16" t="b">
        <f>IFERROR(__xludf.DUMMYFUNCTION("""COMPUTED_VALUE"""),FALSE)</f>
        <v>0</v>
      </c>
      <c r="Q73" s="16" t="b">
        <f>IFERROR(__xludf.DUMMYFUNCTION("""COMPUTED_VALUE"""),TRUE)</f>
        <v>1</v>
      </c>
      <c r="R73" s="16" t="str">
        <f>IFERROR(__xludf.DUMMYFUNCTION("""COMPUTED_VALUE"""),"Events, Marketing")</f>
        <v>Events, Marketing</v>
      </c>
      <c r="S73" s="16" t="str">
        <f>IFERROR(__xludf.DUMMYFUNCTION("""COMPUTED_VALUE"""),"CCG IQ")</f>
        <v>CCG IQ</v>
      </c>
      <c r="T73" s="16" t="str">
        <f>IFERROR(__xludf.DUMMYFUNCTION("""COMPUTED_VALUE"""),"Current Partner")</f>
        <v>Current Partner</v>
      </c>
      <c r="U73" s="16" t="b">
        <f>IFERROR(__xludf.DUMMYFUNCTION("""COMPUTED_VALUE"""),FALSE)</f>
        <v>0</v>
      </c>
      <c r="V73" s="16"/>
      <c r="W73" s="16"/>
      <c r="X73" s="16"/>
    </row>
    <row r="74">
      <c r="A74" s="16" t="str">
        <f>IFERROR(__xludf.DUMMYFUNCTION("""COMPUTED_VALUE"""),"Ke")</f>
        <v>Ke</v>
      </c>
      <c r="B74" s="16" t="str">
        <f>IFERROR(__xludf.DUMMYFUNCTION("""COMPUTED_VALUE"""),"Zhang")</f>
        <v>Zhang</v>
      </c>
      <c r="C74" s="16"/>
      <c r="D74" s="16" t="str">
        <f>IFERROR(__xludf.DUMMYFUNCTION("""COMPUTED_VALUE"""),"Celonis, Inc.")</f>
        <v>Celonis, Inc.</v>
      </c>
      <c r="E74" s="16" t="str">
        <f>IFERROR(__xludf.DUMMYFUNCTION("""COMPUTED_VALUE"""),"Growth")</f>
        <v>Growth</v>
      </c>
      <c r="F74" s="16" t="str">
        <f>IFERROR(__xludf.DUMMYFUNCTION("""COMPUTED_VALUE"""),"k.zhang@celonis.de")</f>
        <v>k.zhang@celonis.de</v>
      </c>
      <c r="G74" s="16" t="str">
        <f>IFERROR(__xludf.DUMMYFUNCTION("""COMPUTED_VALUE"""),"Fatima Aoulagha-Bannou")</f>
        <v>Fatima Aoulagha-Bannou</v>
      </c>
      <c r="H74" s="16" t="str">
        <f>IFERROR(__xludf.DUMMYFUNCTION("""COMPUTED_VALUE"""),"PartnerConnect - Technology")</f>
        <v>PartnerConnect - Technology</v>
      </c>
      <c r="I74" s="16" t="str">
        <f>IFERROR(__xludf.DUMMYFUNCTION("""COMPUTED_VALUE"""),"1 World Trade Center, Floor 87")</f>
        <v>1 World Trade Center, Floor 87</v>
      </c>
      <c r="J74" s="16"/>
      <c r="K74" s="16" t="str">
        <f>IFERROR(__xludf.DUMMYFUNCTION("""COMPUTED_VALUE"""),"New York")</f>
        <v>New York</v>
      </c>
      <c r="L74" s="16" t="str">
        <f>IFERROR(__xludf.DUMMYFUNCTION("""COMPUTED_VALUE"""),"New York")</f>
        <v>New York</v>
      </c>
      <c r="M74" s="16">
        <f>IFERROR(__xludf.DUMMYFUNCTION("""COMPUTED_VALUE"""),10007.0)</f>
        <v>10007</v>
      </c>
      <c r="N74" s="16" t="str">
        <f>IFERROR(__xludf.DUMMYFUNCTION("""COMPUTED_VALUE"""),"United States")</f>
        <v>United States</v>
      </c>
      <c r="O74" s="16" t="str">
        <f>IFERROR(__xludf.DUMMYFUNCTION("""COMPUTED_VALUE"""),"Medium")</f>
        <v>Medium</v>
      </c>
      <c r="P74" s="16" t="b">
        <f>IFERROR(__xludf.DUMMYFUNCTION("""COMPUTED_VALUE"""),FALSE)</f>
        <v>0</v>
      </c>
      <c r="Q74" s="16" t="b">
        <f>IFERROR(__xludf.DUMMYFUNCTION("""COMPUTED_VALUE"""),TRUE)</f>
        <v>1</v>
      </c>
      <c r="R74" s="16" t="str">
        <f>IFERROR(__xludf.DUMMYFUNCTION("""COMPUTED_VALUE"""),"Admin")</f>
        <v>Admin</v>
      </c>
      <c r="S74" s="16" t="str">
        <f>IFERROR(__xludf.DUMMYFUNCTION("""COMPUTED_VALUE"""),"Celonis")</f>
        <v>Celonis</v>
      </c>
      <c r="T74" s="16" t="str">
        <f>IFERROR(__xludf.DUMMYFUNCTION("""COMPUTED_VALUE"""),"Current Partner")</f>
        <v>Current Partner</v>
      </c>
      <c r="U74" s="16" t="b">
        <f>IFERROR(__xludf.DUMMYFUNCTION("""COMPUTED_VALUE"""),FALSE)</f>
        <v>0</v>
      </c>
      <c r="V74" s="16"/>
      <c r="W74" s="16"/>
      <c r="X74" s="16"/>
    </row>
    <row r="75">
      <c r="A75" s="16" t="str">
        <f>IFERROR(__xludf.DUMMYFUNCTION("""COMPUTED_VALUE"""),"Vinay")</f>
        <v>Vinay</v>
      </c>
      <c r="B75" s="16" t="str">
        <f>IFERROR(__xludf.DUMMYFUNCTION("""COMPUTED_VALUE"""),"Murthy")</f>
        <v>Murthy</v>
      </c>
      <c r="C75" s="16"/>
      <c r="D75" s="16" t="str">
        <f>IFERROR(__xludf.DUMMYFUNCTION("""COMPUTED_VALUE"""),"Celonis, Inc.")</f>
        <v>Celonis, Inc.</v>
      </c>
      <c r="E75" s="16" t="str">
        <f>IFERROR(__xludf.DUMMYFUNCTION("""COMPUTED_VALUE"""),"Growth")</f>
        <v>Growth</v>
      </c>
      <c r="F75" s="16" t="str">
        <f>IFERROR(__xludf.DUMMYFUNCTION("""COMPUTED_VALUE"""),"v.murthy@celonis.com")</f>
        <v>v.murthy@celonis.com</v>
      </c>
      <c r="G75" s="16" t="str">
        <f>IFERROR(__xludf.DUMMYFUNCTION("""COMPUTED_VALUE"""),"Fatima Aoulagha-Bannou")</f>
        <v>Fatima Aoulagha-Bannou</v>
      </c>
      <c r="H75" s="16" t="str">
        <f>IFERROR(__xludf.DUMMYFUNCTION("""COMPUTED_VALUE"""),"PartnerConnect - Technology")</f>
        <v>PartnerConnect - Technology</v>
      </c>
      <c r="I75" s="16" t="str">
        <f>IFERROR(__xludf.DUMMYFUNCTION("""COMPUTED_VALUE"""),"1 World Trade Center, Floor 87")</f>
        <v>1 World Trade Center, Floor 87</v>
      </c>
      <c r="J75" s="16"/>
      <c r="K75" s="16" t="str">
        <f>IFERROR(__xludf.DUMMYFUNCTION("""COMPUTED_VALUE"""),"New York")</f>
        <v>New York</v>
      </c>
      <c r="L75" s="16" t="str">
        <f>IFERROR(__xludf.DUMMYFUNCTION("""COMPUTED_VALUE"""),"New York")</f>
        <v>New York</v>
      </c>
      <c r="M75" s="16">
        <f>IFERROR(__xludf.DUMMYFUNCTION("""COMPUTED_VALUE"""),10007.0)</f>
        <v>10007</v>
      </c>
      <c r="N75" s="16" t="str">
        <f>IFERROR(__xludf.DUMMYFUNCTION("""COMPUTED_VALUE"""),"United States")</f>
        <v>United States</v>
      </c>
      <c r="O75" s="16" t="str">
        <f>IFERROR(__xludf.DUMMYFUNCTION("""COMPUTED_VALUE"""),"Medium")</f>
        <v>Medium</v>
      </c>
      <c r="P75" s="16" t="b">
        <f>IFERROR(__xludf.DUMMYFUNCTION("""COMPUTED_VALUE"""),TRUE)</f>
        <v>1</v>
      </c>
      <c r="Q75" s="16" t="b">
        <f>IFERROR(__xludf.DUMMYFUNCTION("""COMPUTED_VALUE"""),TRUE)</f>
        <v>1</v>
      </c>
      <c r="R75" s="16" t="str">
        <f>IFERROR(__xludf.DUMMYFUNCTION("""COMPUTED_VALUE"""),"Admin")</f>
        <v>Admin</v>
      </c>
      <c r="S75" s="16" t="str">
        <f>IFERROR(__xludf.DUMMYFUNCTION("""COMPUTED_VALUE"""),"Celonis")</f>
        <v>Celonis</v>
      </c>
      <c r="T75" s="16" t="str">
        <f>IFERROR(__xludf.DUMMYFUNCTION("""COMPUTED_VALUE"""),"Current Partner")</f>
        <v>Current Partner</v>
      </c>
      <c r="U75" s="16" t="b">
        <f>IFERROR(__xludf.DUMMYFUNCTION("""COMPUTED_VALUE"""),FALSE)</f>
        <v>0</v>
      </c>
      <c r="V75" s="16"/>
      <c r="W75" s="16"/>
      <c r="X75" s="16"/>
    </row>
    <row r="76">
      <c r="A76" s="16" t="str">
        <f>IFERROR(__xludf.DUMMYFUNCTION("""COMPUTED_VALUE"""),"Nia")</f>
        <v>Nia</v>
      </c>
      <c r="B76" s="16" t="str">
        <f>IFERROR(__xludf.DUMMYFUNCTION("""COMPUTED_VALUE"""),"Spence")</f>
        <v>Spence</v>
      </c>
      <c r="C76" s="16" t="str">
        <f>IFERROR(__xludf.DUMMYFUNCTION("""COMPUTED_VALUE"""),"Field Marketing Intern")</f>
        <v>Field Marketing Intern</v>
      </c>
      <c r="D76" s="16" t="str">
        <f>IFERROR(__xludf.DUMMYFUNCTION("""COMPUTED_VALUE"""),"Celonis, Inc.")</f>
        <v>Celonis, Inc.</v>
      </c>
      <c r="E76" s="16" t="str">
        <f>IFERROR(__xludf.DUMMYFUNCTION("""COMPUTED_VALUE"""),"Growth")</f>
        <v>Growth</v>
      </c>
      <c r="F76" s="16" t="str">
        <f>IFERROR(__xludf.DUMMYFUNCTION("""COMPUTED_VALUE"""),"n.spence@celonis.com")</f>
        <v>n.spence@celonis.com</v>
      </c>
      <c r="G76" s="16" t="str">
        <f>IFERROR(__xludf.DUMMYFUNCTION("""COMPUTED_VALUE"""),"Fatima Aoulagha-Bannou")</f>
        <v>Fatima Aoulagha-Bannou</v>
      </c>
      <c r="H76" s="16" t="str">
        <f>IFERROR(__xludf.DUMMYFUNCTION("""COMPUTED_VALUE"""),"PartnerConnect - Technology")</f>
        <v>PartnerConnect - Technology</v>
      </c>
      <c r="I76" s="16" t="str">
        <f>IFERROR(__xludf.DUMMYFUNCTION("""COMPUTED_VALUE"""),"1 World Trade Center, Floor 87")</f>
        <v>1 World Trade Center, Floor 87</v>
      </c>
      <c r="J76" s="16"/>
      <c r="K76" s="16" t="str">
        <f>IFERROR(__xludf.DUMMYFUNCTION("""COMPUTED_VALUE"""),"New York")</f>
        <v>New York</v>
      </c>
      <c r="L76" s="16" t="str">
        <f>IFERROR(__xludf.DUMMYFUNCTION("""COMPUTED_VALUE"""),"New York")</f>
        <v>New York</v>
      </c>
      <c r="M76" s="16">
        <f>IFERROR(__xludf.DUMMYFUNCTION("""COMPUTED_VALUE"""),10007.0)</f>
        <v>10007</v>
      </c>
      <c r="N76" s="16" t="str">
        <f>IFERROR(__xludf.DUMMYFUNCTION("""COMPUTED_VALUE"""),"United States")</f>
        <v>United States</v>
      </c>
      <c r="O76" s="16" t="str">
        <f>IFERROR(__xludf.DUMMYFUNCTION("""COMPUTED_VALUE"""),"Medium")</f>
        <v>Medium</v>
      </c>
      <c r="P76" s="16" t="b">
        <f>IFERROR(__xludf.DUMMYFUNCTION("""COMPUTED_VALUE"""),FALSE)</f>
        <v>0</v>
      </c>
      <c r="Q76" s="16" t="b">
        <f>IFERROR(__xludf.DUMMYFUNCTION("""COMPUTED_VALUE"""),TRUE)</f>
        <v>1</v>
      </c>
      <c r="R76" s="16" t="str">
        <f>IFERROR(__xludf.DUMMYFUNCTION("""COMPUTED_VALUE"""),"Events, Marketing")</f>
        <v>Events, Marketing</v>
      </c>
      <c r="S76" s="16" t="str">
        <f>IFERROR(__xludf.DUMMYFUNCTION("""COMPUTED_VALUE"""),"Celonis")</f>
        <v>Celonis</v>
      </c>
      <c r="T76" s="16" t="str">
        <f>IFERROR(__xludf.DUMMYFUNCTION("""COMPUTED_VALUE"""),"Current Partner")</f>
        <v>Current Partner</v>
      </c>
      <c r="U76" s="16" t="b">
        <f>IFERROR(__xludf.DUMMYFUNCTION("""COMPUTED_VALUE"""),FALSE)</f>
        <v>0</v>
      </c>
      <c r="V76" s="16"/>
      <c r="W76" s="16"/>
      <c r="X76" s="16"/>
    </row>
    <row r="77">
      <c r="A77" s="16" t="str">
        <f>IFERROR(__xludf.DUMMYFUNCTION("""COMPUTED_VALUE"""),"Malcolm")</f>
        <v>Malcolm</v>
      </c>
      <c r="B77" s="16" t="str">
        <f>IFERROR(__xludf.DUMMYFUNCTION("""COMPUTED_VALUE"""),"Stagg")</f>
        <v>Stagg</v>
      </c>
      <c r="C77" s="16"/>
      <c r="D77" s="16" t="str">
        <f>IFERROR(__xludf.DUMMYFUNCTION("""COMPUTED_VALUE"""),"Cenata")</f>
        <v>Cenata</v>
      </c>
      <c r="E77" s="16" t="str">
        <f>IFERROR(__xludf.DUMMYFUNCTION("""COMPUTED_VALUE"""),"Growth")</f>
        <v>Growth</v>
      </c>
      <c r="F77" s="16" t="str">
        <f>IFERROR(__xludf.DUMMYFUNCTION("""COMPUTED_VALUE"""),"malcolm.stagg@cenata.co.uk")</f>
        <v>malcolm.stagg@cenata.co.uk</v>
      </c>
      <c r="G77" s="16" t="str">
        <f>IFERROR(__xludf.DUMMYFUNCTION("""COMPUTED_VALUE"""),"Fatima Aoulagha-Bannou")</f>
        <v>Fatima Aoulagha-Bannou</v>
      </c>
      <c r="H77" s="16" t="str">
        <f>IFERROR(__xludf.DUMMYFUNCTION("""COMPUTED_VALUE"""),"PartnerConnect - Technology")</f>
        <v>PartnerConnect - Technology</v>
      </c>
      <c r="I77" s="16" t="str">
        <f>IFERROR(__xludf.DUMMYFUNCTION("""COMPUTED_VALUE"""),"5 Prospect Place, Millennium Way")</f>
        <v>5 Prospect Place, Millennium Way</v>
      </c>
      <c r="J77" s="16"/>
      <c r="K77" s="16" t="str">
        <f>IFERROR(__xludf.DUMMYFUNCTION("""COMPUTED_VALUE"""),"Derby")</f>
        <v>Derby</v>
      </c>
      <c r="L77" s="16"/>
      <c r="M77" s="16" t="str">
        <f>IFERROR(__xludf.DUMMYFUNCTION("""COMPUTED_VALUE"""),"DE24 8HG")</f>
        <v>DE24 8HG</v>
      </c>
      <c r="N77" s="16" t="str">
        <f>IFERROR(__xludf.DUMMYFUNCTION("""COMPUTED_VALUE"""),"United Kingdom")</f>
        <v>United Kingdom</v>
      </c>
      <c r="O77" s="16" t="str">
        <f>IFERROR(__xludf.DUMMYFUNCTION("""COMPUTED_VALUE"""),"Medium")</f>
        <v>Medium</v>
      </c>
      <c r="P77" s="16" t="b">
        <f>IFERROR(__xludf.DUMMYFUNCTION("""COMPUTED_VALUE"""),TRUE)</f>
        <v>1</v>
      </c>
      <c r="Q77" s="16" t="b">
        <f>IFERROR(__xludf.DUMMYFUNCTION("""COMPUTED_VALUE"""),FALSE)</f>
        <v>0</v>
      </c>
      <c r="R77" s="16" t="str">
        <f>IFERROR(__xludf.DUMMYFUNCTION("""COMPUTED_VALUE"""),"Admin")</f>
        <v>Admin</v>
      </c>
      <c r="S77" s="16" t="str">
        <f>IFERROR(__xludf.DUMMYFUNCTION("""COMPUTED_VALUE"""),"Cenata")</f>
        <v>Cenata</v>
      </c>
      <c r="T77" s="16" t="str">
        <f>IFERROR(__xludf.DUMMYFUNCTION("""COMPUTED_VALUE"""),"Current Partner")</f>
        <v>Current Partner</v>
      </c>
      <c r="U77" s="16" t="b">
        <f>IFERROR(__xludf.DUMMYFUNCTION("""COMPUTED_VALUE"""),FALSE)</f>
        <v>0</v>
      </c>
      <c r="V77" s="16"/>
      <c r="W77" s="16"/>
      <c r="X77" s="16"/>
    </row>
    <row r="78">
      <c r="A78" s="16" t="str">
        <f>IFERROR(__xludf.DUMMYFUNCTION("""COMPUTED_VALUE"""),"Brian")</f>
        <v>Brian</v>
      </c>
      <c r="B78" s="16" t="str">
        <f>IFERROR(__xludf.DUMMYFUNCTION("""COMPUTED_VALUE"""),"Warkentin")</f>
        <v>Warkentin</v>
      </c>
      <c r="C78" s="16" t="str">
        <f>IFERROR(__xludf.DUMMYFUNCTION("""COMPUTED_VALUE"""),"Director, Solutions Architecture and Technology")</f>
        <v>Director, Solutions Architecture and Technology</v>
      </c>
      <c r="D78" s="16" t="str">
        <f>IFERROR(__xludf.DUMMYFUNCTION("""COMPUTED_VALUE"""),"Centre for Study of Insurance Operations")</f>
        <v>Centre for Study of Insurance Operations</v>
      </c>
      <c r="E78" s="16" t="str">
        <f>IFERROR(__xludf.DUMMYFUNCTION("""COMPUTED_VALUE"""),"Growth")</f>
        <v>Growth</v>
      </c>
      <c r="F78" s="16" t="str">
        <f>IFERROR(__xludf.DUMMYFUNCTION("""COMPUTED_VALUE"""),"bwarkentin@csio.com")</f>
        <v>bwarkentin@csio.com</v>
      </c>
      <c r="G78" s="16" t="str">
        <f>IFERROR(__xludf.DUMMYFUNCTION("""COMPUTED_VALUE"""),"Eric Apse")</f>
        <v>Eric Apse</v>
      </c>
      <c r="H78" s="16" t="str">
        <f>IFERROR(__xludf.DUMMYFUNCTION("""COMPUTED_VALUE"""),"PartnerConnect - Technology")</f>
        <v>PartnerConnect - Technology</v>
      </c>
      <c r="I78" s="16" t="str">
        <f>IFERROR(__xludf.DUMMYFUNCTION("""COMPUTED_VALUE"""),"110 Yonge St suite 500")</f>
        <v>110 Yonge St suite 500</v>
      </c>
      <c r="J78" s="16"/>
      <c r="K78" s="16" t="str">
        <f>IFERROR(__xludf.DUMMYFUNCTION("""COMPUTED_VALUE"""),"Toronto")</f>
        <v>Toronto</v>
      </c>
      <c r="L78" s="16" t="str">
        <f>IFERROR(__xludf.DUMMYFUNCTION("""COMPUTED_VALUE"""),"Ontario")</f>
        <v>Ontario</v>
      </c>
      <c r="M78" s="16" t="str">
        <f>IFERROR(__xludf.DUMMYFUNCTION("""COMPUTED_VALUE"""),"M5C 1T4")</f>
        <v>M5C 1T4</v>
      </c>
      <c r="N78" s="16" t="str">
        <f>IFERROR(__xludf.DUMMYFUNCTION("""COMPUTED_VALUE"""),"Canada")</f>
        <v>Canada</v>
      </c>
      <c r="O78" s="16" t="str">
        <f>IFERROR(__xludf.DUMMYFUNCTION("""COMPUTED_VALUE"""),"Medium")</f>
        <v>Medium</v>
      </c>
      <c r="P78" s="16" t="b">
        <f>IFERROR(__xludf.DUMMYFUNCTION("""COMPUTED_VALUE"""),TRUE)</f>
        <v>1</v>
      </c>
      <c r="Q78" s="16" t="b">
        <f>IFERROR(__xludf.DUMMYFUNCTION("""COMPUTED_VALUE"""),FALSE)</f>
        <v>0</v>
      </c>
      <c r="R78" s="16" t="str">
        <f>IFERROR(__xludf.DUMMYFUNCTION("""COMPUTED_VALUE"""),"Admin, Business, Technical")</f>
        <v>Admin, Business, Technical</v>
      </c>
      <c r="S78" s="16" t="str">
        <f>IFERROR(__xludf.DUMMYFUNCTION("""COMPUTED_VALUE"""),"CSIO")</f>
        <v>CSIO</v>
      </c>
      <c r="T78" s="16" t="str">
        <f>IFERROR(__xludf.DUMMYFUNCTION("""COMPUTED_VALUE"""),"Current Partner")</f>
        <v>Current Partner</v>
      </c>
      <c r="U78" s="16" t="b">
        <f>IFERROR(__xludf.DUMMYFUNCTION("""COMPUTED_VALUE"""),FALSE)</f>
        <v>0</v>
      </c>
      <c r="V78" s="16"/>
      <c r="W78" s="16"/>
      <c r="X78" s="16"/>
    </row>
    <row r="79">
      <c r="A79" s="16" t="str">
        <f>IFERROR(__xludf.DUMMYFUNCTION("""COMPUTED_VALUE"""),"Michael")</f>
        <v>Michael</v>
      </c>
      <c r="B79" s="16" t="str">
        <f>IFERROR(__xludf.DUMMYFUNCTION("""COMPUTED_VALUE"""),"Vaccarello")</f>
        <v>Vaccarello</v>
      </c>
      <c r="C79" s="16" t="str">
        <f>IFERROR(__xludf.DUMMYFUNCTION("""COMPUTED_VALUE"""),"CRO")</f>
        <v>CRO</v>
      </c>
      <c r="D79" s="27" t="str">
        <f>IFERROR(__xludf.DUMMYFUNCTION("""COMPUTED_VALUE"""),"Charlee.AI")</f>
        <v>Charlee.AI</v>
      </c>
      <c r="E79" s="16" t="str">
        <f>IFERROR(__xludf.DUMMYFUNCTION("""COMPUTED_VALUE"""),"Growth")</f>
        <v>Growth</v>
      </c>
      <c r="F79" s="16" t="str">
        <f>IFERROR(__xludf.DUMMYFUNCTION("""COMPUTED_VALUE"""),"mike@charlee.ai")</f>
        <v>mike@charlee.ai</v>
      </c>
      <c r="G79" s="16" t="str">
        <f>IFERROR(__xludf.DUMMYFUNCTION("""COMPUTED_VALUE"""),"Shannon Spies")</f>
        <v>Shannon Spies</v>
      </c>
      <c r="H79" s="16" t="str">
        <f>IFERROR(__xludf.DUMMYFUNCTION("""COMPUTED_VALUE"""),"PartnerConnect - Technology")</f>
        <v>PartnerConnect - Technology</v>
      </c>
      <c r="I79" s="16" t="str">
        <f>IFERROR(__xludf.DUMMYFUNCTION("""COMPUTED_VALUE"""),"4900 HOPYARD RD")</f>
        <v>4900 HOPYARD RD</v>
      </c>
      <c r="J79" s="16"/>
      <c r="K79" s="16" t="str">
        <f>IFERROR(__xludf.DUMMYFUNCTION("""COMPUTED_VALUE"""),"PLEASANTON")</f>
        <v>PLEASANTON</v>
      </c>
      <c r="L79" s="16" t="str">
        <f>IFERROR(__xludf.DUMMYFUNCTION("""COMPUTED_VALUE"""),"California")</f>
        <v>California</v>
      </c>
      <c r="M79" s="16" t="str">
        <f>IFERROR(__xludf.DUMMYFUNCTION("""COMPUTED_VALUE"""),"94588-7101")</f>
        <v>94588-7101</v>
      </c>
      <c r="N79" s="16" t="str">
        <f>IFERROR(__xludf.DUMMYFUNCTION("""COMPUTED_VALUE"""),"United States")</f>
        <v>United States</v>
      </c>
      <c r="O79" s="16" t="str">
        <f>IFERROR(__xludf.DUMMYFUNCTION("""COMPUTED_VALUE"""),"Medium")</f>
        <v>Medium</v>
      </c>
      <c r="P79" s="16" t="b">
        <f>IFERROR(__xludf.DUMMYFUNCTION("""COMPUTED_VALUE"""),TRUE)</f>
        <v>1</v>
      </c>
      <c r="Q79" s="16" t="b">
        <f>IFERROR(__xludf.DUMMYFUNCTION("""COMPUTED_VALUE"""),FALSE)</f>
        <v>0</v>
      </c>
      <c r="R79" s="16" t="str">
        <f>IFERROR(__xludf.DUMMYFUNCTION("""COMPUTED_VALUE"""),"Admin, Business, Events, Marketing, Technical, Main Billing Contact, Billing Contact  LMS Training Fees, NPE User")</f>
        <v>Admin, Business, Events, Marketing, Technical, Main Billing Contact, Billing Contact  LMS Training Fees, NPE User</v>
      </c>
      <c r="S79" s="16" t="str">
        <f>IFERROR(__xludf.DUMMYFUNCTION("""COMPUTED_VALUE"""),"CharleeAI")</f>
        <v>CharleeAI</v>
      </c>
      <c r="T79" s="16" t="str">
        <f>IFERROR(__xludf.DUMMYFUNCTION("""COMPUTED_VALUE"""),"Current Partner")</f>
        <v>Current Partner</v>
      </c>
      <c r="U79" s="16" t="b">
        <f>IFERROR(__xludf.DUMMYFUNCTION("""COMPUTED_VALUE"""),TRUE)</f>
        <v>1</v>
      </c>
      <c r="V79" s="16"/>
      <c r="W79" s="16"/>
      <c r="X79" s="16"/>
    </row>
    <row r="80">
      <c r="A80" s="16" t="str">
        <f>IFERROR(__xludf.DUMMYFUNCTION("""COMPUTED_VALUE"""),"Chin")</f>
        <v>Chin</v>
      </c>
      <c r="B80" s="16" t="str">
        <f>IFERROR(__xludf.DUMMYFUNCTION("""COMPUTED_VALUE"""),"Ma")</f>
        <v>Ma</v>
      </c>
      <c r="C80" s="16" t="str">
        <f>IFERROR(__xludf.DUMMYFUNCTION("""COMPUTED_VALUE"""),"President")</f>
        <v>President</v>
      </c>
      <c r="D80" s="16" t="str">
        <f>IFERROR(__xludf.DUMMYFUNCTION("""COMPUTED_VALUE"""),"Chrp Technologies Inc")</f>
        <v>Chrp Technologies Inc</v>
      </c>
      <c r="E80" s="16" t="str">
        <f>IFERROR(__xludf.DUMMYFUNCTION("""COMPUTED_VALUE"""),"Growth")</f>
        <v>Growth</v>
      </c>
      <c r="F80" s="16" t="str">
        <f>IFERROR(__xludf.DUMMYFUNCTION("""COMPUTED_VALUE"""),"cma@chrptech.com")</f>
        <v>cma@chrptech.com</v>
      </c>
      <c r="G80" s="16" t="str">
        <f>IFERROR(__xludf.DUMMYFUNCTION("""COMPUTED_VALUE"""),"Aaron Shaw")</f>
        <v>Aaron Shaw</v>
      </c>
      <c r="H80" s="16" t="str">
        <f>IFERROR(__xludf.DUMMYFUNCTION("""COMPUTED_VALUE"""),"PartnerConnect - Technology")</f>
        <v>PartnerConnect - Technology</v>
      </c>
      <c r="I80" s="16" t="str">
        <f>IFERROR(__xludf.DUMMYFUNCTION("""COMPUTED_VALUE"""),"570 Hayman Ct")</f>
        <v>570 Hayman Ct</v>
      </c>
      <c r="J80" s="16"/>
      <c r="K80" s="16" t="str">
        <f>IFERROR(__xludf.DUMMYFUNCTION("""COMPUTED_VALUE"""),"Orlando")</f>
        <v>Orlando</v>
      </c>
      <c r="L80" s="16" t="str">
        <f>IFERROR(__xludf.DUMMYFUNCTION("""COMPUTED_VALUE"""),"Florida")</f>
        <v>Florida</v>
      </c>
      <c r="M80" s="16">
        <f>IFERROR(__xludf.DUMMYFUNCTION("""COMPUTED_VALUE"""),32713.0)</f>
        <v>32713</v>
      </c>
      <c r="N80" s="16" t="str">
        <f>IFERROR(__xludf.DUMMYFUNCTION("""COMPUTED_VALUE"""),"United States")</f>
        <v>United States</v>
      </c>
      <c r="O80" s="16" t="str">
        <f>IFERROR(__xludf.DUMMYFUNCTION("""COMPUTED_VALUE"""),"Low")</f>
        <v>Low</v>
      </c>
      <c r="P80" s="16" t="b">
        <f>IFERROR(__xludf.DUMMYFUNCTION("""COMPUTED_VALUE"""),TRUE)</f>
        <v>1</v>
      </c>
      <c r="Q80" s="16" t="b">
        <f>IFERROR(__xludf.DUMMYFUNCTION("""COMPUTED_VALUE"""),FALSE)</f>
        <v>0</v>
      </c>
      <c r="R80" s="16" t="str">
        <f>IFERROR(__xludf.DUMMYFUNCTION("""COMPUTED_VALUE"""),"Business")</f>
        <v>Business</v>
      </c>
      <c r="S80" s="16" t="str">
        <f>IFERROR(__xludf.DUMMYFUNCTION("""COMPUTED_VALUE"""),"Chrp Technologies")</f>
        <v>Chrp Technologies</v>
      </c>
      <c r="T80" s="16" t="str">
        <f>IFERROR(__xludf.DUMMYFUNCTION("""COMPUTED_VALUE"""),"Current Partner")</f>
        <v>Current Partner</v>
      </c>
      <c r="U80" s="16" t="b">
        <f>IFERROR(__xludf.DUMMYFUNCTION("""COMPUTED_VALUE"""),FALSE)</f>
        <v>0</v>
      </c>
      <c r="V80" s="16"/>
      <c r="W80" s="16"/>
      <c r="X80" s="16"/>
    </row>
    <row r="81">
      <c r="A81" s="16" t="str">
        <f>IFERROR(__xludf.DUMMYFUNCTION("""COMPUTED_VALUE"""),"Liz")</f>
        <v>Liz</v>
      </c>
      <c r="B81" s="16" t="str">
        <f>IFERROR(__xludf.DUMMYFUNCTION("""COMPUTED_VALUE"""),"Simmons")</f>
        <v>Simmons</v>
      </c>
      <c r="C81" s="16" t="str">
        <f>IFERROR(__xludf.DUMMYFUNCTION("""COMPUTED_VALUE"""),"VP Customer Success &amp; Operations")</f>
        <v>VP Customer Success &amp; Operations</v>
      </c>
      <c r="D81" s="16" t="str">
        <f>IFERROR(__xludf.DUMMYFUNCTION("""COMPUTED_VALUE"""),"Claimatic")</f>
        <v>Claimatic</v>
      </c>
      <c r="E81" s="16" t="str">
        <f>IFERROR(__xludf.DUMMYFUNCTION("""COMPUTED_VALUE"""),"Growth")</f>
        <v>Growth</v>
      </c>
      <c r="F81" s="16" t="str">
        <f>IFERROR(__xludf.DUMMYFUNCTION("""COMPUTED_VALUE"""),"liz@claimatic.com")</f>
        <v>liz@claimatic.com</v>
      </c>
      <c r="G81" s="16" t="str">
        <f>IFERROR(__xludf.DUMMYFUNCTION("""COMPUTED_VALUE"""),"Rod Gowin")</f>
        <v>Rod Gowin</v>
      </c>
      <c r="H81" s="16" t="str">
        <f>IFERROR(__xludf.DUMMYFUNCTION("""COMPUTED_VALUE"""),"PartnerConnect - Technology")</f>
        <v>PartnerConnect - Technology</v>
      </c>
      <c r="I81" s="16" t="str">
        <f>IFERROR(__xludf.DUMMYFUNCTION("""COMPUTED_VALUE"""),"7700 Broadway")</f>
        <v>7700 Broadway</v>
      </c>
      <c r="J81" s="16"/>
      <c r="K81" s="16" t="str">
        <f>IFERROR(__xludf.DUMMYFUNCTION("""COMPUTED_VALUE"""),"San Antonio")</f>
        <v>San Antonio</v>
      </c>
      <c r="L81" s="16" t="str">
        <f>IFERROR(__xludf.DUMMYFUNCTION("""COMPUTED_VALUE"""),"TEXAS")</f>
        <v>TEXAS</v>
      </c>
      <c r="M81" s="16">
        <f>IFERROR(__xludf.DUMMYFUNCTION("""COMPUTED_VALUE"""),78209.0)</f>
        <v>78209</v>
      </c>
      <c r="N81" s="16" t="str">
        <f>IFERROR(__xludf.DUMMYFUNCTION("""COMPUTED_VALUE"""),"United States")</f>
        <v>United States</v>
      </c>
      <c r="O81" s="16" t="str">
        <f>IFERROR(__xludf.DUMMYFUNCTION("""COMPUTED_VALUE"""),"Medium")</f>
        <v>Medium</v>
      </c>
      <c r="P81" s="16" t="b">
        <f>IFERROR(__xludf.DUMMYFUNCTION("""COMPUTED_VALUE"""),TRUE)</f>
        <v>1</v>
      </c>
      <c r="Q81" s="16" t="b">
        <f>IFERROR(__xludf.DUMMYFUNCTION("""COMPUTED_VALUE"""),FALSE)</f>
        <v>0</v>
      </c>
      <c r="R81" s="16" t="str">
        <f>IFERROR(__xludf.DUMMYFUNCTION("""COMPUTED_VALUE"""),"Admin, Business, Support")</f>
        <v>Admin, Business, Support</v>
      </c>
      <c r="S81" s="16" t="str">
        <f>IFERROR(__xludf.DUMMYFUNCTION("""COMPUTED_VALUE"""),"Claimatic")</f>
        <v>Claimatic</v>
      </c>
      <c r="T81" s="16" t="str">
        <f>IFERROR(__xludf.DUMMYFUNCTION("""COMPUTED_VALUE"""),"Current Partner")</f>
        <v>Current Partner</v>
      </c>
      <c r="U81" s="16" t="b">
        <f>IFERROR(__xludf.DUMMYFUNCTION("""COMPUTED_VALUE"""),FALSE)</f>
        <v>0</v>
      </c>
      <c r="V81" s="16"/>
      <c r="W81" s="16"/>
      <c r="X81" s="16"/>
    </row>
    <row r="82">
      <c r="A82" s="16" t="str">
        <f>IFERROR(__xludf.DUMMYFUNCTION("""COMPUTED_VALUE"""),"Ameen")</f>
        <v>Ameen</v>
      </c>
      <c r="B82" s="16" t="str">
        <f>IFERROR(__xludf.DUMMYFUNCTION("""COMPUTED_VALUE"""),"Kazemi")</f>
        <v>Kazemi</v>
      </c>
      <c r="C82" s="16" t="str">
        <f>IFERROR(__xludf.DUMMYFUNCTION("""COMPUTED_VALUE"""),"VP Operations")</f>
        <v>VP Operations</v>
      </c>
      <c r="D82" s="16" t="str">
        <f>IFERROR(__xludf.DUMMYFUNCTION("""COMPUTED_VALUE"""),"Claimatic")</f>
        <v>Claimatic</v>
      </c>
      <c r="E82" s="16" t="str">
        <f>IFERROR(__xludf.DUMMYFUNCTION("""COMPUTED_VALUE"""),"Growth")</f>
        <v>Growth</v>
      </c>
      <c r="F82" s="16" t="str">
        <f>IFERROR(__xludf.DUMMYFUNCTION("""COMPUTED_VALUE"""),"ameen@claimatic.com")</f>
        <v>ameen@claimatic.com</v>
      </c>
      <c r="G82" s="16" t="str">
        <f>IFERROR(__xludf.DUMMYFUNCTION("""COMPUTED_VALUE"""),"Rod Gowin")</f>
        <v>Rod Gowin</v>
      </c>
      <c r="H82" s="16" t="str">
        <f>IFERROR(__xludf.DUMMYFUNCTION("""COMPUTED_VALUE"""),"PartnerConnect - Technology")</f>
        <v>PartnerConnect - Technology</v>
      </c>
      <c r="I82" s="16" t="str">
        <f>IFERROR(__xludf.DUMMYFUNCTION("""COMPUTED_VALUE"""),"2611 Euclid Avenue")</f>
        <v>2611 Euclid Avenue</v>
      </c>
      <c r="J82" s="16"/>
      <c r="K82" s="16" t="str">
        <f>IFERROR(__xludf.DUMMYFUNCTION("""COMPUTED_VALUE"""),"Austin")</f>
        <v>Austin</v>
      </c>
      <c r="L82" s="16" t="str">
        <f>IFERROR(__xludf.DUMMYFUNCTION("""COMPUTED_VALUE"""),"TEXAS")</f>
        <v>TEXAS</v>
      </c>
      <c r="M82" s="16">
        <f>IFERROR(__xludf.DUMMYFUNCTION("""COMPUTED_VALUE"""),78704.0)</f>
        <v>78704</v>
      </c>
      <c r="N82" s="16" t="str">
        <f>IFERROR(__xludf.DUMMYFUNCTION("""COMPUTED_VALUE"""),"United States")</f>
        <v>United States</v>
      </c>
      <c r="O82" s="16" t="str">
        <f>IFERROR(__xludf.DUMMYFUNCTION("""COMPUTED_VALUE"""),"Medium")</f>
        <v>Medium</v>
      </c>
      <c r="P82" s="16" t="b">
        <f>IFERROR(__xludf.DUMMYFUNCTION("""COMPUTED_VALUE"""),FALSE)</f>
        <v>0</v>
      </c>
      <c r="Q82" s="16" t="b">
        <f>IFERROR(__xludf.DUMMYFUNCTION("""COMPUTED_VALUE"""),TRUE)</f>
        <v>1</v>
      </c>
      <c r="R82" s="16" t="str">
        <f>IFERROR(__xludf.DUMMYFUNCTION("""COMPUTED_VALUE"""),"Admin, Business, Events, Legal / Contracts, Marketing, Support, Delivery Lead / BA, Client Partner / Partner Account Executive")</f>
        <v>Admin, Business, Events, Legal / Contracts, Marketing, Support, Delivery Lead / BA, Client Partner / Partner Account Executive</v>
      </c>
      <c r="S82" s="16" t="str">
        <f>IFERROR(__xludf.DUMMYFUNCTION("""COMPUTED_VALUE"""),"Claimatic")</f>
        <v>Claimatic</v>
      </c>
      <c r="T82" s="16" t="str">
        <f>IFERROR(__xludf.DUMMYFUNCTION("""COMPUTED_VALUE"""),"Current Partner")</f>
        <v>Current Partner</v>
      </c>
      <c r="U82" s="16" t="b">
        <f>IFERROR(__xludf.DUMMYFUNCTION("""COMPUTED_VALUE"""),FALSE)</f>
        <v>0</v>
      </c>
      <c r="V82" s="16"/>
      <c r="W82" s="16"/>
      <c r="X82" s="16"/>
    </row>
    <row r="83">
      <c r="A83" s="16" t="str">
        <f>IFERROR(__xludf.DUMMYFUNCTION("""COMPUTED_VALUE"""),"Brandon")</f>
        <v>Brandon</v>
      </c>
      <c r="B83" s="16" t="str">
        <f>IFERROR(__xludf.DUMMYFUNCTION("""COMPUTED_VALUE"""),"Powers")</f>
        <v>Powers</v>
      </c>
      <c r="C83" s="16" t="str">
        <f>IFERROR(__xludf.DUMMYFUNCTION("""COMPUTED_VALUE"""),"CTO")</f>
        <v>CTO</v>
      </c>
      <c r="D83" s="16" t="str">
        <f>IFERROR(__xludf.DUMMYFUNCTION("""COMPUTED_VALUE"""),"ClaimDeck")</f>
        <v>ClaimDeck</v>
      </c>
      <c r="E83" s="16" t="str">
        <f>IFERROR(__xludf.DUMMYFUNCTION("""COMPUTED_VALUE"""),"Growth")</f>
        <v>Growth</v>
      </c>
      <c r="F83" s="16" t="str">
        <f>IFERROR(__xludf.DUMMYFUNCTION("""COMPUTED_VALUE"""),"brandon@claim-deck.com")</f>
        <v>brandon@claim-deck.com</v>
      </c>
      <c r="G83" s="16" t="str">
        <f>IFERROR(__xludf.DUMMYFUNCTION("""COMPUTED_VALUE"""),"Shannon Spies")</f>
        <v>Shannon Spies</v>
      </c>
      <c r="H83" s="16" t="str">
        <f>IFERROR(__xludf.DUMMYFUNCTION("""COMPUTED_VALUE"""),"PartnerConnect - Technology")</f>
        <v>PartnerConnect - Technology</v>
      </c>
      <c r="I83" s="16"/>
      <c r="J83" s="16"/>
      <c r="K83" s="16"/>
      <c r="L83" s="16"/>
      <c r="M83" s="16"/>
      <c r="N83" s="16" t="str">
        <f>IFERROR(__xludf.DUMMYFUNCTION("""COMPUTED_VALUE"""),"United States")</f>
        <v>United States</v>
      </c>
      <c r="O83" s="16" t="str">
        <f>IFERROR(__xludf.DUMMYFUNCTION("""COMPUTED_VALUE"""),"Low")</f>
        <v>Low</v>
      </c>
      <c r="P83" s="16" t="b">
        <f>IFERROR(__xludf.DUMMYFUNCTION("""COMPUTED_VALUE"""),TRUE)</f>
        <v>1</v>
      </c>
      <c r="Q83" s="16" t="b">
        <f>IFERROR(__xludf.DUMMYFUNCTION("""COMPUTED_VALUE"""),FALSE)</f>
        <v>0</v>
      </c>
      <c r="R83" s="16" t="str">
        <f>IFERROR(__xludf.DUMMYFUNCTION("""COMPUTED_VALUE"""),"Admin, Business, Events, Legal / Contracts, Marketing, Support, Technical, Training, Main Billing Contact, Billing Contact  LMS Training Fees, NPE User, Sales Solution Architect, Delivery Lead / BA, Client Partner / Partner Account Executive")</f>
        <v>Admin, Business, Events, Legal / Contracts, Marketing, Support, Technical, Training, Main Billing Contact, Billing Contact  LMS Training Fees, NPE User, Sales Solution Architect, Delivery Lead / BA, Client Partner / Partner Account Executive</v>
      </c>
      <c r="S83" s="16" t="str">
        <f>IFERROR(__xludf.DUMMYFUNCTION("""COMPUTED_VALUE"""),"ClaimDeck")</f>
        <v>ClaimDeck</v>
      </c>
      <c r="T83" s="16" t="str">
        <f>IFERROR(__xludf.DUMMYFUNCTION("""COMPUTED_VALUE"""),"Current Partner")</f>
        <v>Current Partner</v>
      </c>
      <c r="U83" s="16" t="b">
        <f>IFERROR(__xludf.DUMMYFUNCTION("""COMPUTED_VALUE"""),TRUE)</f>
        <v>1</v>
      </c>
      <c r="V83" s="16"/>
      <c r="W83" s="16"/>
      <c r="X83" s="16"/>
    </row>
    <row r="84">
      <c r="A84" s="16" t="str">
        <f>IFERROR(__xludf.DUMMYFUNCTION("""COMPUTED_VALUE"""),"Penny")</f>
        <v>Penny</v>
      </c>
      <c r="B84" s="16" t="str">
        <f>IFERROR(__xludf.DUMMYFUNCTION("""COMPUTED_VALUE"""),"Petersen")</f>
        <v>Petersen</v>
      </c>
      <c r="C84" s="16" t="str">
        <f>IFERROR(__xludf.DUMMYFUNCTION("""COMPUTED_VALUE"""),"Head of Product")</f>
        <v>Head of Product</v>
      </c>
      <c r="D84" s="16" t="str">
        <f>IFERROR(__xludf.DUMMYFUNCTION("""COMPUTED_VALUE"""),"ClaimDeck")</f>
        <v>ClaimDeck</v>
      </c>
      <c r="E84" s="16" t="str">
        <f>IFERROR(__xludf.DUMMYFUNCTION("""COMPUTED_VALUE"""),"Growth")</f>
        <v>Growth</v>
      </c>
      <c r="F84" s="16" t="str">
        <f>IFERROR(__xludf.DUMMYFUNCTION("""COMPUTED_VALUE"""),"penny@claim-deck.com")</f>
        <v>penny@claim-deck.com</v>
      </c>
      <c r="G84" s="16" t="str">
        <f>IFERROR(__xludf.DUMMYFUNCTION("""COMPUTED_VALUE"""),"Shannon Spies")</f>
        <v>Shannon Spies</v>
      </c>
      <c r="H84" s="16" t="str">
        <f>IFERROR(__xludf.DUMMYFUNCTION("""COMPUTED_VALUE"""),"PartnerConnect - Technology")</f>
        <v>PartnerConnect - Technology</v>
      </c>
      <c r="I84" s="16" t="str">
        <f>IFERROR(__xludf.DUMMYFUNCTION("""COMPUTED_VALUE"""),"2550 Pacific Avenue,
")</f>
        <v>2550 Pacific Avenue,
</v>
      </c>
      <c r="J84" s="16" t="str">
        <f>IFERROR(__xludf.DUMMYFUNCTION("""COMPUTED_VALUE"""),"Ste 700")</f>
        <v>Ste 700</v>
      </c>
      <c r="K84" s="16" t="str">
        <f>IFERROR(__xludf.DUMMYFUNCTION("""COMPUTED_VALUE"""),"Dallas")</f>
        <v>Dallas</v>
      </c>
      <c r="L84" s="16" t="str">
        <f>IFERROR(__xludf.DUMMYFUNCTION("""COMPUTED_VALUE"""),"Texas")</f>
        <v>Texas</v>
      </c>
      <c r="M84" s="16">
        <f>IFERROR(__xludf.DUMMYFUNCTION("""COMPUTED_VALUE"""),75226.0)</f>
        <v>75226</v>
      </c>
      <c r="N84" s="16" t="str">
        <f>IFERROR(__xludf.DUMMYFUNCTION("""COMPUTED_VALUE"""),"United States")</f>
        <v>United States</v>
      </c>
      <c r="O84" s="16" t="str">
        <f>IFERROR(__xludf.DUMMYFUNCTION("""COMPUTED_VALUE"""),"Low")</f>
        <v>Low</v>
      </c>
      <c r="P84" s="16" t="b">
        <f>IFERROR(__xludf.DUMMYFUNCTION("""COMPUTED_VALUE"""),TRUE)</f>
        <v>1</v>
      </c>
      <c r="Q84" s="16" t="b">
        <f>IFERROR(__xludf.DUMMYFUNCTION("""COMPUTED_VALUE"""),FALSE)</f>
        <v>0</v>
      </c>
      <c r="R84" s="16" t="str">
        <f>IFERROR(__xludf.DUMMYFUNCTION("""COMPUTED_VALUE"""),"Admin, Business, Marketing")</f>
        <v>Admin, Business, Marketing</v>
      </c>
      <c r="S84" s="16" t="str">
        <f>IFERROR(__xludf.DUMMYFUNCTION("""COMPUTED_VALUE"""),"ClaimDeck")</f>
        <v>ClaimDeck</v>
      </c>
      <c r="T84" s="16" t="str">
        <f>IFERROR(__xludf.DUMMYFUNCTION("""COMPUTED_VALUE"""),"Current Partner")</f>
        <v>Current Partner</v>
      </c>
      <c r="U84" s="16" t="b">
        <f>IFERROR(__xludf.DUMMYFUNCTION("""COMPUTED_VALUE"""),FALSE)</f>
        <v>0</v>
      </c>
      <c r="V84" s="16"/>
      <c r="W84" s="16"/>
      <c r="X84" s="16"/>
    </row>
    <row r="85">
      <c r="A85" s="16" t="str">
        <f>IFERROR(__xludf.DUMMYFUNCTION("""COMPUTED_VALUE"""),"Rebecca")</f>
        <v>Rebecca</v>
      </c>
      <c r="B85" s="16" t="str">
        <f>IFERROR(__xludf.DUMMYFUNCTION("""COMPUTED_VALUE"""),"Side")</f>
        <v>Side</v>
      </c>
      <c r="C85" s="16"/>
      <c r="D85" s="16" t="str">
        <f>IFERROR(__xludf.DUMMYFUNCTION("""COMPUTED_VALUE"""),"ClaimDeck")</f>
        <v>ClaimDeck</v>
      </c>
      <c r="E85" s="16" t="str">
        <f>IFERROR(__xludf.DUMMYFUNCTION("""COMPUTED_VALUE"""),"Growth")</f>
        <v>Growth</v>
      </c>
      <c r="F85" s="16" t="str">
        <f>IFERROR(__xludf.DUMMYFUNCTION("""COMPUTED_VALUE"""),"rebecca@claim-deck.com")</f>
        <v>rebecca@claim-deck.com</v>
      </c>
      <c r="G85" s="16" t="str">
        <f>IFERROR(__xludf.DUMMYFUNCTION("""COMPUTED_VALUE"""),"Shannon Spies")</f>
        <v>Shannon Spies</v>
      </c>
      <c r="H85" s="16" t="str">
        <f>IFERROR(__xludf.DUMMYFUNCTION("""COMPUTED_VALUE"""),"PartnerConnect - Technology")</f>
        <v>PartnerConnect - Technology</v>
      </c>
      <c r="I85" s="16" t="str">
        <f>IFERROR(__xludf.DUMMYFUNCTION("""COMPUTED_VALUE"""),"2550 Pacific Avenue,
")</f>
        <v>2550 Pacific Avenue,
</v>
      </c>
      <c r="J85" s="16" t="str">
        <f>IFERROR(__xludf.DUMMYFUNCTION("""COMPUTED_VALUE"""),"Ste 700")</f>
        <v>Ste 700</v>
      </c>
      <c r="K85" s="16" t="str">
        <f>IFERROR(__xludf.DUMMYFUNCTION("""COMPUTED_VALUE"""),"Dallas")</f>
        <v>Dallas</v>
      </c>
      <c r="L85" s="16" t="str">
        <f>IFERROR(__xludf.DUMMYFUNCTION("""COMPUTED_VALUE"""),"Texas")</f>
        <v>Texas</v>
      </c>
      <c r="M85" s="16">
        <f>IFERROR(__xludf.DUMMYFUNCTION("""COMPUTED_VALUE"""),75226.0)</f>
        <v>75226</v>
      </c>
      <c r="N85" s="16" t="str">
        <f>IFERROR(__xludf.DUMMYFUNCTION("""COMPUTED_VALUE"""),"United States")</f>
        <v>United States</v>
      </c>
      <c r="O85" s="16" t="str">
        <f>IFERROR(__xludf.DUMMYFUNCTION("""COMPUTED_VALUE"""),"Low")</f>
        <v>Low</v>
      </c>
      <c r="P85" s="16" t="b">
        <f>IFERROR(__xludf.DUMMYFUNCTION("""COMPUTED_VALUE"""),TRUE)</f>
        <v>1</v>
      </c>
      <c r="Q85" s="16" t="b">
        <f>IFERROR(__xludf.DUMMYFUNCTION("""COMPUTED_VALUE"""),FALSE)</f>
        <v>0</v>
      </c>
      <c r="R85" s="16" t="str">
        <f>IFERROR(__xludf.DUMMYFUNCTION("""COMPUTED_VALUE"""),"Admin, Business, Events, Legal / Contracts, Marketing, Support, Technical, Training, Main Billing Contact, Billing Contact  LMS Training Fees, NPE User, Sales Solution Architect, Delivery Lead / BA, Client Partner / Partner Account Executive, Developer")</f>
        <v>Admin, Business, Events, Legal / Contracts, Marketing, Support, Technical, Training, Main Billing Contact, Billing Contact  LMS Training Fees, NPE User, Sales Solution Architect, Delivery Lead / BA, Client Partner / Partner Account Executive, Developer</v>
      </c>
      <c r="S85" s="16" t="str">
        <f>IFERROR(__xludf.DUMMYFUNCTION("""COMPUTED_VALUE"""),"ClaimDeck")</f>
        <v>ClaimDeck</v>
      </c>
      <c r="T85" s="16" t="str">
        <f>IFERROR(__xludf.DUMMYFUNCTION("""COMPUTED_VALUE"""),"Current Partner")</f>
        <v>Current Partner</v>
      </c>
      <c r="U85" s="16" t="b">
        <f>IFERROR(__xludf.DUMMYFUNCTION("""COMPUTED_VALUE"""),TRUE)</f>
        <v>1</v>
      </c>
      <c r="V85" s="16"/>
      <c r="W85" s="16"/>
      <c r="X85" s="16"/>
    </row>
    <row r="86">
      <c r="A86" s="16" t="str">
        <f>IFERROR(__xludf.DUMMYFUNCTION("""COMPUTED_VALUE"""),"Fig")</f>
        <v>Fig</v>
      </c>
      <c r="B86" s="16" t="str">
        <f>IFERROR(__xludf.DUMMYFUNCTION("""COMPUTED_VALUE"""),"Annunziato")</f>
        <v>Annunziato</v>
      </c>
      <c r="C86" s="16" t="str">
        <f>IFERROR(__xludf.DUMMYFUNCTION("""COMPUTED_VALUE"""),"CEO")</f>
        <v>CEO</v>
      </c>
      <c r="D86" s="16" t="str">
        <f>IFERROR(__xludf.DUMMYFUNCTION("""COMPUTED_VALUE"""),"ClaimFox")</f>
        <v>ClaimFox</v>
      </c>
      <c r="E86" s="16" t="str">
        <f>IFERROR(__xludf.DUMMYFUNCTION("""COMPUTED_VALUE"""),"Growth")</f>
        <v>Growth</v>
      </c>
      <c r="F86" s="16" t="str">
        <f>IFERROR(__xludf.DUMMYFUNCTION("""COMPUTED_VALUE"""),"fig.annunziato@claimfox.com")</f>
        <v>fig.annunziato@claimfox.com</v>
      </c>
      <c r="G86" s="16" t="str">
        <f>IFERROR(__xludf.DUMMYFUNCTION("""COMPUTED_VALUE"""),"Aaron Shaw")</f>
        <v>Aaron Shaw</v>
      </c>
      <c r="H86" s="16" t="str">
        <f>IFERROR(__xludf.DUMMYFUNCTION("""COMPUTED_VALUE"""),"PartnerConnect - Technology")</f>
        <v>PartnerConnect - Technology</v>
      </c>
      <c r="I86" s="16" t="str">
        <f>IFERROR(__xludf.DUMMYFUNCTION("""COMPUTED_VALUE"""),"905 Marconi Avenue")</f>
        <v>905 Marconi Avenue</v>
      </c>
      <c r="J86" s="16"/>
      <c r="K86" s="16" t="str">
        <f>IFERROR(__xludf.DUMMYFUNCTION("""COMPUTED_VALUE"""),"Ronkonkoma")</f>
        <v>Ronkonkoma</v>
      </c>
      <c r="L86" s="16" t="str">
        <f>IFERROR(__xludf.DUMMYFUNCTION("""COMPUTED_VALUE"""),"NEW YORK")</f>
        <v>NEW YORK</v>
      </c>
      <c r="M86" s="16">
        <f>IFERROR(__xludf.DUMMYFUNCTION("""COMPUTED_VALUE"""),11779.0)</f>
        <v>11779</v>
      </c>
      <c r="N86" s="16" t="str">
        <f>IFERROR(__xludf.DUMMYFUNCTION("""COMPUTED_VALUE"""),"United States")</f>
        <v>United States</v>
      </c>
      <c r="O86" s="16" t="str">
        <f>IFERROR(__xludf.DUMMYFUNCTION("""COMPUTED_VALUE"""),"Low")</f>
        <v>Low</v>
      </c>
      <c r="P86" s="16" t="b">
        <f>IFERROR(__xludf.DUMMYFUNCTION("""COMPUTED_VALUE"""),FALSE)</f>
        <v>0</v>
      </c>
      <c r="Q86" s="16" t="b">
        <f>IFERROR(__xludf.DUMMYFUNCTION("""COMPUTED_VALUE"""),TRUE)</f>
        <v>1</v>
      </c>
      <c r="R86" s="16" t="str">
        <f>IFERROR(__xludf.DUMMYFUNCTION("""COMPUTED_VALUE"""),"Admin, Admin, Business, Events, Marketing, Technical")</f>
        <v>Admin, Admin, Business, Events, Marketing, Technical</v>
      </c>
      <c r="S86" s="16" t="str">
        <f>IFERROR(__xludf.DUMMYFUNCTION("""COMPUTED_VALUE"""),"ClaimFox")</f>
        <v>ClaimFox</v>
      </c>
      <c r="T86" s="16" t="str">
        <f>IFERROR(__xludf.DUMMYFUNCTION("""COMPUTED_VALUE"""),"Current Partner")</f>
        <v>Current Partner</v>
      </c>
      <c r="U86" s="16" t="b">
        <f>IFERROR(__xludf.DUMMYFUNCTION("""COMPUTED_VALUE"""),FALSE)</f>
        <v>0</v>
      </c>
      <c r="V86" s="16"/>
      <c r="W86" s="16"/>
      <c r="X86" s="16"/>
    </row>
    <row r="87">
      <c r="A87" s="16" t="str">
        <f>IFERROR(__xludf.DUMMYFUNCTION("""COMPUTED_VALUE"""),"Michelle")</f>
        <v>Michelle</v>
      </c>
      <c r="B87" s="16" t="str">
        <f>IFERROR(__xludf.DUMMYFUNCTION("""COMPUTED_VALUE"""),"Erimez")</f>
        <v>Erimez</v>
      </c>
      <c r="C87" s="16" t="str">
        <f>IFERROR(__xludf.DUMMYFUNCTION("""COMPUTED_VALUE"""),"Business Development")</f>
        <v>Business Development</v>
      </c>
      <c r="D87" s="16" t="str">
        <f>IFERROR(__xludf.DUMMYFUNCTION("""COMPUTED_VALUE"""),"ClaimFox")</f>
        <v>ClaimFox</v>
      </c>
      <c r="E87" s="16" t="str">
        <f>IFERROR(__xludf.DUMMYFUNCTION("""COMPUTED_VALUE"""),"Growth")</f>
        <v>Growth</v>
      </c>
      <c r="F87" s="16" t="str">
        <f>IFERROR(__xludf.DUMMYFUNCTION("""COMPUTED_VALUE"""),"michelle.erimez@claimfox.com")</f>
        <v>michelle.erimez@claimfox.com</v>
      </c>
      <c r="G87" s="16" t="str">
        <f>IFERROR(__xludf.DUMMYFUNCTION("""COMPUTED_VALUE"""),"Aaron Shaw")</f>
        <v>Aaron Shaw</v>
      </c>
      <c r="H87" s="16" t="str">
        <f>IFERROR(__xludf.DUMMYFUNCTION("""COMPUTED_VALUE"""),"PartnerConnect - Technology")</f>
        <v>PartnerConnect - Technology</v>
      </c>
      <c r="I87" s="16"/>
      <c r="J87" s="16"/>
      <c r="K87" s="16"/>
      <c r="L87" s="16"/>
      <c r="M87" s="16"/>
      <c r="N87" s="16" t="str">
        <f>IFERROR(__xludf.DUMMYFUNCTION("""COMPUTED_VALUE"""),"United States")</f>
        <v>United States</v>
      </c>
      <c r="O87" s="16" t="str">
        <f>IFERROR(__xludf.DUMMYFUNCTION("""COMPUTED_VALUE"""),"Low")</f>
        <v>Low</v>
      </c>
      <c r="P87" s="16" t="b">
        <f>IFERROR(__xludf.DUMMYFUNCTION("""COMPUTED_VALUE"""),TRUE)</f>
        <v>1</v>
      </c>
      <c r="Q87" s="16" t="b">
        <f>IFERROR(__xludf.DUMMYFUNCTION("""COMPUTED_VALUE"""),FALSE)</f>
        <v>0</v>
      </c>
      <c r="R87" s="16" t="str">
        <f>IFERROR(__xludf.DUMMYFUNCTION("""COMPUTED_VALUE"""),"Admin, Business, Marketing")</f>
        <v>Admin, Business, Marketing</v>
      </c>
      <c r="S87" s="16" t="str">
        <f>IFERROR(__xludf.DUMMYFUNCTION("""COMPUTED_VALUE"""),"ClaimFox")</f>
        <v>ClaimFox</v>
      </c>
      <c r="T87" s="16" t="str">
        <f>IFERROR(__xludf.DUMMYFUNCTION("""COMPUTED_VALUE"""),"Current Partner")</f>
        <v>Current Partner</v>
      </c>
      <c r="U87" s="16" t="b">
        <f>IFERROR(__xludf.DUMMYFUNCTION("""COMPUTED_VALUE"""),FALSE)</f>
        <v>0</v>
      </c>
      <c r="V87" s="16"/>
      <c r="W87" s="16"/>
      <c r="X87" s="16"/>
    </row>
    <row r="88">
      <c r="A88" s="16" t="str">
        <f>IFERROR(__xludf.DUMMYFUNCTION("""COMPUTED_VALUE"""),"Ty")</f>
        <v>Ty</v>
      </c>
      <c r="B88" s="16" t="str">
        <f>IFERROR(__xludf.DUMMYFUNCTION("""COMPUTED_VALUE"""),"Morrill")</f>
        <v>Morrill</v>
      </c>
      <c r="C88" s="16"/>
      <c r="D88" s="16" t="str">
        <f>IFERROR(__xludf.DUMMYFUNCTION("""COMPUTED_VALUE"""),"ClaimTECH")</f>
        <v>ClaimTECH</v>
      </c>
      <c r="E88" s="16"/>
      <c r="F88" s="16" t="str">
        <f>IFERROR(__xludf.DUMMYFUNCTION("""COMPUTED_VALUE"""),"marketing@claimtech.com")</f>
        <v>marketing@claimtech.com</v>
      </c>
      <c r="G88" s="16" t="str">
        <f>IFERROR(__xludf.DUMMYFUNCTION("""COMPUTED_VALUE"""),"Kelly Clayton")</f>
        <v>Kelly Clayton</v>
      </c>
      <c r="H88" s="16" t="str">
        <f>IFERROR(__xludf.DUMMYFUNCTION("""COMPUTED_VALUE"""),"PartnerConnect - Technology")</f>
        <v>PartnerConnect - Technology</v>
      </c>
      <c r="I88" s="16" t="str">
        <f>IFERROR(__xludf.DUMMYFUNCTION("""COMPUTED_VALUE"""),"7700 Windrose Ave")</f>
        <v>7700 Windrose Ave</v>
      </c>
      <c r="J88" s="16"/>
      <c r="K88" s="16" t="str">
        <f>IFERROR(__xludf.DUMMYFUNCTION("""COMPUTED_VALUE"""),"Plano")</f>
        <v>Plano</v>
      </c>
      <c r="L88" s="16" t="str">
        <f>IFERROR(__xludf.DUMMYFUNCTION("""COMPUTED_VALUE"""),"Texas")</f>
        <v>Texas</v>
      </c>
      <c r="M88" s="16">
        <f>IFERROR(__xludf.DUMMYFUNCTION("""COMPUTED_VALUE"""),75024.0)</f>
        <v>75024</v>
      </c>
      <c r="N88" s="16" t="str">
        <f>IFERROR(__xludf.DUMMYFUNCTION("""COMPUTED_VALUE"""),"United States")</f>
        <v>United States</v>
      </c>
      <c r="O88" s="16" t="str">
        <f>IFERROR(__xludf.DUMMYFUNCTION("""COMPUTED_VALUE"""),"Low")</f>
        <v>Low</v>
      </c>
      <c r="P88" s="16" t="b">
        <f>IFERROR(__xludf.DUMMYFUNCTION("""COMPUTED_VALUE"""),FALSE)</f>
        <v>0</v>
      </c>
      <c r="Q88" s="16" t="b">
        <f>IFERROR(__xludf.DUMMYFUNCTION("""COMPUTED_VALUE"""),TRUE)</f>
        <v>1</v>
      </c>
      <c r="R88" s="16" t="str">
        <f>IFERROR(__xludf.DUMMYFUNCTION("""COMPUTED_VALUE"""),"")</f>
        <v/>
      </c>
      <c r="S88" s="16" t="str">
        <f>IFERROR(__xludf.DUMMYFUNCTION("""COMPUTED_VALUE"""),"Claimtech")</f>
        <v>Claimtech</v>
      </c>
      <c r="T88" s="16" t="str">
        <f>IFERROR(__xludf.DUMMYFUNCTION("""COMPUTED_VALUE"""),"Current Partner")</f>
        <v>Current Partner</v>
      </c>
      <c r="U88" s="16" t="b">
        <f>IFERROR(__xludf.DUMMYFUNCTION("""COMPUTED_VALUE"""),FALSE)</f>
        <v>0</v>
      </c>
      <c r="V88" s="16"/>
      <c r="W88" s="16"/>
      <c r="X88" s="16"/>
    </row>
    <row r="89">
      <c r="A89" s="16" t="str">
        <f>IFERROR(__xludf.DUMMYFUNCTION("""COMPUTED_VALUE"""),"Michael")</f>
        <v>Michael</v>
      </c>
      <c r="B89" s="16" t="str">
        <f>IFERROR(__xludf.DUMMYFUNCTION("""COMPUTED_VALUE"""),"King")</f>
        <v>King</v>
      </c>
      <c r="C89" s="16" t="str">
        <f>IFERROR(__xludf.DUMMYFUNCTION("""COMPUTED_VALUE"""),"Chief of Staff")</f>
        <v>Chief of Staff</v>
      </c>
      <c r="D89" s="16" t="str">
        <f>IFERROR(__xludf.DUMMYFUNCTION("""COMPUTED_VALUE"""),"ClaimTECH")</f>
        <v>ClaimTECH</v>
      </c>
      <c r="E89" s="16"/>
      <c r="F89" s="16" t="str">
        <f>IFERROR(__xludf.DUMMYFUNCTION("""COMPUTED_VALUE"""),"michael@claimtech.com")</f>
        <v>michael@claimtech.com</v>
      </c>
      <c r="G89" s="16" t="str">
        <f>IFERROR(__xludf.DUMMYFUNCTION("""COMPUTED_VALUE"""),"Kelly Clayton")</f>
        <v>Kelly Clayton</v>
      </c>
      <c r="H89" s="16" t="str">
        <f>IFERROR(__xludf.DUMMYFUNCTION("""COMPUTED_VALUE"""),"PartnerConnect - Technology")</f>
        <v>PartnerConnect - Technology</v>
      </c>
      <c r="I89" s="16" t="str">
        <f>IFERROR(__xludf.DUMMYFUNCTION("""COMPUTED_VALUE"""),"7700 Windrose Ave, G300")</f>
        <v>7700 Windrose Ave, G300</v>
      </c>
      <c r="J89" s="16"/>
      <c r="K89" s="16" t="str">
        <f>IFERROR(__xludf.DUMMYFUNCTION("""COMPUTED_VALUE"""),"Plano")</f>
        <v>Plano</v>
      </c>
      <c r="L89" s="16" t="str">
        <f>IFERROR(__xludf.DUMMYFUNCTION("""COMPUTED_VALUE"""),"Texas")</f>
        <v>Texas</v>
      </c>
      <c r="M89" s="16">
        <f>IFERROR(__xludf.DUMMYFUNCTION("""COMPUTED_VALUE"""),75024.0)</f>
        <v>75024</v>
      </c>
      <c r="N89" s="16" t="str">
        <f>IFERROR(__xludf.DUMMYFUNCTION("""COMPUTED_VALUE"""),"United States")</f>
        <v>United States</v>
      </c>
      <c r="O89" s="16" t="str">
        <f>IFERROR(__xludf.DUMMYFUNCTION("""COMPUTED_VALUE"""),"Low")</f>
        <v>Low</v>
      </c>
      <c r="P89" s="16" t="b">
        <f>IFERROR(__xludf.DUMMYFUNCTION("""COMPUTED_VALUE"""),TRUE)</f>
        <v>1</v>
      </c>
      <c r="Q89" s="16" t="b">
        <f>IFERROR(__xludf.DUMMYFUNCTION("""COMPUTED_VALUE"""),FALSE)</f>
        <v>0</v>
      </c>
      <c r="R89" s="16" t="str">
        <f>IFERROR(__xludf.DUMMYFUNCTION("""COMPUTED_VALUE"""),"Admin")</f>
        <v>Admin</v>
      </c>
      <c r="S89" s="16" t="str">
        <f>IFERROR(__xludf.DUMMYFUNCTION("""COMPUTED_VALUE"""),"Claimtech")</f>
        <v>Claimtech</v>
      </c>
      <c r="T89" s="16" t="str">
        <f>IFERROR(__xludf.DUMMYFUNCTION("""COMPUTED_VALUE"""),"Current Partner")</f>
        <v>Current Partner</v>
      </c>
      <c r="U89" s="16" t="b">
        <f>IFERROR(__xludf.DUMMYFUNCTION("""COMPUTED_VALUE"""),FALSE)</f>
        <v>0</v>
      </c>
      <c r="V89" s="16"/>
      <c r="W89" s="16"/>
      <c r="X89" s="16"/>
    </row>
    <row r="90">
      <c r="A90" s="16" t="str">
        <f>IFERROR(__xludf.DUMMYFUNCTION("""COMPUTED_VALUE"""),"Mubbin")</f>
        <v>Mubbin</v>
      </c>
      <c r="B90" s="16" t="str">
        <f>IFERROR(__xludf.DUMMYFUNCTION("""COMPUTED_VALUE"""),"Rabbani")</f>
        <v>Rabbani</v>
      </c>
      <c r="C90" s="16" t="str">
        <f>IFERROR(__xludf.DUMMYFUNCTION("""COMPUTED_VALUE"""),"Vice President, Product Management")</f>
        <v>Vice President, Product Management</v>
      </c>
      <c r="D90" s="16" t="str">
        <f>IFERROR(__xludf.DUMMYFUNCTION("""COMPUTED_VALUE"""),"CLARA Analytics")</f>
        <v>CLARA Analytics</v>
      </c>
      <c r="E90" s="16" t="str">
        <f>IFERROR(__xludf.DUMMYFUNCTION("""COMPUTED_VALUE"""),"Advantage")</f>
        <v>Advantage</v>
      </c>
      <c r="F90" s="16" t="str">
        <f>IFERROR(__xludf.DUMMYFUNCTION("""COMPUTED_VALUE"""),"mubbin.r@claraanalytics.com")</f>
        <v>mubbin.r@claraanalytics.com</v>
      </c>
      <c r="G90" s="16" t="str">
        <f>IFERROR(__xludf.DUMMYFUNCTION("""COMPUTED_VALUE"""),"Tim Kennedy")</f>
        <v>Tim Kennedy</v>
      </c>
      <c r="H90" s="16" t="str">
        <f>IFERROR(__xludf.DUMMYFUNCTION("""COMPUTED_VALUE"""),"PartnerConnect - Technology")</f>
        <v>PartnerConnect - Technology</v>
      </c>
      <c r="I90" s="16"/>
      <c r="J90" s="16"/>
      <c r="K90" s="16"/>
      <c r="L90" s="16"/>
      <c r="M90" s="16"/>
      <c r="N90" s="16" t="str">
        <f>IFERROR(__xludf.DUMMYFUNCTION("""COMPUTED_VALUE"""),"United States")</f>
        <v>United States</v>
      </c>
      <c r="O90" s="16" t="str">
        <f>IFERROR(__xludf.DUMMYFUNCTION("""COMPUTED_VALUE"""),"High")</f>
        <v>High</v>
      </c>
      <c r="P90" s="16" t="b">
        <f>IFERROR(__xludf.DUMMYFUNCTION("""COMPUTED_VALUE"""),TRUE)</f>
        <v>1</v>
      </c>
      <c r="Q90" s="16" t="b">
        <f>IFERROR(__xludf.DUMMYFUNCTION("""COMPUTED_VALUE"""),TRUE)</f>
        <v>1</v>
      </c>
      <c r="R90" s="16" t="str">
        <f>IFERROR(__xludf.DUMMYFUNCTION("""COMPUTED_VALUE"""),"Support, Technical, Training, Sales Solution Architect, Delivery Lead / BA")</f>
        <v>Support, Technical, Training, Sales Solution Architect, Delivery Lead / BA</v>
      </c>
      <c r="S90" s="16" t="str">
        <f>IFERROR(__xludf.DUMMYFUNCTION("""COMPUTED_VALUE"""),"CLARA Analytics")</f>
        <v>CLARA Analytics</v>
      </c>
      <c r="T90" s="16" t="str">
        <f>IFERROR(__xludf.DUMMYFUNCTION("""COMPUTED_VALUE"""),"Current Partner")</f>
        <v>Current Partner</v>
      </c>
      <c r="U90" s="16" t="b">
        <f>IFERROR(__xludf.DUMMYFUNCTION("""COMPUTED_VALUE"""),FALSE)</f>
        <v>0</v>
      </c>
      <c r="V90" s="16"/>
      <c r="W90" s="16"/>
      <c r="X90" s="16"/>
    </row>
    <row r="91">
      <c r="A91" s="16" t="str">
        <f>IFERROR(__xludf.DUMMYFUNCTION("""COMPUTED_VALUE"""),"Hermine")</f>
        <v>Hermine</v>
      </c>
      <c r="B91" s="16" t="str">
        <f>IFERROR(__xludf.DUMMYFUNCTION("""COMPUTED_VALUE"""),"Tranie")</f>
        <v>Tranie</v>
      </c>
      <c r="C91" s="16" t="str">
        <f>IFERROR(__xludf.DUMMYFUNCTION("""COMPUTED_VALUE"""),"Co-Founder")</f>
        <v>Co-Founder</v>
      </c>
      <c r="D91" s="16" t="str">
        <f>IFERROR(__xludf.DUMMYFUNCTION("""COMPUTED_VALUE"""),"ClarityCare")</f>
        <v>ClarityCare</v>
      </c>
      <c r="E91" s="16" t="str">
        <f>IFERROR(__xludf.DUMMYFUNCTION("""COMPUTED_VALUE"""),"Insurtech Vanguard")</f>
        <v>Insurtech Vanguard</v>
      </c>
      <c r="F91" s="16" t="str">
        <f>IFERROR(__xludf.DUMMYFUNCTION("""COMPUTED_VALUE"""),"hermine@claritycare.ai")</f>
        <v>hermine@claritycare.ai</v>
      </c>
      <c r="G91" s="16" t="str">
        <f>IFERROR(__xludf.DUMMYFUNCTION("""COMPUTED_VALUE"""),"Shannon Spies")</f>
        <v>Shannon Spies</v>
      </c>
      <c r="H91" s="16"/>
      <c r="I91" s="16"/>
      <c r="J91" s="16"/>
      <c r="K91" s="16"/>
      <c r="L91" s="16"/>
      <c r="M91" s="16"/>
      <c r="N91" s="16" t="str">
        <f>IFERROR(__xludf.DUMMYFUNCTION("""COMPUTED_VALUE"""),"United States")</f>
        <v>United States</v>
      </c>
      <c r="O91" s="16"/>
      <c r="P91" s="16" t="b">
        <f>IFERROR(__xludf.DUMMYFUNCTION("""COMPUTED_VALUE"""),TRUE)</f>
        <v>1</v>
      </c>
      <c r="Q91" s="16" t="b">
        <f>IFERROR(__xludf.DUMMYFUNCTION("""COMPUTED_VALUE"""),FALSE)</f>
        <v>0</v>
      </c>
      <c r="R91" s="16" t="str">
        <f>IFERROR(__xludf.DUMMYFUNCTION("""COMPUTED_VALUE"""),"")</f>
        <v/>
      </c>
      <c r="S91" s="16" t="str">
        <f>IFERROR(__xludf.DUMMYFUNCTION("""COMPUTED_VALUE"""),"ClarityCare")</f>
        <v>ClarityCare</v>
      </c>
      <c r="T91" s="16" t="str">
        <f>IFERROR(__xludf.DUMMYFUNCTION("""COMPUTED_VALUE"""),"Current Vanguard")</f>
        <v>Current Vanguard</v>
      </c>
      <c r="U91" s="16" t="b">
        <f>IFERROR(__xludf.DUMMYFUNCTION("""COMPUTED_VALUE"""),FALSE)</f>
        <v>0</v>
      </c>
      <c r="V91" s="16"/>
      <c r="W91" s="16"/>
      <c r="X91" s="16"/>
    </row>
    <row r="92">
      <c r="A92" s="16" t="str">
        <f>IFERROR(__xludf.DUMMYFUNCTION("""COMPUTED_VALUE"""),"Michael")</f>
        <v>Michael</v>
      </c>
      <c r="B92" s="16" t="str">
        <f>IFERROR(__xludf.DUMMYFUNCTION("""COMPUTED_VALUE"""),"Schwabrow")</f>
        <v>Schwabrow</v>
      </c>
      <c r="C92" s="16" t="str">
        <f>IFERROR(__xludf.DUMMYFUNCTION("""COMPUTED_VALUE"""),"EVP of Sales &amp; Marketing")</f>
        <v>EVP of Sales &amp; Marketing</v>
      </c>
      <c r="D92" s="16" t="str">
        <f>IFERROR(__xludf.DUMMYFUNCTION("""COMPUTED_VALUE"""),"Cloverleaf Analytics, Inc.")</f>
        <v>Cloverleaf Analytics, Inc.</v>
      </c>
      <c r="E92" s="16" t="str">
        <f>IFERROR(__xludf.DUMMYFUNCTION("""COMPUTED_VALUE"""),"Growth")</f>
        <v>Growth</v>
      </c>
      <c r="F92" s="16" t="str">
        <f>IFERROR(__xludf.DUMMYFUNCTION("""COMPUTED_VALUE"""),"mschwabrow@cloverleafanalytics.com")</f>
        <v>mschwabrow@cloverleafanalytics.com</v>
      </c>
      <c r="G92" s="16" t="str">
        <f>IFERROR(__xludf.DUMMYFUNCTION("""COMPUTED_VALUE"""),"Eric Apse")</f>
        <v>Eric Apse</v>
      </c>
      <c r="H92" s="16" t="str">
        <f>IFERROR(__xludf.DUMMYFUNCTION("""COMPUTED_VALUE"""),"PartnerConnect - Technology")</f>
        <v>PartnerConnect - Technology</v>
      </c>
      <c r="I92" s="16" t="str">
        <f>IFERROR(__xludf.DUMMYFUNCTION("""COMPUTED_VALUE"""),"2953 Greens Mill Rd")</f>
        <v>2953 Greens Mill Rd</v>
      </c>
      <c r="J92" s="16"/>
      <c r="K92" s="16" t="str">
        <f>IFERROR(__xludf.DUMMYFUNCTION("""COMPUTED_VALUE"""),"Spring Hill")</f>
        <v>Spring Hill</v>
      </c>
      <c r="L92" s="16" t="str">
        <f>IFERROR(__xludf.DUMMYFUNCTION("""COMPUTED_VALUE"""),"Tennessee")</f>
        <v>Tennessee</v>
      </c>
      <c r="M92" s="16">
        <f>IFERROR(__xludf.DUMMYFUNCTION("""COMPUTED_VALUE"""),37174.0)</f>
        <v>37174</v>
      </c>
      <c r="N92" s="16" t="str">
        <f>IFERROR(__xludf.DUMMYFUNCTION("""COMPUTED_VALUE"""),"United States")</f>
        <v>United States</v>
      </c>
      <c r="O92" s="16" t="str">
        <f>IFERROR(__xludf.DUMMYFUNCTION("""COMPUTED_VALUE"""),"Medium")</f>
        <v>Medium</v>
      </c>
      <c r="P92" s="16" t="b">
        <f>IFERROR(__xludf.DUMMYFUNCTION("""COMPUTED_VALUE"""),TRUE)</f>
        <v>1</v>
      </c>
      <c r="Q92" s="16" t="b">
        <f>IFERROR(__xludf.DUMMYFUNCTION("""COMPUTED_VALUE"""),FALSE)</f>
        <v>0</v>
      </c>
      <c r="R92" s="16" t="str">
        <f>IFERROR(__xludf.DUMMYFUNCTION("""COMPUTED_VALUE"""),"Admin, Marketing")</f>
        <v>Admin, Marketing</v>
      </c>
      <c r="S92" s="16" t="str">
        <f>IFERROR(__xludf.DUMMYFUNCTION("""COMPUTED_VALUE"""),"Cloverleaf")</f>
        <v>Cloverleaf</v>
      </c>
      <c r="T92" s="16" t="str">
        <f>IFERROR(__xludf.DUMMYFUNCTION("""COMPUTED_VALUE"""),"Current Partner")</f>
        <v>Current Partner</v>
      </c>
      <c r="U92" s="16" t="b">
        <f>IFERROR(__xludf.DUMMYFUNCTION("""COMPUTED_VALUE"""),FALSE)</f>
        <v>0</v>
      </c>
      <c r="V92" s="16"/>
      <c r="W92" s="16"/>
      <c r="X92" s="16"/>
    </row>
    <row r="93">
      <c r="A93" s="16" t="str">
        <f>IFERROR(__xludf.DUMMYFUNCTION("""COMPUTED_VALUE"""),"Ben James")</f>
        <v>Ben James</v>
      </c>
      <c r="B93" s="16" t="str">
        <f>IFERROR(__xludf.DUMMYFUNCTION("""COMPUTED_VALUE"""),"Parsons")</f>
        <v>Parsons</v>
      </c>
      <c r="C93" s="16" t="str">
        <f>IFERROR(__xludf.DUMMYFUNCTION("""COMPUTED_VALUE"""),"Head of Digital")</f>
        <v>Head of Digital</v>
      </c>
      <c r="D93" s="16" t="str">
        <f>IFERROR(__xludf.DUMMYFUNCTION("""COMPUTED_VALUE"""),"Clyde &amp; Co LLP")</f>
        <v>Clyde &amp; Co LLP</v>
      </c>
      <c r="E93" s="16" t="str">
        <f>IFERROR(__xludf.DUMMYFUNCTION("""COMPUTED_VALUE"""),"Growth")</f>
        <v>Growth</v>
      </c>
      <c r="F93" s="16" t="str">
        <f>IFERROR(__xludf.DUMMYFUNCTION("""COMPUTED_VALUE"""),"ben.parsons@clydeco.com")</f>
        <v>ben.parsons@clydeco.com</v>
      </c>
      <c r="G93" s="16" t="str">
        <f>IFERROR(__xludf.DUMMYFUNCTION("""COMPUTED_VALUE"""),"Vivienne Hoary")</f>
        <v>Vivienne Hoary</v>
      </c>
      <c r="H93" s="16" t="str">
        <f>IFERROR(__xludf.DUMMYFUNCTION("""COMPUTED_VALUE"""),"PartnerConnect - Technology")</f>
        <v>PartnerConnect - Technology</v>
      </c>
      <c r="I93" s="16" t="str">
        <f>IFERROR(__xludf.DUMMYFUNCTION("""COMPUTED_VALUE"""),"2 New Bailey Square
")</f>
        <v>2 New Bailey Square
</v>
      </c>
      <c r="J93" s="16" t="str">
        <f>IFERROR(__xludf.DUMMYFUNCTION("""COMPUTED_VALUE"""),"Stanley Street
")</f>
        <v>Stanley Street
</v>
      </c>
      <c r="K93" s="16"/>
      <c r="L93" s="16"/>
      <c r="M93" s="16"/>
      <c r="N93" s="16" t="str">
        <f>IFERROR(__xludf.DUMMYFUNCTION("""COMPUTED_VALUE"""),"United Kingdom")</f>
        <v>United Kingdom</v>
      </c>
      <c r="O93" s="16" t="str">
        <f>IFERROR(__xludf.DUMMYFUNCTION("""COMPUTED_VALUE"""),"Medium")</f>
        <v>Medium</v>
      </c>
      <c r="P93" s="16" t="b">
        <f>IFERROR(__xludf.DUMMYFUNCTION("""COMPUTED_VALUE"""),TRUE)</f>
        <v>1</v>
      </c>
      <c r="Q93" s="16" t="b">
        <f>IFERROR(__xludf.DUMMYFUNCTION("""COMPUTED_VALUE"""),FALSE)</f>
        <v>0</v>
      </c>
      <c r="R93" s="16" t="str">
        <f>IFERROR(__xludf.DUMMYFUNCTION("""COMPUTED_VALUE"""),"Admin, Support, Main Billing Contact, Billing Contact  LMS Training Fees, NPE User")</f>
        <v>Admin, Support, Main Billing Contact, Billing Contact  LMS Training Fees, NPE User</v>
      </c>
      <c r="S93" s="16" t="str">
        <f>IFERROR(__xludf.DUMMYFUNCTION("""COMPUTED_VALUE"""),"Clyde &amp; Co")</f>
        <v>Clyde &amp; Co</v>
      </c>
      <c r="T93" s="16" t="str">
        <f>IFERROR(__xludf.DUMMYFUNCTION("""COMPUTED_VALUE"""),"Current Partner")</f>
        <v>Current Partner</v>
      </c>
      <c r="U93" s="16" t="b">
        <f>IFERROR(__xludf.DUMMYFUNCTION("""COMPUTED_VALUE"""),TRUE)</f>
        <v>1</v>
      </c>
      <c r="V93" s="16"/>
      <c r="W93" s="16"/>
      <c r="X93" s="16"/>
    </row>
    <row r="94">
      <c r="A94" s="16" t="str">
        <f>IFERROR(__xludf.DUMMYFUNCTION("""COMPUTED_VALUE"""),"Bryn")</f>
        <v>Bryn</v>
      </c>
      <c r="B94" s="16" t="str">
        <f>IFERROR(__xludf.DUMMYFUNCTION("""COMPUTED_VALUE"""),"Mckay")</f>
        <v>Mckay</v>
      </c>
      <c r="C94" s="16" t="str">
        <f>IFERROR(__xludf.DUMMYFUNCTION("""COMPUTED_VALUE"""),"Chief Operating Officer")</f>
        <v>Chief Operating Officer</v>
      </c>
      <c r="D94" s="16" t="str">
        <f>IFERROR(__xludf.DUMMYFUNCTION("""COMPUTED_VALUE"""),"Codafication")</f>
        <v>Codafication</v>
      </c>
      <c r="E94" s="16" t="str">
        <f>IFERROR(__xludf.DUMMYFUNCTION("""COMPUTED_VALUE"""),"Growth")</f>
        <v>Growth</v>
      </c>
      <c r="F94" s="16" t="str">
        <f>IFERROR(__xludf.DUMMYFUNCTION("""COMPUTED_VALUE"""),"bryn.mckay@codafication.com")</f>
        <v>bryn.mckay@codafication.com</v>
      </c>
      <c r="G94" s="16" t="str">
        <f>IFERROR(__xludf.DUMMYFUNCTION("""COMPUTED_VALUE"""),"Shannon Spies")</f>
        <v>Shannon Spies</v>
      </c>
      <c r="H94" s="16" t="str">
        <f>IFERROR(__xludf.DUMMYFUNCTION("""COMPUTED_VALUE"""),"PartnerConnect - Technology")</f>
        <v>PartnerConnect - Technology</v>
      </c>
      <c r="I94" s="16" t="str">
        <f>IFERROR(__xludf.DUMMYFUNCTION("""COMPUTED_VALUE"""),"128 Robertson Street")</f>
        <v>128 Robertson Street</v>
      </c>
      <c r="J94" s="16"/>
      <c r="K94" s="16" t="str">
        <f>IFERROR(__xludf.DUMMYFUNCTION("""COMPUTED_VALUE"""),"Fortitude Valley")</f>
        <v>Fortitude Valley</v>
      </c>
      <c r="L94" s="16" t="str">
        <f>IFERROR(__xludf.DUMMYFUNCTION("""COMPUTED_VALUE"""),"QUEENSLAND")</f>
        <v>QUEENSLAND</v>
      </c>
      <c r="M94" s="16">
        <f>IFERROR(__xludf.DUMMYFUNCTION("""COMPUTED_VALUE"""),4006.0)</f>
        <v>4006</v>
      </c>
      <c r="N94" s="16" t="str">
        <f>IFERROR(__xludf.DUMMYFUNCTION("""COMPUTED_VALUE"""),"Australia")</f>
        <v>Australia</v>
      </c>
      <c r="O94" s="16" t="str">
        <f>IFERROR(__xludf.DUMMYFUNCTION("""COMPUTED_VALUE"""),"Medium")</f>
        <v>Medium</v>
      </c>
      <c r="P94" s="16" t="b">
        <f>IFERROR(__xludf.DUMMYFUNCTION("""COMPUTED_VALUE"""),TRUE)</f>
        <v>1</v>
      </c>
      <c r="Q94" s="16" t="b">
        <f>IFERROR(__xludf.DUMMYFUNCTION("""COMPUTED_VALUE"""),FALSE)</f>
        <v>0</v>
      </c>
      <c r="R94" s="16" t="str">
        <f>IFERROR(__xludf.DUMMYFUNCTION("""COMPUTED_VALUE"""),"Admin, Business, Events, Legal / Contracts, Marketing, Technical, Training, Main Billing Contact, Billing Contact  LMS Training Fees, NPE User, Sales Solution Architect, Client Partner / Partner Account Executive")</f>
        <v>Admin, Business, Events, Legal / Contracts, Marketing, Technical, Training, Main Billing Contact, Billing Contact  LMS Training Fees, NPE User, Sales Solution Architect, Client Partner / Partner Account Executive</v>
      </c>
      <c r="S94" s="16" t="str">
        <f>IFERROR(__xludf.DUMMYFUNCTION("""COMPUTED_VALUE"""),"Codafication")</f>
        <v>Codafication</v>
      </c>
      <c r="T94" s="16" t="str">
        <f>IFERROR(__xludf.DUMMYFUNCTION("""COMPUTED_VALUE"""),"Current Partner")</f>
        <v>Current Partner</v>
      </c>
      <c r="U94" s="16" t="b">
        <f>IFERROR(__xludf.DUMMYFUNCTION("""COMPUTED_VALUE"""),TRUE)</f>
        <v>1</v>
      </c>
      <c r="V94" s="16"/>
      <c r="W94" s="16"/>
      <c r="X94" s="16"/>
    </row>
    <row r="95">
      <c r="A95" s="16" t="str">
        <f>IFERROR(__xludf.DUMMYFUNCTION("""COMPUTED_VALUE"""),"Aidan")</f>
        <v>Aidan</v>
      </c>
      <c r="B95" s="16" t="str">
        <f>IFERROR(__xludf.DUMMYFUNCTION("""COMPUTED_VALUE"""),"Brogan")</f>
        <v>Brogan</v>
      </c>
      <c r="C95" s="16" t="str">
        <f>IFERROR(__xludf.DUMMYFUNCTION("""COMPUTED_VALUE"""),"Chief Commercial Officer")</f>
        <v>Chief Commercial Officer</v>
      </c>
      <c r="D95" s="16" t="str">
        <f>IFERROR(__xludf.DUMMYFUNCTION("""COMPUTED_VALUE"""),"CodeEast")</f>
        <v>CodeEast</v>
      </c>
      <c r="E95" s="16" t="str">
        <f>IFERROR(__xludf.DUMMYFUNCTION("""COMPUTED_VALUE"""),"Insurtech Vanguard")</f>
        <v>Insurtech Vanguard</v>
      </c>
      <c r="F95" s="16" t="str">
        <f>IFERROR(__xludf.DUMMYFUNCTION("""COMPUTED_VALUE"""),"abrogan@codeeast.com")</f>
        <v>abrogan@codeeast.com</v>
      </c>
      <c r="G95" s="16" t="str">
        <f>IFERROR(__xludf.DUMMYFUNCTION("""COMPUTED_VALUE"""),"Shannon Spies")</f>
        <v>Shannon Spies</v>
      </c>
      <c r="H95" s="16"/>
      <c r="I95" s="16"/>
      <c r="J95" s="16"/>
      <c r="K95" s="16"/>
      <c r="L95" s="16"/>
      <c r="M95" s="16"/>
      <c r="N95" s="16" t="str">
        <f>IFERROR(__xludf.DUMMYFUNCTION("""COMPUTED_VALUE"""),"Ireland")</f>
        <v>Ireland</v>
      </c>
      <c r="O95" s="16"/>
      <c r="P95" s="16" t="b">
        <f>IFERROR(__xludf.DUMMYFUNCTION("""COMPUTED_VALUE"""),TRUE)</f>
        <v>1</v>
      </c>
      <c r="Q95" s="16" t="b">
        <f>IFERROR(__xludf.DUMMYFUNCTION("""COMPUTED_VALUE"""),FALSE)</f>
        <v>0</v>
      </c>
      <c r="R95" s="16" t="str">
        <f>IFERROR(__xludf.DUMMYFUNCTION("""COMPUTED_VALUE"""),"")</f>
        <v/>
      </c>
      <c r="S95" s="16" t="str">
        <f>IFERROR(__xludf.DUMMYFUNCTION("""COMPUTED_VALUE"""),"CodeEast")</f>
        <v>CodeEast</v>
      </c>
      <c r="T95" s="16" t="str">
        <f>IFERROR(__xludf.DUMMYFUNCTION("""COMPUTED_VALUE"""),"Current Vanguard")</f>
        <v>Current Vanguard</v>
      </c>
      <c r="U95" s="16" t="b">
        <f>IFERROR(__xludf.DUMMYFUNCTION("""COMPUTED_VALUE"""),FALSE)</f>
        <v>0</v>
      </c>
      <c r="V95" s="16"/>
      <c r="W95" s="16"/>
      <c r="X95" s="16"/>
    </row>
    <row r="96">
      <c r="A96" s="16" t="str">
        <f>IFERROR(__xludf.DUMMYFUNCTION("""COMPUTED_VALUE"""),"Sai")</f>
        <v>Sai</v>
      </c>
      <c r="B96" s="16" t="str">
        <f>IFERROR(__xludf.DUMMYFUNCTION("""COMPUTED_VALUE"""),"Raman")</f>
        <v>Raman</v>
      </c>
      <c r="C96" s="16" t="str">
        <f>IFERROR(__xludf.DUMMYFUNCTION("""COMPUTED_VALUE"""),"CEO")</f>
        <v>CEO</v>
      </c>
      <c r="D96" s="16" t="str">
        <f>IFERROR(__xludf.DUMMYFUNCTION("""COMPUTED_VALUE"""),"CogniSure")</f>
        <v>CogniSure</v>
      </c>
      <c r="E96" s="16" t="str">
        <f>IFERROR(__xludf.DUMMYFUNCTION("""COMPUTED_VALUE"""),"Growth")</f>
        <v>Growth</v>
      </c>
      <c r="F96" s="16" t="str">
        <f>IFERROR(__xludf.DUMMYFUNCTION("""COMPUTED_VALUE"""),"sai@cognisure.ai")</f>
        <v>sai@cognisure.ai</v>
      </c>
      <c r="G96" s="16" t="str">
        <f>IFERROR(__xludf.DUMMYFUNCTION("""COMPUTED_VALUE"""),"Aaron Shaw")</f>
        <v>Aaron Shaw</v>
      </c>
      <c r="H96" s="16" t="str">
        <f>IFERROR(__xludf.DUMMYFUNCTION("""COMPUTED_VALUE"""),"PartnerConnect - Technology")</f>
        <v>PartnerConnect - Technology</v>
      </c>
      <c r="I96" s="16" t="str">
        <f>IFERROR(__xludf.DUMMYFUNCTION("""COMPUTED_VALUE"""),"1770 Park St")</f>
        <v>1770 Park St</v>
      </c>
      <c r="J96" s="16"/>
      <c r="K96" s="16" t="str">
        <f>IFERROR(__xludf.DUMMYFUNCTION("""COMPUTED_VALUE"""),"Naperville")</f>
        <v>Naperville</v>
      </c>
      <c r="L96" s="16" t="str">
        <f>IFERROR(__xludf.DUMMYFUNCTION("""COMPUTED_VALUE"""),"Illinois")</f>
        <v>Illinois</v>
      </c>
      <c r="M96" s="16">
        <f>IFERROR(__xludf.DUMMYFUNCTION("""COMPUTED_VALUE"""),60563.0)</f>
        <v>60563</v>
      </c>
      <c r="N96" s="16" t="str">
        <f>IFERROR(__xludf.DUMMYFUNCTION("""COMPUTED_VALUE"""),"United States")</f>
        <v>United States</v>
      </c>
      <c r="O96" s="16" t="str">
        <f>IFERROR(__xludf.DUMMYFUNCTION("""COMPUTED_VALUE"""),"Medium")</f>
        <v>Medium</v>
      </c>
      <c r="P96" s="16" t="b">
        <f>IFERROR(__xludf.DUMMYFUNCTION("""COMPUTED_VALUE"""),TRUE)</f>
        <v>1</v>
      </c>
      <c r="Q96" s="16" t="b">
        <f>IFERROR(__xludf.DUMMYFUNCTION("""COMPUTED_VALUE"""),FALSE)</f>
        <v>0</v>
      </c>
      <c r="R96" s="16" t="str">
        <f>IFERROR(__xludf.DUMMYFUNCTION("""COMPUTED_VALUE"""),"Admin, Business, Marketing, Client Partner / Partner Account Executive")</f>
        <v>Admin, Business, Marketing, Client Partner / Partner Account Executive</v>
      </c>
      <c r="S96" s="16" t="str">
        <f>IFERROR(__xludf.DUMMYFUNCTION("""COMPUTED_VALUE"""),"CogniSure")</f>
        <v>CogniSure</v>
      </c>
      <c r="T96" s="16" t="str">
        <f>IFERROR(__xludf.DUMMYFUNCTION("""COMPUTED_VALUE"""),"Current Partner")</f>
        <v>Current Partner</v>
      </c>
      <c r="U96" s="16" t="b">
        <f>IFERROR(__xludf.DUMMYFUNCTION("""COMPUTED_VALUE"""),FALSE)</f>
        <v>0</v>
      </c>
      <c r="V96" s="16"/>
      <c r="W96" s="16"/>
      <c r="X96" s="16"/>
    </row>
    <row r="97">
      <c r="A97" s="16" t="str">
        <f>IFERROR(__xludf.DUMMYFUNCTION("""COMPUTED_VALUE"""),"Michael")</f>
        <v>Michael</v>
      </c>
      <c r="B97" s="16" t="str">
        <f>IFERROR(__xludf.DUMMYFUNCTION("""COMPUTED_VALUE"""),"Long")</f>
        <v>Long</v>
      </c>
      <c r="C97" s="16" t="str">
        <f>IFERROR(__xludf.DUMMYFUNCTION("""COMPUTED_VALUE"""),"PreferPay - Product Manager")</f>
        <v>PreferPay - Product Manager</v>
      </c>
      <c r="D97" s="16" t="str">
        <f>IFERROR(__xludf.DUMMYFUNCTION("""COMPUTED_VALUE"""),"Commerce Bank")</f>
        <v>Commerce Bank</v>
      </c>
      <c r="E97" s="16" t="str">
        <f>IFERROR(__xludf.DUMMYFUNCTION("""COMPUTED_VALUE"""),"Growth")</f>
        <v>Growth</v>
      </c>
      <c r="F97" s="16" t="str">
        <f>IFERROR(__xludf.DUMMYFUNCTION("""COMPUTED_VALUE"""),"michael.long@commercebank.com")</f>
        <v>michael.long@commercebank.com</v>
      </c>
      <c r="G97" s="16" t="str">
        <f>IFERROR(__xludf.DUMMYFUNCTION("""COMPUTED_VALUE"""),"Aaron Shaw")</f>
        <v>Aaron Shaw</v>
      </c>
      <c r="H97" s="16" t="str">
        <f>IFERROR(__xludf.DUMMYFUNCTION("""COMPUTED_VALUE"""),"PartnerConnect - Technology")</f>
        <v>PartnerConnect - Technology</v>
      </c>
      <c r="I97" s="16" t="str">
        <f>IFERROR(__xludf.DUMMYFUNCTION("""COMPUTED_VALUE"""),"1000 Walnut St")</f>
        <v>1000 Walnut St</v>
      </c>
      <c r="J97" s="16"/>
      <c r="K97" s="16" t="str">
        <f>IFERROR(__xludf.DUMMYFUNCTION("""COMPUTED_VALUE"""),"Kansas City")</f>
        <v>Kansas City</v>
      </c>
      <c r="L97" s="16" t="str">
        <f>IFERROR(__xludf.DUMMYFUNCTION("""COMPUTED_VALUE"""),"MISSOURI")</f>
        <v>MISSOURI</v>
      </c>
      <c r="M97" s="16">
        <f>IFERROR(__xludf.DUMMYFUNCTION("""COMPUTED_VALUE"""),64118.0)</f>
        <v>64118</v>
      </c>
      <c r="N97" s="16" t="str">
        <f>IFERROR(__xludf.DUMMYFUNCTION("""COMPUTED_VALUE"""),"United States")</f>
        <v>United States</v>
      </c>
      <c r="O97" s="16" t="str">
        <f>IFERROR(__xludf.DUMMYFUNCTION("""COMPUTED_VALUE"""),"Low")</f>
        <v>Low</v>
      </c>
      <c r="P97" s="16" t="b">
        <f>IFERROR(__xludf.DUMMYFUNCTION("""COMPUTED_VALUE"""),TRUE)</f>
        <v>1</v>
      </c>
      <c r="Q97" s="16" t="b">
        <f>IFERROR(__xludf.DUMMYFUNCTION("""COMPUTED_VALUE"""),FALSE)</f>
        <v>0</v>
      </c>
      <c r="R97" s="16" t="str">
        <f>IFERROR(__xludf.DUMMYFUNCTION("""COMPUTED_VALUE"""),"Admin, Admin, Admin, Business, Marketing")</f>
        <v>Admin, Admin, Admin, Business, Marketing</v>
      </c>
      <c r="S97" s="16" t="str">
        <f>IFERROR(__xludf.DUMMYFUNCTION("""COMPUTED_VALUE"""),"Commerce Bank")</f>
        <v>Commerce Bank</v>
      </c>
      <c r="T97" s="16" t="str">
        <f>IFERROR(__xludf.DUMMYFUNCTION("""COMPUTED_VALUE"""),"Current Partner")</f>
        <v>Current Partner</v>
      </c>
      <c r="U97" s="16" t="b">
        <f>IFERROR(__xludf.DUMMYFUNCTION("""COMPUTED_VALUE"""),FALSE)</f>
        <v>0</v>
      </c>
      <c r="V97" s="16"/>
      <c r="W97" s="16"/>
      <c r="X97" s="16"/>
    </row>
    <row r="98">
      <c r="A98" s="16" t="str">
        <f>IFERROR(__xludf.DUMMYFUNCTION("""COMPUTED_VALUE"""),"Nikki")</f>
        <v>Nikki</v>
      </c>
      <c r="B98" s="16" t="str">
        <f>IFERROR(__xludf.DUMMYFUNCTION("""COMPUTED_VALUE"""),"Storms")</f>
        <v>Storms</v>
      </c>
      <c r="C98" s="16"/>
      <c r="D98" s="16" t="str">
        <f>IFERROR(__xludf.DUMMYFUNCTION("""COMPUTED_VALUE"""),"Commerce Bank")</f>
        <v>Commerce Bank</v>
      </c>
      <c r="E98" s="16" t="str">
        <f>IFERROR(__xludf.DUMMYFUNCTION("""COMPUTED_VALUE"""),"Growth")</f>
        <v>Growth</v>
      </c>
      <c r="F98" s="16" t="str">
        <f>IFERROR(__xludf.DUMMYFUNCTION("""COMPUTED_VALUE"""),"nikki.storms@commercebank.com")</f>
        <v>nikki.storms@commercebank.com</v>
      </c>
      <c r="G98" s="16" t="str">
        <f>IFERROR(__xludf.DUMMYFUNCTION("""COMPUTED_VALUE"""),"Aaron Shaw")</f>
        <v>Aaron Shaw</v>
      </c>
      <c r="H98" s="16" t="str">
        <f>IFERROR(__xludf.DUMMYFUNCTION("""COMPUTED_VALUE"""),"PartnerConnect - Technology")</f>
        <v>PartnerConnect - Technology</v>
      </c>
      <c r="I98" s="16" t="str">
        <f>IFERROR(__xludf.DUMMYFUNCTION("""COMPUTED_VALUE"""),"1000 Walnut St")</f>
        <v>1000 Walnut St</v>
      </c>
      <c r="J98" s="16"/>
      <c r="K98" s="16" t="str">
        <f>IFERROR(__xludf.DUMMYFUNCTION("""COMPUTED_VALUE"""),"Kansas City")</f>
        <v>Kansas City</v>
      </c>
      <c r="L98" s="16" t="str">
        <f>IFERROR(__xludf.DUMMYFUNCTION("""COMPUTED_VALUE"""),"Missouri")</f>
        <v>Missouri</v>
      </c>
      <c r="M98" s="16">
        <f>IFERROR(__xludf.DUMMYFUNCTION("""COMPUTED_VALUE"""),64105.0)</f>
        <v>64105</v>
      </c>
      <c r="N98" s="16" t="str">
        <f>IFERROR(__xludf.DUMMYFUNCTION("""COMPUTED_VALUE"""),"United States")</f>
        <v>United States</v>
      </c>
      <c r="O98" s="16" t="str">
        <f>IFERROR(__xludf.DUMMYFUNCTION("""COMPUTED_VALUE"""),"Low")</f>
        <v>Low</v>
      </c>
      <c r="P98" s="16" t="b">
        <f>IFERROR(__xludf.DUMMYFUNCTION("""COMPUTED_VALUE"""),FALSE)</f>
        <v>0</v>
      </c>
      <c r="Q98" s="16" t="b">
        <f>IFERROR(__xludf.DUMMYFUNCTION("""COMPUTED_VALUE"""),TRUE)</f>
        <v>1</v>
      </c>
      <c r="R98" s="16" t="str">
        <f>IFERROR(__xludf.DUMMYFUNCTION("""COMPUTED_VALUE"""),"Business, Events, Marketing")</f>
        <v>Business, Events, Marketing</v>
      </c>
      <c r="S98" s="16" t="str">
        <f>IFERROR(__xludf.DUMMYFUNCTION("""COMPUTED_VALUE"""),"Commerce Bank")</f>
        <v>Commerce Bank</v>
      </c>
      <c r="T98" s="16" t="str">
        <f>IFERROR(__xludf.DUMMYFUNCTION("""COMPUTED_VALUE"""),"Current Partner")</f>
        <v>Current Partner</v>
      </c>
      <c r="U98" s="16" t="b">
        <f>IFERROR(__xludf.DUMMYFUNCTION("""COMPUTED_VALUE"""),FALSE)</f>
        <v>0</v>
      </c>
      <c r="V98" s="16"/>
      <c r="W98" s="16"/>
      <c r="X98" s="16"/>
    </row>
    <row r="99">
      <c r="A99" s="16" t="str">
        <f>IFERROR(__xludf.DUMMYFUNCTION("""COMPUTED_VALUE"""),"Kristina")</f>
        <v>Kristina</v>
      </c>
      <c r="B99" s="16" t="str">
        <f>IFERROR(__xludf.DUMMYFUNCTION("""COMPUTED_VALUE"""),"Heller")</f>
        <v>Heller</v>
      </c>
      <c r="C99" s="16"/>
      <c r="D99" s="16" t="str">
        <f>IFERROR(__xludf.DUMMYFUNCTION("""COMPUTED_VALUE"""),"Commerce Bank")</f>
        <v>Commerce Bank</v>
      </c>
      <c r="E99" s="16" t="str">
        <f>IFERROR(__xludf.DUMMYFUNCTION("""COMPUTED_VALUE"""),"Growth")</f>
        <v>Growth</v>
      </c>
      <c r="F99" s="16" t="str">
        <f>IFERROR(__xludf.DUMMYFUNCTION("""COMPUTED_VALUE"""),"kristina.heller@commercebank.com")</f>
        <v>kristina.heller@commercebank.com</v>
      </c>
      <c r="G99" s="16" t="str">
        <f>IFERROR(__xludf.DUMMYFUNCTION("""COMPUTED_VALUE"""),"Aaron Shaw")</f>
        <v>Aaron Shaw</v>
      </c>
      <c r="H99" s="16" t="str">
        <f>IFERROR(__xludf.DUMMYFUNCTION("""COMPUTED_VALUE"""),"PartnerConnect - Technology")</f>
        <v>PartnerConnect - Technology</v>
      </c>
      <c r="I99" s="16" t="str">
        <f>IFERROR(__xludf.DUMMYFUNCTION("""COMPUTED_VALUE"""),"1000 Walnut St")</f>
        <v>1000 Walnut St</v>
      </c>
      <c r="J99" s="16"/>
      <c r="K99" s="16" t="str">
        <f>IFERROR(__xludf.DUMMYFUNCTION("""COMPUTED_VALUE"""),"Kansas City")</f>
        <v>Kansas City</v>
      </c>
      <c r="L99" s="16" t="str">
        <f>IFERROR(__xludf.DUMMYFUNCTION("""COMPUTED_VALUE"""),"Missouri")</f>
        <v>Missouri</v>
      </c>
      <c r="M99" s="16">
        <f>IFERROR(__xludf.DUMMYFUNCTION("""COMPUTED_VALUE"""),64105.0)</f>
        <v>64105</v>
      </c>
      <c r="N99" s="16" t="str">
        <f>IFERROR(__xludf.DUMMYFUNCTION("""COMPUTED_VALUE"""),"United States")</f>
        <v>United States</v>
      </c>
      <c r="O99" s="16" t="str">
        <f>IFERROR(__xludf.DUMMYFUNCTION("""COMPUTED_VALUE"""),"Low")</f>
        <v>Low</v>
      </c>
      <c r="P99" s="16" t="b">
        <f>IFERROR(__xludf.DUMMYFUNCTION("""COMPUTED_VALUE"""),FALSE)</f>
        <v>0</v>
      </c>
      <c r="Q99" s="16" t="b">
        <f>IFERROR(__xludf.DUMMYFUNCTION("""COMPUTED_VALUE"""),TRUE)</f>
        <v>1</v>
      </c>
      <c r="R99" s="16" t="str">
        <f>IFERROR(__xludf.DUMMYFUNCTION("""COMPUTED_VALUE"""),"Business, Events, Marketing")</f>
        <v>Business, Events, Marketing</v>
      </c>
      <c r="S99" s="16" t="str">
        <f>IFERROR(__xludf.DUMMYFUNCTION("""COMPUTED_VALUE"""),"Commerce Bank")</f>
        <v>Commerce Bank</v>
      </c>
      <c r="T99" s="16" t="str">
        <f>IFERROR(__xludf.DUMMYFUNCTION("""COMPUTED_VALUE"""),"Current Partner")</f>
        <v>Current Partner</v>
      </c>
      <c r="U99" s="16" t="b">
        <f>IFERROR(__xludf.DUMMYFUNCTION("""COMPUTED_VALUE"""),FALSE)</f>
        <v>0</v>
      </c>
      <c r="V99" s="16"/>
      <c r="W99" s="16"/>
      <c r="X99" s="16"/>
    </row>
    <row r="100">
      <c r="A100" s="16" t="str">
        <f>IFERROR(__xludf.DUMMYFUNCTION("""COMPUTED_VALUE"""),"Lacey")</f>
        <v>Lacey</v>
      </c>
      <c r="B100" s="16" t="str">
        <f>IFERROR(__xludf.DUMMYFUNCTION("""COMPUTED_VALUE"""),"McGuirk")</f>
        <v>McGuirk</v>
      </c>
      <c r="C100" s="16"/>
      <c r="D100" s="16" t="str">
        <f>IFERROR(__xludf.DUMMYFUNCTION("""COMPUTED_VALUE"""),"Commerce Bank")</f>
        <v>Commerce Bank</v>
      </c>
      <c r="E100" s="16" t="str">
        <f>IFERROR(__xludf.DUMMYFUNCTION("""COMPUTED_VALUE"""),"Growth")</f>
        <v>Growth</v>
      </c>
      <c r="F100" s="16" t="str">
        <f>IFERROR(__xludf.DUMMYFUNCTION("""COMPUTED_VALUE"""),"lacey.mcguirk@commercebank.com")</f>
        <v>lacey.mcguirk@commercebank.com</v>
      </c>
      <c r="G100" s="16" t="str">
        <f>IFERROR(__xludf.DUMMYFUNCTION("""COMPUTED_VALUE"""),"Aaron Shaw")</f>
        <v>Aaron Shaw</v>
      </c>
      <c r="H100" s="16" t="str">
        <f>IFERROR(__xludf.DUMMYFUNCTION("""COMPUTED_VALUE"""),"PartnerConnect - Technology")</f>
        <v>PartnerConnect - Technology</v>
      </c>
      <c r="I100" s="16" t="str">
        <f>IFERROR(__xludf.DUMMYFUNCTION("""COMPUTED_VALUE"""),"1000 Walnut St")</f>
        <v>1000 Walnut St</v>
      </c>
      <c r="J100" s="16"/>
      <c r="K100" s="16" t="str">
        <f>IFERROR(__xludf.DUMMYFUNCTION("""COMPUTED_VALUE"""),"Kansas City")</f>
        <v>Kansas City</v>
      </c>
      <c r="L100" s="16" t="str">
        <f>IFERROR(__xludf.DUMMYFUNCTION("""COMPUTED_VALUE"""),"Missouri")</f>
        <v>Missouri</v>
      </c>
      <c r="M100" s="16">
        <f>IFERROR(__xludf.DUMMYFUNCTION("""COMPUTED_VALUE"""),64105.0)</f>
        <v>64105</v>
      </c>
      <c r="N100" s="16" t="str">
        <f>IFERROR(__xludf.DUMMYFUNCTION("""COMPUTED_VALUE"""),"United States")</f>
        <v>United States</v>
      </c>
      <c r="O100" s="16" t="str">
        <f>IFERROR(__xludf.DUMMYFUNCTION("""COMPUTED_VALUE"""),"Low")</f>
        <v>Low</v>
      </c>
      <c r="P100" s="16" t="b">
        <f>IFERROR(__xludf.DUMMYFUNCTION("""COMPUTED_VALUE"""),FALSE)</f>
        <v>0</v>
      </c>
      <c r="Q100" s="16" t="b">
        <f>IFERROR(__xludf.DUMMYFUNCTION("""COMPUTED_VALUE"""),TRUE)</f>
        <v>1</v>
      </c>
      <c r="R100" s="16" t="str">
        <f>IFERROR(__xludf.DUMMYFUNCTION("""COMPUTED_VALUE"""),"Business, Events, Marketing")</f>
        <v>Business, Events, Marketing</v>
      </c>
      <c r="S100" s="16" t="str">
        <f>IFERROR(__xludf.DUMMYFUNCTION("""COMPUTED_VALUE"""),"Commerce Bank")</f>
        <v>Commerce Bank</v>
      </c>
      <c r="T100" s="16" t="str">
        <f>IFERROR(__xludf.DUMMYFUNCTION("""COMPUTED_VALUE"""),"Current Partner")</f>
        <v>Current Partner</v>
      </c>
      <c r="U100" s="16" t="b">
        <f>IFERROR(__xludf.DUMMYFUNCTION("""COMPUTED_VALUE"""),FALSE)</f>
        <v>0</v>
      </c>
      <c r="V100" s="16"/>
      <c r="W100" s="16"/>
      <c r="X100" s="16"/>
    </row>
    <row r="101">
      <c r="A101" s="16" t="str">
        <f>IFERROR(__xludf.DUMMYFUNCTION("""COMPUTED_VALUE"""),"Katherine")</f>
        <v>Katherine</v>
      </c>
      <c r="B101" s="16" t="str">
        <f>IFERROR(__xludf.DUMMYFUNCTION("""COMPUTED_VALUE"""),"Hamilton")</f>
        <v>Hamilton</v>
      </c>
      <c r="C101" s="16"/>
      <c r="D101" s="16" t="str">
        <f>IFERROR(__xludf.DUMMYFUNCTION("""COMPUTED_VALUE"""),"Commerce Bank")</f>
        <v>Commerce Bank</v>
      </c>
      <c r="E101" s="16" t="str">
        <f>IFERROR(__xludf.DUMMYFUNCTION("""COMPUTED_VALUE"""),"Growth")</f>
        <v>Growth</v>
      </c>
      <c r="F101" s="16" t="str">
        <f>IFERROR(__xludf.DUMMYFUNCTION("""COMPUTED_VALUE"""),"katherine.hamilton@commercebank.com")</f>
        <v>katherine.hamilton@commercebank.com</v>
      </c>
      <c r="G101" s="16" t="str">
        <f>IFERROR(__xludf.DUMMYFUNCTION("""COMPUTED_VALUE"""),"Aaron Shaw")</f>
        <v>Aaron Shaw</v>
      </c>
      <c r="H101" s="16" t="str">
        <f>IFERROR(__xludf.DUMMYFUNCTION("""COMPUTED_VALUE"""),"PartnerConnect - Technology")</f>
        <v>PartnerConnect - Technology</v>
      </c>
      <c r="I101" s="16" t="str">
        <f>IFERROR(__xludf.DUMMYFUNCTION("""COMPUTED_VALUE"""),"1000 Walnut St")</f>
        <v>1000 Walnut St</v>
      </c>
      <c r="J101" s="16"/>
      <c r="K101" s="16" t="str">
        <f>IFERROR(__xludf.DUMMYFUNCTION("""COMPUTED_VALUE"""),"Kansas City")</f>
        <v>Kansas City</v>
      </c>
      <c r="L101" s="16" t="str">
        <f>IFERROR(__xludf.DUMMYFUNCTION("""COMPUTED_VALUE"""),"Missouri")</f>
        <v>Missouri</v>
      </c>
      <c r="M101" s="16">
        <f>IFERROR(__xludf.DUMMYFUNCTION("""COMPUTED_VALUE"""),64105.0)</f>
        <v>64105</v>
      </c>
      <c r="N101" s="16" t="str">
        <f>IFERROR(__xludf.DUMMYFUNCTION("""COMPUTED_VALUE"""),"United States")</f>
        <v>United States</v>
      </c>
      <c r="O101" s="16" t="str">
        <f>IFERROR(__xludf.DUMMYFUNCTION("""COMPUTED_VALUE"""),"Low")</f>
        <v>Low</v>
      </c>
      <c r="P101" s="16" t="b">
        <f>IFERROR(__xludf.DUMMYFUNCTION("""COMPUTED_VALUE"""),FALSE)</f>
        <v>0</v>
      </c>
      <c r="Q101" s="16" t="b">
        <f>IFERROR(__xludf.DUMMYFUNCTION("""COMPUTED_VALUE"""),TRUE)</f>
        <v>1</v>
      </c>
      <c r="R101" s="16" t="str">
        <f>IFERROR(__xludf.DUMMYFUNCTION("""COMPUTED_VALUE"""),"Business, Events, Marketing")</f>
        <v>Business, Events, Marketing</v>
      </c>
      <c r="S101" s="16" t="str">
        <f>IFERROR(__xludf.DUMMYFUNCTION("""COMPUTED_VALUE"""),"Commerce Bank")</f>
        <v>Commerce Bank</v>
      </c>
      <c r="T101" s="16" t="str">
        <f>IFERROR(__xludf.DUMMYFUNCTION("""COMPUTED_VALUE"""),"Current Partner")</f>
        <v>Current Partner</v>
      </c>
      <c r="U101" s="16" t="b">
        <f>IFERROR(__xludf.DUMMYFUNCTION("""COMPUTED_VALUE"""),FALSE)</f>
        <v>0</v>
      </c>
      <c r="V101" s="16"/>
      <c r="W101" s="16"/>
      <c r="X101" s="16"/>
    </row>
    <row r="102">
      <c r="A102" s="16" t="str">
        <f>IFERROR(__xludf.DUMMYFUNCTION("""COMPUTED_VALUE"""),"Chloe")</f>
        <v>Chloe</v>
      </c>
      <c r="B102" s="16" t="str">
        <f>IFERROR(__xludf.DUMMYFUNCTION("""COMPUTED_VALUE"""),"Leong")</f>
        <v>Leong</v>
      </c>
      <c r="C102" s="16" t="str">
        <f>IFERROR(__xludf.DUMMYFUNCTION("""COMPUTED_VALUE"""),"Account Director, Insurance")</f>
        <v>Account Director, Insurance</v>
      </c>
      <c r="D102" s="16" t="str">
        <f>IFERROR(__xludf.DUMMYFUNCTION("""COMPUTED_VALUE"""),"Computershare Communication Services Pty Ltd")</f>
        <v>Computershare Communication Services Pty Ltd</v>
      </c>
      <c r="E102" s="16" t="str">
        <f>IFERROR(__xludf.DUMMYFUNCTION("""COMPUTED_VALUE"""),"Growth")</f>
        <v>Growth</v>
      </c>
      <c r="F102" s="16" t="str">
        <f>IFERROR(__xludf.DUMMYFUNCTION("""COMPUTED_VALUE"""),"chloe.leong@computershare.com.au")</f>
        <v>chloe.leong@computershare.com.au</v>
      </c>
      <c r="G102" s="16" t="str">
        <f>IFERROR(__xludf.DUMMYFUNCTION("""COMPUTED_VALUE"""),"Ketaki Padhye")</f>
        <v>Ketaki Padhye</v>
      </c>
      <c r="H102" s="16" t="str">
        <f>IFERROR(__xludf.DUMMYFUNCTION("""COMPUTED_VALUE"""),"PartnerConnect - Technology")</f>
        <v>PartnerConnect - Technology</v>
      </c>
      <c r="I102" s="16" t="str">
        <f>IFERROR(__xludf.DUMMYFUNCTION("""COMPUTED_VALUE"""),"21 Wirraway Drive")</f>
        <v>21 Wirraway Drive</v>
      </c>
      <c r="J102" s="16"/>
      <c r="K102" s="16" t="str">
        <f>IFERROR(__xludf.DUMMYFUNCTION("""COMPUTED_VALUE"""),"Port Melbourne")</f>
        <v>Port Melbourne</v>
      </c>
      <c r="L102" s="16" t="str">
        <f>IFERROR(__xludf.DUMMYFUNCTION("""COMPUTED_VALUE"""),"VIC")</f>
        <v>VIC</v>
      </c>
      <c r="M102" s="16">
        <f>IFERROR(__xludf.DUMMYFUNCTION("""COMPUTED_VALUE"""),3207.0)</f>
        <v>3207</v>
      </c>
      <c r="N102" s="16" t="str">
        <f>IFERROR(__xludf.DUMMYFUNCTION("""COMPUTED_VALUE"""),"Australia")</f>
        <v>Australia</v>
      </c>
      <c r="O102" s="16" t="str">
        <f>IFERROR(__xludf.DUMMYFUNCTION("""COMPUTED_VALUE"""),"Medium")</f>
        <v>Medium</v>
      </c>
      <c r="P102" s="16" t="b">
        <f>IFERROR(__xludf.DUMMYFUNCTION("""COMPUTED_VALUE"""),TRUE)</f>
        <v>1</v>
      </c>
      <c r="Q102" s="16" t="b">
        <f>IFERROR(__xludf.DUMMYFUNCTION("""COMPUTED_VALUE"""),TRUE)</f>
        <v>1</v>
      </c>
      <c r="R102" s="16" t="str">
        <f>IFERROR(__xludf.DUMMYFUNCTION("""COMPUTED_VALUE"""),"Admin, Marketing, Main Billing Contact, Billing Contact  LMS Training Fees")</f>
        <v>Admin, Marketing, Main Billing Contact, Billing Contact  LMS Training Fees</v>
      </c>
      <c r="S102" s="16" t="str">
        <f>IFERROR(__xludf.DUMMYFUNCTION("""COMPUTED_VALUE"""),"Computershare")</f>
        <v>Computershare</v>
      </c>
      <c r="T102" s="16" t="str">
        <f>IFERROR(__xludf.DUMMYFUNCTION("""COMPUTED_VALUE"""),"Current Partner")</f>
        <v>Current Partner</v>
      </c>
      <c r="U102" s="16" t="b">
        <f>IFERROR(__xludf.DUMMYFUNCTION("""COMPUTED_VALUE"""),FALSE)</f>
        <v>0</v>
      </c>
      <c r="V102" s="16"/>
      <c r="W102" s="16"/>
      <c r="X102" s="16"/>
    </row>
    <row r="103">
      <c r="A103" s="16" t="str">
        <f>IFERROR(__xludf.DUMMYFUNCTION("""COMPUTED_VALUE"""),"Jose")</f>
        <v>Jose</v>
      </c>
      <c r="B103" s="16" t="str">
        <f>IFERROR(__xludf.DUMMYFUNCTION("""COMPUTED_VALUE"""),"Loera")</f>
        <v>Loera</v>
      </c>
      <c r="C103" s="16" t="str">
        <f>IFERROR(__xludf.DUMMYFUNCTION("""COMPUTED_VALUE"""),"Head of Sales")</f>
        <v>Head of Sales</v>
      </c>
      <c r="D103" s="16" t="str">
        <f>IFERROR(__xludf.DUMMYFUNCTION("""COMPUTED_VALUE"""),"Confianza Inc.")</f>
        <v>Confianza Inc.</v>
      </c>
      <c r="E103" s="16" t="str">
        <f>IFERROR(__xludf.DUMMYFUNCTION("""COMPUTED_VALUE"""),"Growth")</f>
        <v>Growth</v>
      </c>
      <c r="F103" s="16" t="str">
        <f>IFERROR(__xludf.DUMMYFUNCTION("""COMPUTED_VALUE"""),"jloera@confianzaus.com")</f>
        <v>jloera@confianzaus.com</v>
      </c>
      <c r="G103" s="16" t="str">
        <f>IFERROR(__xludf.DUMMYFUNCTION("""COMPUTED_VALUE"""),"Rod Gowin")</f>
        <v>Rod Gowin</v>
      </c>
      <c r="H103" s="16" t="str">
        <f>IFERROR(__xludf.DUMMYFUNCTION("""COMPUTED_VALUE"""),"PartnerConnect - Technology")</f>
        <v>PartnerConnect - Technology</v>
      </c>
      <c r="I103" s="16" t="str">
        <f>IFERROR(__xludf.DUMMYFUNCTION("""COMPUTED_VALUE"""),"7910 N. Tamiami Trail")</f>
        <v>7910 N. Tamiami Trail</v>
      </c>
      <c r="J103" s="16"/>
      <c r="K103" s="16" t="str">
        <f>IFERROR(__xludf.DUMMYFUNCTION("""COMPUTED_VALUE"""),"Sarasota")</f>
        <v>Sarasota</v>
      </c>
      <c r="L103" s="16" t="str">
        <f>IFERROR(__xludf.DUMMYFUNCTION("""COMPUTED_VALUE"""),"FLORIDA")</f>
        <v>FLORIDA</v>
      </c>
      <c r="M103" s="16">
        <f>IFERROR(__xludf.DUMMYFUNCTION("""COMPUTED_VALUE"""),34243.0)</f>
        <v>34243</v>
      </c>
      <c r="N103" s="16" t="str">
        <f>IFERROR(__xludf.DUMMYFUNCTION("""COMPUTED_VALUE"""),"United States")</f>
        <v>United States</v>
      </c>
      <c r="O103" s="16" t="str">
        <f>IFERROR(__xludf.DUMMYFUNCTION("""COMPUTED_VALUE"""),"Low")</f>
        <v>Low</v>
      </c>
      <c r="P103" s="16" t="b">
        <f>IFERROR(__xludf.DUMMYFUNCTION("""COMPUTED_VALUE"""),TRUE)</f>
        <v>1</v>
      </c>
      <c r="Q103" s="16" t="b">
        <f>IFERROR(__xludf.DUMMYFUNCTION("""COMPUTED_VALUE"""),TRUE)</f>
        <v>1</v>
      </c>
      <c r="R103" s="16" t="str">
        <f>IFERROR(__xludf.DUMMYFUNCTION("""COMPUTED_VALUE"""),"Admin, Business, Events, Marketing")</f>
        <v>Admin, Business, Events, Marketing</v>
      </c>
      <c r="S103" s="16" t="str">
        <f>IFERROR(__xludf.DUMMYFUNCTION("""COMPUTED_VALUE"""),"Confianza")</f>
        <v>Confianza</v>
      </c>
      <c r="T103" s="16" t="str">
        <f>IFERROR(__xludf.DUMMYFUNCTION("""COMPUTED_VALUE"""),"Current Partner")</f>
        <v>Current Partner</v>
      </c>
      <c r="U103" s="16" t="b">
        <f>IFERROR(__xludf.DUMMYFUNCTION("""COMPUTED_VALUE"""),FALSE)</f>
        <v>0</v>
      </c>
      <c r="V103" s="16"/>
      <c r="W103" s="16"/>
      <c r="X103" s="16"/>
    </row>
    <row r="104">
      <c r="A104" s="16" t="str">
        <f>IFERROR(__xludf.DUMMYFUNCTION("""COMPUTED_VALUE"""),"Sebastian")</f>
        <v>Sebastian</v>
      </c>
      <c r="B104" s="16" t="str">
        <f>IFERROR(__xludf.DUMMYFUNCTION("""COMPUTED_VALUE"""),"Muller")</f>
        <v>Muller</v>
      </c>
      <c r="C104" s="16"/>
      <c r="D104" s="16" t="str">
        <f>IFERROR(__xludf.DUMMYFUNCTION("""COMPUTED_VALUE"""),"ControlExpert GmbH")</f>
        <v>ControlExpert GmbH</v>
      </c>
      <c r="E104" s="16" t="str">
        <f>IFERROR(__xludf.DUMMYFUNCTION("""COMPUTED_VALUE"""),"Growth")</f>
        <v>Growth</v>
      </c>
      <c r="F104" s="16" t="str">
        <f>IFERROR(__xludf.DUMMYFUNCTION("""COMPUTED_VALUE"""),"s.mueller@controlexpert.com")</f>
        <v>s.mueller@controlexpert.com</v>
      </c>
      <c r="G104" s="16" t="str">
        <f>IFERROR(__xludf.DUMMYFUNCTION("""COMPUTED_VALUE"""),"Vivienne Hoary")</f>
        <v>Vivienne Hoary</v>
      </c>
      <c r="H104" s="16" t="str">
        <f>IFERROR(__xludf.DUMMYFUNCTION("""COMPUTED_VALUE"""),"PartnerConnect - Technology")</f>
        <v>PartnerConnect - Technology</v>
      </c>
      <c r="I104" s="16" t="str">
        <f>IFERROR(__xludf.DUMMYFUNCTION("""COMPUTED_VALUE"""),"Marie-Curie-Straße 3")</f>
        <v>Marie-Curie-Straße 3</v>
      </c>
      <c r="J104" s="16"/>
      <c r="K104" s="16" t="str">
        <f>IFERROR(__xludf.DUMMYFUNCTION("""COMPUTED_VALUE"""),"Langenfeld (Rheinland)")</f>
        <v>Langenfeld (Rheinland)</v>
      </c>
      <c r="L104" s="16"/>
      <c r="M104" s="16">
        <f>IFERROR(__xludf.DUMMYFUNCTION("""COMPUTED_VALUE"""),40764.0)</f>
        <v>40764</v>
      </c>
      <c r="N104" s="16" t="str">
        <f>IFERROR(__xludf.DUMMYFUNCTION("""COMPUTED_VALUE"""),"Germany")</f>
        <v>Germany</v>
      </c>
      <c r="O104" s="16" t="str">
        <f>IFERROR(__xludf.DUMMYFUNCTION("""COMPUTED_VALUE"""),"Medium")</f>
        <v>Medium</v>
      </c>
      <c r="P104" s="16" t="b">
        <f>IFERROR(__xludf.DUMMYFUNCTION("""COMPUTED_VALUE"""),FALSE)</f>
        <v>0</v>
      </c>
      <c r="Q104" s="16" t="b">
        <f>IFERROR(__xludf.DUMMYFUNCTION("""COMPUTED_VALUE"""),TRUE)</f>
        <v>1</v>
      </c>
      <c r="R104" s="16" t="str">
        <f>IFERROR(__xludf.DUMMYFUNCTION("""COMPUTED_VALUE"""),"Events, Marketing")</f>
        <v>Events, Marketing</v>
      </c>
      <c r="S104" s="16" t="str">
        <f>IFERROR(__xludf.DUMMYFUNCTION("""COMPUTED_VALUE"""),"ControlExpert")</f>
        <v>ControlExpert</v>
      </c>
      <c r="T104" s="16" t="str">
        <f>IFERROR(__xludf.DUMMYFUNCTION("""COMPUTED_VALUE"""),"Current Partner")</f>
        <v>Current Partner</v>
      </c>
      <c r="U104" s="16" t="b">
        <f>IFERROR(__xludf.DUMMYFUNCTION("""COMPUTED_VALUE"""),FALSE)</f>
        <v>0</v>
      </c>
      <c r="V104" s="16"/>
      <c r="W104" s="16"/>
      <c r="X104" s="16"/>
    </row>
    <row r="105">
      <c r="A105" s="16" t="str">
        <f>IFERROR(__xludf.DUMMYFUNCTION("""COMPUTED_VALUE"""),"Shilpa")</f>
        <v>Shilpa</v>
      </c>
      <c r="B105" s="16" t="str">
        <f>IFERROR(__xludf.DUMMYFUNCTION("""COMPUTED_VALUE"""),"Nagaraj")</f>
        <v>Nagaraj</v>
      </c>
      <c r="C105" s="16" t="str">
        <f>IFERROR(__xludf.DUMMYFUNCTION("""COMPUTED_VALUE"""),"Product Manager")</f>
        <v>Product Manager</v>
      </c>
      <c r="D105" s="16" t="str">
        <f>IFERROR(__xludf.DUMMYFUNCTION("""COMPUTED_VALUE"""),"ControlExpert GmbH")</f>
        <v>ControlExpert GmbH</v>
      </c>
      <c r="E105" s="16" t="str">
        <f>IFERROR(__xludf.DUMMYFUNCTION("""COMPUTED_VALUE"""),"Growth")</f>
        <v>Growth</v>
      </c>
      <c r="F105" s="16" t="str">
        <f>IFERROR(__xludf.DUMMYFUNCTION("""COMPUTED_VALUE"""),"s.nagaraj@controlexpertus.com")</f>
        <v>s.nagaraj@controlexpertus.com</v>
      </c>
      <c r="G105" s="16" t="str">
        <f>IFERROR(__xludf.DUMMYFUNCTION("""COMPUTED_VALUE"""),"Vivienne Hoary")</f>
        <v>Vivienne Hoary</v>
      </c>
      <c r="H105" s="16" t="str">
        <f>IFERROR(__xludf.DUMMYFUNCTION("""COMPUTED_VALUE"""),"PartnerConnect - Technology")</f>
        <v>PartnerConnect - Technology</v>
      </c>
      <c r="I105" s="16" t="str">
        <f>IFERROR(__xludf.DUMMYFUNCTION("""COMPUTED_VALUE"""),"1560 E. Southlake Blvd., Suite 100")</f>
        <v>1560 E. Southlake Blvd., Suite 100</v>
      </c>
      <c r="J105" s="16"/>
      <c r="K105" s="16" t="str">
        <f>IFERROR(__xludf.DUMMYFUNCTION("""COMPUTED_VALUE"""),"Southlake")</f>
        <v>Southlake</v>
      </c>
      <c r="L105" s="16" t="str">
        <f>IFERROR(__xludf.DUMMYFUNCTION("""COMPUTED_VALUE"""),"Texas")</f>
        <v>Texas</v>
      </c>
      <c r="M105" s="16">
        <f>IFERROR(__xludf.DUMMYFUNCTION("""COMPUTED_VALUE"""),76092.0)</f>
        <v>76092</v>
      </c>
      <c r="N105" s="16" t="str">
        <f>IFERROR(__xludf.DUMMYFUNCTION("""COMPUTED_VALUE"""),"United States")</f>
        <v>United States</v>
      </c>
      <c r="O105" s="16" t="str">
        <f>IFERROR(__xludf.DUMMYFUNCTION("""COMPUTED_VALUE"""),"Medium")</f>
        <v>Medium</v>
      </c>
      <c r="P105" s="16" t="b">
        <f>IFERROR(__xludf.DUMMYFUNCTION("""COMPUTED_VALUE"""),TRUE)</f>
        <v>1</v>
      </c>
      <c r="Q105" s="16" t="b">
        <f>IFERROR(__xludf.DUMMYFUNCTION("""COMPUTED_VALUE"""),FALSE)</f>
        <v>0</v>
      </c>
      <c r="R105" s="16" t="str">
        <f>IFERROR(__xludf.DUMMYFUNCTION("""COMPUTED_VALUE"""),"Business")</f>
        <v>Business</v>
      </c>
      <c r="S105" s="16" t="str">
        <f>IFERROR(__xludf.DUMMYFUNCTION("""COMPUTED_VALUE"""),"ControlExpert")</f>
        <v>ControlExpert</v>
      </c>
      <c r="T105" s="16" t="str">
        <f>IFERROR(__xludf.DUMMYFUNCTION("""COMPUTED_VALUE"""),"Current Partner")</f>
        <v>Current Partner</v>
      </c>
      <c r="U105" s="16" t="b">
        <f>IFERROR(__xludf.DUMMYFUNCTION("""COMPUTED_VALUE"""),FALSE)</f>
        <v>0</v>
      </c>
      <c r="V105" s="16"/>
      <c r="W105" s="16"/>
      <c r="X105" s="16"/>
    </row>
    <row r="106">
      <c r="A106" s="16" t="str">
        <f>IFERROR(__xludf.DUMMYFUNCTION("""COMPUTED_VALUE"""),"Jayaram")</f>
        <v>Jayaram</v>
      </c>
      <c r="B106" s="16" t="str">
        <f>IFERROR(__xludf.DUMMYFUNCTION("""COMPUTED_VALUE"""),"Nambiar")</f>
        <v>Nambiar</v>
      </c>
      <c r="C106" s="16" t="str">
        <f>IFERROR(__xludf.DUMMYFUNCTION("""COMPUTED_VALUE"""),"VP")</f>
        <v>VP</v>
      </c>
      <c r="D106" s="16" t="str">
        <f>IFERROR(__xludf.DUMMYFUNCTION("""COMPUTED_VALUE"""),"Convr, Inc.")</f>
        <v>Convr, Inc.</v>
      </c>
      <c r="E106" s="16" t="str">
        <f>IFERROR(__xludf.DUMMYFUNCTION("""COMPUTED_VALUE"""),"Growth")</f>
        <v>Growth</v>
      </c>
      <c r="F106" s="16" t="str">
        <f>IFERROR(__xludf.DUMMYFUNCTION("""COMPUTED_VALUE"""),"jayaram.nambiar@convr.com")</f>
        <v>jayaram.nambiar@convr.com</v>
      </c>
      <c r="G106" s="16" t="str">
        <f>IFERROR(__xludf.DUMMYFUNCTION("""COMPUTED_VALUE"""),"Aaron Shaw")</f>
        <v>Aaron Shaw</v>
      </c>
      <c r="H106" s="16" t="str">
        <f>IFERROR(__xludf.DUMMYFUNCTION("""COMPUTED_VALUE"""),"PartnerConnect - Technology")</f>
        <v>PartnerConnect - Technology</v>
      </c>
      <c r="I106" s="16"/>
      <c r="J106" s="16"/>
      <c r="K106" s="16" t="str">
        <f>IFERROR(__xludf.DUMMYFUNCTION("""COMPUTED_VALUE"""),"Schaumburg")</f>
        <v>Schaumburg</v>
      </c>
      <c r="L106" s="16" t="str">
        <f>IFERROR(__xludf.DUMMYFUNCTION("""COMPUTED_VALUE"""),"IL")</f>
        <v>IL</v>
      </c>
      <c r="M106" s="16">
        <f>IFERROR(__xludf.DUMMYFUNCTION("""COMPUTED_VALUE"""),60173.0)</f>
        <v>60173</v>
      </c>
      <c r="N106" s="16" t="str">
        <f>IFERROR(__xludf.DUMMYFUNCTION("""COMPUTED_VALUE"""),"United States")</f>
        <v>United States</v>
      </c>
      <c r="O106" s="16" t="str">
        <f>IFERROR(__xludf.DUMMYFUNCTION("""COMPUTED_VALUE"""),"Medium")</f>
        <v>Medium</v>
      </c>
      <c r="P106" s="16" t="b">
        <f>IFERROR(__xludf.DUMMYFUNCTION("""COMPUTED_VALUE"""),TRUE)</f>
        <v>1</v>
      </c>
      <c r="Q106" s="16" t="b">
        <f>IFERROR(__xludf.DUMMYFUNCTION("""COMPUTED_VALUE"""),FALSE)</f>
        <v>0</v>
      </c>
      <c r="R106" s="16" t="str">
        <f>IFERROR(__xludf.DUMMYFUNCTION("""COMPUTED_VALUE"""),"Admin, Training")</f>
        <v>Admin, Training</v>
      </c>
      <c r="S106" s="16" t="str">
        <f>IFERROR(__xludf.DUMMYFUNCTION("""COMPUTED_VALUE"""),"Convr")</f>
        <v>Convr</v>
      </c>
      <c r="T106" s="16" t="str">
        <f>IFERROR(__xludf.DUMMYFUNCTION("""COMPUTED_VALUE"""),"Current Partner")</f>
        <v>Current Partner</v>
      </c>
      <c r="U106" s="16" t="b">
        <f>IFERROR(__xludf.DUMMYFUNCTION("""COMPUTED_VALUE"""),FALSE)</f>
        <v>0</v>
      </c>
      <c r="V106" s="16"/>
      <c r="W106" s="16"/>
      <c r="X106" s="16"/>
    </row>
    <row r="107">
      <c r="A107" s="16" t="str">
        <f>IFERROR(__xludf.DUMMYFUNCTION("""COMPUTED_VALUE"""),"Satya")</f>
        <v>Satya</v>
      </c>
      <c r="B107" s="16" t="str">
        <f>IFERROR(__xludf.DUMMYFUNCTION("""COMPUTED_VALUE"""),"Mandalapu")</f>
        <v>Mandalapu</v>
      </c>
      <c r="C107" s="16" t="str">
        <f>IFERROR(__xludf.DUMMYFUNCTION("""COMPUTED_VALUE"""),"Vice President Of Software Engineering")</f>
        <v>Vice President Of Software Engineering</v>
      </c>
      <c r="D107" s="16" t="str">
        <f>IFERROR(__xludf.DUMMYFUNCTION("""COMPUTED_VALUE"""),"Copart, Inc.")</f>
        <v>Copart, Inc.</v>
      </c>
      <c r="E107" s="16" t="str">
        <f>IFERROR(__xludf.DUMMYFUNCTION("""COMPUTED_VALUE"""),"Growth")</f>
        <v>Growth</v>
      </c>
      <c r="F107" s="16" t="str">
        <f>IFERROR(__xludf.DUMMYFUNCTION("""COMPUTED_VALUE"""),"satya.mandalapu@copart.com")</f>
        <v>satya.mandalapu@copart.com</v>
      </c>
      <c r="G107" s="16" t="str">
        <f>IFERROR(__xludf.DUMMYFUNCTION("""COMPUTED_VALUE"""),"Aaron Shaw")</f>
        <v>Aaron Shaw</v>
      </c>
      <c r="H107" s="16" t="str">
        <f>IFERROR(__xludf.DUMMYFUNCTION("""COMPUTED_VALUE"""),"PartnerConnect - Technology")</f>
        <v>PartnerConnect - Technology</v>
      </c>
      <c r="I107" s="16" t="str">
        <f>IFERROR(__xludf.DUMMYFUNCTION("""COMPUTED_VALUE"""),"14185 Dallas Parkway, Ste 300")</f>
        <v>14185 Dallas Parkway, Ste 300</v>
      </c>
      <c r="J107" s="16"/>
      <c r="K107" s="16" t="str">
        <f>IFERROR(__xludf.DUMMYFUNCTION("""COMPUTED_VALUE"""),"Dallas")</f>
        <v>Dallas</v>
      </c>
      <c r="L107" s="16" t="str">
        <f>IFERROR(__xludf.DUMMYFUNCTION("""COMPUTED_VALUE"""),"Texas")</f>
        <v>Texas</v>
      </c>
      <c r="M107" s="16">
        <f>IFERROR(__xludf.DUMMYFUNCTION("""COMPUTED_VALUE"""),75254.0)</f>
        <v>75254</v>
      </c>
      <c r="N107" s="16" t="str">
        <f>IFERROR(__xludf.DUMMYFUNCTION("""COMPUTED_VALUE"""),"United States")</f>
        <v>United States</v>
      </c>
      <c r="O107" s="16" t="str">
        <f>IFERROR(__xludf.DUMMYFUNCTION("""COMPUTED_VALUE"""),"High")</f>
        <v>High</v>
      </c>
      <c r="P107" s="16" t="b">
        <f>IFERROR(__xludf.DUMMYFUNCTION("""COMPUTED_VALUE"""),TRUE)</f>
        <v>1</v>
      </c>
      <c r="Q107" s="16" t="b">
        <f>IFERROR(__xludf.DUMMYFUNCTION("""COMPUTED_VALUE"""),TRUE)</f>
        <v>1</v>
      </c>
      <c r="R107" s="16" t="str">
        <f>IFERROR(__xludf.DUMMYFUNCTION("""COMPUTED_VALUE"""),"Admin, Business, Events, Marketing, Training")</f>
        <v>Admin, Business, Events, Marketing, Training</v>
      </c>
      <c r="S107" s="16" t="str">
        <f>IFERROR(__xludf.DUMMYFUNCTION("""COMPUTED_VALUE"""),"Copart")</f>
        <v>Copart</v>
      </c>
      <c r="T107" s="16" t="str">
        <f>IFERROR(__xludf.DUMMYFUNCTION("""COMPUTED_VALUE"""),"Current Partner")</f>
        <v>Current Partner</v>
      </c>
      <c r="U107" s="16" t="b">
        <f>IFERROR(__xludf.DUMMYFUNCTION("""COMPUTED_VALUE"""),FALSE)</f>
        <v>0</v>
      </c>
      <c r="V107" s="16"/>
      <c r="W107" s="16"/>
      <c r="X107" s="16"/>
    </row>
    <row r="108">
      <c r="A108" s="16" t="str">
        <f>IFERROR(__xludf.DUMMYFUNCTION("""COMPUTED_VALUE"""),"Lucy")</f>
        <v>Lucy</v>
      </c>
      <c r="B108" s="16" t="str">
        <f>IFERROR(__xludf.DUMMYFUNCTION("""COMPUTED_VALUE"""),"De Oliveira")</f>
        <v>De Oliveira</v>
      </c>
      <c r="C108" s="16" t="str">
        <f>IFERROR(__xludf.DUMMYFUNCTION("""COMPUTED_VALUE"""),"VP Marketing")</f>
        <v>VP Marketing</v>
      </c>
      <c r="D108" s="16" t="str">
        <f>IFERROR(__xludf.DUMMYFUNCTION("""COMPUTED_VALUE"""),"CoreLogic")</f>
        <v>CoreLogic</v>
      </c>
      <c r="E108" s="16" t="str">
        <f>IFERROR(__xludf.DUMMYFUNCTION("""COMPUTED_VALUE"""),"Advantage")</f>
        <v>Advantage</v>
      </c>
      <c r="F108" s="16" t="str">
        <f>IFERROR(__xludf.DUMMYFUNCTION("""COMPUTED_VALUE"""),"ldeoliveira@corelogic.com")</f>
        <v>ldeoliveira@corelogic.com</v>
      </c>
      <c r="G108" s="16" t="str">
        <f>IFERROR(__xludf.DUMMYFUNCTION("""COMPUTED_VALUE"""),"Tim Kennedy")</f>
        <v>Tim Kennedy</v>
      </c>
      <c r="H108" s="16" t="str">
        <f>IFERROR(__xludf.DUMMYFUNCTION("""COMPUTED_VALUE"""),"PartnerConnect - Technology")</f>
        <v>PartnerConnect - Technology</v>
      </c>
      <c r="I108" s="16"/>
      <c r="J108" s="16"/>
      <c r="K108" s="16"/>
      <c r="L108" s="16"/>
      <c r="M108" s="16"/>
      <c r="N108" s="16" t="str">
        <f>IFERROR(__xludf.DUMMYFUNCTION("""COMPUTED_VALUE"""),"United States")</f>
        <v>United States</v>
      </c>
      <c r="O108" s="16" t="str">
        <f>IFERROR(__xludf.DUMMYFUNCTION("""COMPUTED_VALUE"""),"High")</f>
        <v>High</v>
      </c>
      <c r="P108" s="16" t="b">
        <f>IFERROR(__xludf.DUMMYFUNCTION("""COMPUTED_VALUE"""),FALSE)</f>
        <v>0</v>
      </c>
      <c r="Q108" s="16" t="b">
        <f>IFERROR(__xludf.DUMMYFUNCTION("""COMPUTED_VALUE"""),TRUE)</f>
        <v>1</v>
      </c>
      <c r="R108" s="16" t="str">
        <f>IFERROR(__xludf.DUMMYFUNCTION("""COMPUTED_VALUE"""),"Business, Events, Marketing")</f>
        <v>Business, Events, Marketing</v>
      </c>
      <c r="S108" s="16" t="str">
        <f>IFERROR(__xludf.DUMMYFUNCTION("""COMPUTED_VALUE"""),"Corelogic")</f>
        <v>Corelogic</v>
      </c>
      <c r="T108" s="16" t="str">
        <f>IFERROR(__xludf.DUMMYFUNCTION("""COMPUTED_VALUE"""),"Current Partner")</f>
        <v>Current Partner</v>
      </c>
      <c r="U108" s="16" t="b">
        <f>IFERROR(__xludf.DUMMYFUNCTION("""COMPUTED_VALUE"""),FALSE)</f>
        <v>0</v>
      </c>
      <c r="V108" s="16"/>
      <c r="W108" s="16"/>
      <c r="X108" s="16"/>
    </row>
    <row r="109">
      <c r="A109" s="16" t="str">
        <f>IFERROR(__xludf.DUMMYFUNCTION("""COMPUTED_VALUE"""),"Lori")</f>
        <v>Lori</v>
      </c>
      <c r="B109" s="16" t="str">
        <f>IFERROR(__xludf.DUMMYFUNCTION("""COMPUTED_VALUE"""),"Garza")</f>
        <v>Garza</v>
      </c>
      <c r="C109" s="16" t="str">
        <f>IFERROR(__xludf.DUMMYFUNCTION("""COMPUTED_VALUE"""),"Sr. Segment Marketing Manager")</f>
        <v>Sr. Segment Marketing Manager</v>
      </c>
      <c r="D109" s="16" t="str">
        <f>IFERROR(__xludf.DUMMYFUNCTION("""COMPUTED_VALUE"""),"CoreLogic")</f>
        <v>CoreLogic</v>
      </c>
      <c r="E109" s="16" t="str">
        <f>IFERROR(__xludf.DUMMYFUNCTION("""COMPUTED_VALUE"""),"Advantage")</f>
        <v>Advantage</v>
      </c>
      <c r="F109" s="16" t="str">
        <f>IFERROR(__xludf.DUMMYFUNCTION("""COMPUTED_VALUE"""),"logarza@corelogic.com")</f>
        <v>logarza@corelogic.com</v>
      </c>
      <c r="G109" s="16" t="str">
        <f>IFERROR(__xludf.DUMMYFUNCTION("""COMPUTED_VALUE"""),"Tim Kennedy")</f>
        <v>Tim Kennedy</v>
      </c>
      <c r="H109" s="16" t="str">
        <f>IFERROR(__xludf.DUMMYFUNCTION("""COMPUTED_VALUE"""),"PartnerConnect - Technology")</f>
        <v>PartnerConnect - Technology</v>
      </c>
      <c r="I109" s="16" t="str">
        <f>IFERROR(__xludf.DUMMYFUNCTION("""COMPUTED_VALUE"""),"10001 Innovation Drive, Suite 100")</f>
        <v>10001 Innovation Drive, Suite 100</v>
      </c>
      <c r="J109" s="16"/>
      <c r="K109" s="16" t="str">
        <f>IFERROR(__xludf.DUMMYFUNCTION("""COMPUTED_VALUE"""),"Milwaukee")</f>
        <v>Milwaukee</v>
      </c>
      <c r="L109" s="16" t="str">
        <f>IFERROR(__xludf.DUMMYFUNCTION("""COMPUTED_VALUE"""),"Wisconsin")</f>
        <v>Wisconsin</v>
      </c>
      <c r="M109" s="16">
        <f>IFERROR(__xludf.DUMMYFUNCTION("""COMPUTED_VALUE"""),53226.0)</f>
        <v>53226</v>
      </c>
      <c r="N109" s="16" t="str">
        <f>IFERROR(__xludf.DUMMYFUNCTION("""COMPUTED_VALUE"""),"United States")</f>
        <v>United States</v>
      </c>
      <c r="O109" s="16" t="str">
        <f>IFERROR(__xludf.DUMMYFUNCTION("""COMPUTED_VALUE"""),"High")</f>
        <v>High</v>
      </c>
      <c r="P109" s="16" t="b">
        <f>IFERROR(__xludf.DUMMYFUNCTION("""COMPUTED_VALUE"""),FALSE)</f>
        <v>0</v>
      </c>
      <c r="Q109" s="16" t="b">
        <f>IFERROR(__xludf.DUMMYFUNCTION("""COMPUTED_VALUE"""),TRUE)</f>
        <v>1</v>
      </c>
      <c r="R109" s="16" t="str">
        <f>IFERROR(__xludf.DUMMYFUNCTION("""COMPUTED_VALUE"""),"Events, Marketing")</f>
        <v>Events, Marketing</v>
      </c>
      <c r="S109" s="16" t="str">
        <f>IFERROR(__xludf.DUMMYFUNCTION("""COMPUTED_VALUE"""),"Corelogic")</f>
        <v>Corelogic</v>
      </c>
      <c r="T109" s="16" t="str">
        <f>IFERROR(__xludf.DUMMYFUNCTION("""COMPUTED_VALUE"""),"Current Partner")</f>
        <v>Current Partner</v>
      </c>
      <c r="U109" s="16" t="b">
        <f>IFERROR(__xludf.DUMMYFUNCTION("""COMPUTED_VALUE"""),FALSE)</f>
        <v>0</v>
      </c>
      <c r="V109" s="16"/>
      <c r="W109" s="16"/>
      <c r="X109" s="16"/>
    </row>
    <row r="110">
      <c r="A110" s="16" t="str">
        <f>IFERROR(__xludf.DUMMYFUNCTION("""COMPUTED_VALUE"""),"Robert")</f>
        <v>Robert</v>
      </c>
      <c r="B110" s="16" t="str">
        <f>IFERROR(__xludf.DUMMYFUNCTION("""COMPUTED_VALUE"""),"Gatewood")</f>
        <v>Gatewood</v>
      </c>
      <c r="C110" s="16" t="str">
        <f>IFERROR(__xludf.DUMMYFUNCTION("""COMPUTED_VALUE"""),"Director, Market Strategy")</f>
        <v>Director, Market Strategy</v>
      </c>
      <c r="D110" s="16" t="str">
        <f>IFERROR(__xludf.DUMMYFUNCTION("""COMPUTED_VALUE"""),"CoreLogic")</f>
        <v>CoreLogic</v>
      </c>
      <c r="E110" s="16" t="str">
        <f>IFERROR(__xludf.DUMMYFUNCTION("""COMPUTED_VALUE"""),"Advantage")</f>
        <v>Advantage</v>
      </c>
      <c r="F110" s="16" t="str">
        <f>IFERROR(__xludf.DUMMYFUNCTION("""COMPUTED_VALUE"""),"rogatewood@corelogic.com")</f>
        <v>rogatewood@corelogic.com</v>
      </c>
      <c r="G110" s="16" t="str">
        <f>IFERROR(__xludf.DUMMYFUNCTION("""COMPUTED_VALUE"""),"Tim Kennedy")</f>
        <v>Tim Kennedy</v>
      </c>
      <c r="H110" s="16" t="str">
        <f>IFERROR(__xludf.DUMMYFUNCTION("""COMPUTED_VALUE"""),"PartnerConnect - Technology")</f>
        <v>PartnerConnect - Technology</v>
      </c>
      <c r="I110" s="16" t="str">
        <f>IFERROR(__xludf.DUMMYFUNCTION("""COMPUTED_VALUE"""),"40 Pacifica")</f>
        <v>40 Pacifica</v>
      </c>
      <c r="J110" s="16"/>
      <c r="K110" s="16" t="str">
        <f>IFERROR(__xludf.DUMMYFUNCTION("""COMPUTED_VALUE"""),"Irvine")</f>
        <v>Irvine</v>
      </c>
      <c r="L110" s="16" t="str">
        <f>IFERROR(__xludf.DUMMYFUNCTION("""COMPUTED_VALUE"""),"CALIFORNIA")</f>
        <v>CALIFORNIA</v>
      </c>
      <c r="M110" s="16">
        <f>IFERROR(__xludf.DUMMYFUNCTION("""COMPUTED_VALUE"""),92618.0)</f>
        <v>92618</v>
      </c>
      <c r="N110" s="16" t="str">
        <f>IFERROR(__xludf.DUMMYFUNCTION("""COMPUTED_VALUE"""),"United States")</f>
        <v>United States</v>
      </c>
      <c r="O110" s="16" t="str">
        <f>IFERROR(__xludf.DUMMYFUNCTION("""COMPUTED_VALUE"""),"High")</f>
        <v>High</v>
      </c>
      <c r="P110" s="16" t="b">
        <f>IFERROR(__xludf.DUMMYFUNCTION("""COMPUTED_VALUE"""),TRUE)</f>
        <v>1</v>
      </c>
      <c r="Q110" s="16" t="b">
        <f>IFERROR(__xludf.DUMMYFUNCTION("""COMPUTED_VALUE"""),TRUE)</f>
        <v>1</v>
      </c>
      <c r="R110" s="16" t="str">
        <f>IFERROR(__xludf.DUMMYFUNCTION("""COMPUTED_VALUE"""),"Admin, Business, Legal / Contracts, Support")</f>
        <v>Admin, Business, Legal / Contracts, Support</v>
      </c>
      <c r="S110" s="16" t="str">
        <f>IFERROR(__xludf.DUMMYFUNCTION("""COMPUTED_VALUE"""),"Corelogic")</f>
        <v>Corelogic</v>
      </c>
      <c r="T110" s="16" t="str">
        <f>IFERROR(__xludf.DUMMYFUNCTION("""COMPUTED_VALUE"""),"Current Partner")</f>
        <v>Current Partner</v>
      </c>
      <c r="U110" s="16" t="b">
        <f>IFERROR(__xludf.DUMMYFUNCTION("""COMPUTED_VALUE"""),FALSE)</f>
        <v>0</v>
      </c>
      <c r="V110" s="16"/>
      <c r="W110" s="16"/>
      <c r="X110" s="16"/>
    </row>
    <row r="111">
      <c r="A111" s="16" t="str">
        <f>IFERROR(__xludf.DUMMYFUNCTION("""COMPUTED_VALUE"""),"Paul")</f>
        <v>Paul</v>
      </c>
      <c r="B111" s="16" t="str">
        <f>IFERROR(__xludf.DUMMYFUNCTION("""COMPUTED_VALUE"""),"Evans")</f>
        <v>Evans</v>
      </c>
      <c r="C111" s="16"/>
      <c r="D111" s="16" t="str">
        <f>IFERROR(__xludf.DUMMYFUNCTION("""COMPUTED_VALUE"""),"Coretec Solutions T/A Causia")</f>
        <v>Coretec Solutions T/A Causia</v>
      </c>
      <c r="E111" s="16" t="str">
        <f>IFERROR(__xludf.DUMMYFUNCTION("""COMPUTED_VALUE"""),"Growth")</f>
        <v>Growth</v>
      </c>
      <c r="F111" s="16" t="str">
        <f>IFERROR(__xludf.DUMMYFUNCTION("""COMPUTED_VALUE"""),"pevans@causia.com.au")</f>
        <v>pevans@causia.com.au</v>
      </c>
      <c r="G111" s="16" t="str">
        <f>IFERROR(__xludf.DUMMYFUNCTION("""COMPUTED_VALUE"""),"Ketaki Padhye")</f>
        <v>Ketaki Padhye</v>
      </c>
      <c r="H111" s="16" t="str">
        <f>IFERROR(__xludf.DUMMYFUNCTION("""COMPUTED_VALUE"""),"PartnerConnect - Technology")</f>
        <v>PartnerConnect - Technology</v>
      </c>
      <c r="I111" s="16" t="str">
        <f>IFERROR(__xludf.DUMMYFUNCTION("""COMPUTED_VALUE"""),"39 Plenty Rd")</f>
        <v>39 Plenty Rd</v>
      </c>
      <c r="J111" s="16"/>
      <c r="K111" s="16" t="str">
        <f>IFERROR(__xludf.DUMMYFUNCTION("""COMPUTED_VALUE"""),"Preston")</f>
        <v>Preston</v>
      </c>
      <c r="L111" s="16" t="str">
        <f>IFERROR(__xludf.DUMMYFUNCTION("""COMPUTED_VALUE"""),"Victoria")</f>
        <v>Victoria</v>
      </c>
      <c r="M111" s="16">
        <f>IFERROR(__xludf.DUMMYFUNCTION("""COMPUTED_VALUE"""),3072.0)</f>
        <v>3072</v>
      </c>
      <c r="N111" s="16" t="str">
        <f>IFERROR(__xludf.DUMMYFUNCTION("""COMPUTED_VALUE"""),"Australia")</f>
        <v>Australia</v>
      </c>
      <c r="O111" s="16" t="str">
        <f>IFERROR(__xludf.DUMMYFUNCTION("""COMPUTED_VALUE"""),"Medium")</f>
        <v>Medium</v>
      </c>
      <c r="P111" s="16" t="b">
        <f>IFERROR(__xludf.DUMMYFUNCTION("""COMPUTED_VALUE"""),TRUE)</f>
        <v>1</v>
      </c>
      <c r="Q111" s="16" t="b">
        <f>IFERROR(__xludf.DUMMYFUNCTION("""COMPUTED_VALUE"""),FALSE)</f>
        <v>0</v>
      </c>
      <c r="R111" s="16" t="str">
        <f>IFERROR(__xludf.DUMMYFUNCTION("""COMPUTED_VALUE"""),"Admin")</f>
        <v>Admin</v>
      </c>
      <c r="S111" s="16" t="str">
        <f>IFERROR(__xludf.DUMMYFUNCTION("""COMPUTED_VALUE"""),"Causia")</f>
        <v>Causia</v>
      </c>
      <c r="T111" s="16" t="str">
        <f>IFERROR(__xludf.DUMMYFUNCTION("""COMPUTED_VALUE"""),"Current Partner")</f>
        <v>Current Partner</v>
      </c>
      <c r="U111" s="16" t="b">
        <f>IFERROR(__xludf.DUMMYFUNCTION("""COMPUTED_VALUE"""),FALSE)</f>
        <v>0</v>
      </c>
      <c r="V111" s="16"/>
      <c r="W111" s="16"/>
      <c r="X111" s="16"/>
    </row>
    <row r="112">
      <c r="A112" s="16" t="str">
        <f>IFERROR(__xludf.DUMMYFUNCTION("""COMPUTED_VALUE"""),"Ron")</f>
        <v>Ron</v>
      </c>
      <c r="B112" s="16" t="str">
        <f>IFERROR(__xludf.DUMMYFUNCTION("""COMPUTED_VALUE"""),"Wojciechowski")</f>
        <v>Wojciechowski</v>
      </c>
      <c r="C112" s="16" t="str">
        <f>IFERROR(__xludf.DUMMYFUNCTION("""COMPUTED_VALUE"""),"VP, Managed Care Strategy")</f>
        <v>VP, Managed Care Strategy</v>
      </c>
      <c r="D112" s="16" t="str">
        <f>IFERROR(__xludf.DUMMYFUNCTION("""COMPUTED_VALUE"""),"CorVel Healthcare Corporation")</f>
        <v>CorVel Healthcare Corporation</v>
      </c>
      <c r="E112" s="16" t="str">
        <f>IFERROR(__xludf.DUMMYFUNCTION("""COMPUTED_VALUE"""),"Growth")</f>
        <v>Growth</v>
      </c>
      <c r="F112" s="16" t="str">
        <f>IFERROR(__xludf.DUMMYFUNCTION("""COMPUTED_VALUE"""),"ron_wojciechowski@corvel.com")</f>
        <v>ron_wojciechowski@corvel.com</v>
      </c>
      <c r="G112" s="16" t="str">
        <f>IFERROR(__xludf.DUMMYFUNCTION("""COMPUTED_VALUE"""),"Shannon Spies")</f>
        <v>Shannon Spies</v>
      </c>
      <c r="H112" s="16" t="str">
        <f>IFERROR(__xludf.DUMMYFUNCTION("""COMPUTED_VALUE"""),"PartnerConnect - Technology")</f>
        <v>PartnerConnect - Technology</v>
      </c>
      <c r="I112" s="16" t="str">
        <f>IFERROR(__xludf.DUMMYFUNCTION("""COMPUTED_VALUE"""),"3010 HIghland Parkway")</f>
        <v>3010 HIghland Parkway</v>
      </c>
      <c r="J112" s="16"/>
      <c r="K112" s="16" t="str">
        <f>IFERROR(__xludf.DUMMYFUNCTION("""COMPUTED_VALUE"""),"Downers Grove")</f>
        <v>Downers Grove</v>
      </c>
      <c r="L112" s="16" t="str">
        <f>IFERROR(__xludf.DUMMYFUNCTION("""COMPUTED_VALUE"""),"Illinois")</f>
        <v>Illinois</v>
      </c>
      <c r="M112" s="16">
        <f>IFERROR(__xludf.DUMMYFUNCTION("""COMPUTED_VALUE"""),60515.0)</f>
        <v>60515</v>
      </c>
      <c r="N112" s="16" t="str">
        <f>IFERROR(__xludf.DUMMYFUNCTION("""COMPUTED_VALUE"""),"United States")</f>
        <v>United States</v>
      </c>
      <c r="O112" s="16" t="str">
        <f>IFERROR(__xludf.DUMMYFUNCTION("""COMPUTED_VALUE"""),"Medium")</f>
        <v>Medium</v>
      </c>
      <c r="P112" s="16" t="b">
        <f>IFERROR(__xludf.DUMMYFUNCTION("""COMPUTED_VALUE"""),TRUE)</f>
        <v>1</v>
      </c>
      <c r="Q112" s="16" t="b">
        <f>IFERROR(__xludf.DUMMYFUNCTION("""COMPUTED_VALUE"""),FALSE)</f>
        <v>0</v>
      </c>
      <c r="R112" s="16" t="str">
        <f>IFERROR(__xludf.DUMMYFUNCTION("""COMPUTED_VALUE"""),"Admin, Business")</f>
        <v>Admin, Business</v>
      </c>
      <c r="S112" s="16" t="str">
        <f>IFERROR(__xludf.DUMMYFUNCTION("""COMPUTED_VALUE"""),"CorVel")</f>
        <v>CorVel</v>
      </c>
      <c r="T112" s="16" t="str">
        <f>IFERROR(__xludf.DUMMYFUNCTION("""COMPUTED_VALUE"""),"Current Partner")</f>
        <v>Current Partner</v>
      </c>
      <c r="U112" s="16" t="b">
        <f>IFERROR(__xludf.DUMMYFUNCTION("""COMPUTED_VALUE"""),FALSE)</f>
        <v>0</v>
      </c>
      <c r="V112" s="16"/>
      <c r="W112" s="16"/>
      <c r="X112" s="16"/>
    </row>
    <row r="113">
      <c r="A113" s="16" t="str">
        <f>IFERROR(__xludf.DUMMYFUNCTION("""COMPUTED_VALUE"""),"Tony")</f>
        <v>Tony</v>
      </c>
      <c r="B113" s="16" t="str">
        <f>IFERROR(__xludf.DUMMYFUNCTION("""COMPUTED_VALUE"""),"Grooby")</f>
        <v>Grooby</v>
      </c>
      <c r="C113" s="16"/>
      <c r="D113" s="16" t="str">
        <f>IFERROR(__xludf.DUMMYFUNCTION("""COMPUTED_VALUE"""),"Cox Automotive Australia Pty Ltd")</f>
        <v>Cox Automotive Australia Pty Ltd</v>
      </c>
      <c r="E113" s="16" t="str">
        <f>IFERROR(__xludf.DUMMYFUNCTION("""COMPUTED_VALUE"""),"Access")</f>
        <v>Access</v>
      </c>
      <c r="F113" s="16" t="str">
        <f>IFERROR(__xludf.DUMMYFUNCTION("""COMPUTED_VALUE"""),"tony.grooby@coxautoinc.com")</f>
        <v>tony.grooby@coxautoinc.com</v>
      </c>
      <c r="G113" s="16" t="str">
        <f>IFERROR(__xludf.DUMMYFUNCTION("""COMPUTED_VALUE"""),"Ketaki Padhye")</f>
        <v>Ketaki Padhye</v>
      </c>
      <c r="H113" s="16" t="str">
        <f>IFERROR(__xludf.DUMMYFUNCTION("""COMPUTED_VALUE"""),"PartnerConnect - Technology")</f>
        <v>PartnerConnect - Technology</v>
      </c>
      <c r="I113" s="16" t="str">
        <f>IFERROR(__xludf.DUMMYFUNCTION("""COMPUTED_VALUE"""),"4 Gordon Luck Avenue")</f>
        <v>4 Gordon Luck Avenue</v>
      </c>
      <c r="J113" s="16"/>
      <c r="K113" s="16" t="str">
        <f>IFERROR(__xludf.DUMMYFUNCTION("""COMPUTED_VALUE"""),"Altona North")</f>
        <v>Altona North</v>
      </c>
      <c r="L113" s="16" t="str">
        <f>IFERROR(__xludf.DUMMYFUNCTION("""COMPUTED_VALUE"""),"Victoria")</f>
        <v>Victoria</v>
      </c>
      <c r="M113" s="16">
        <f>IFERROR(__xludf.DUMMYFUNCTION("""COMPUTED_VALUE"""),3025.0)</f>
        <v>3025</v>
      </c>
      <c r="N113" s="16" t="str">
        <f>IFERROR(__xludf.DUMMYFUNCTION("""COMPUTED_VALUE"""),"Australia")</f>
        <v>Australia</v>
      </c>
      <c r="O113" s="16" t="str">
        <f>IFERROR(__xludf.DUMMYFUNCTION("""COMPUTED_VALUE"""),"Medium")</f>
        <v>Medium</v>
      </c>
      <c r="P113" s="16" t="b">
        <f>IFERROR(__xludf.DUMMYFUNCTION("""COMPUTED_VALUE"""),TRUE)</f>
        <v>1</v>
      </c>
      <c r="Q113" s="16" t="b">
        <f>IFERROR(__xludf.DUMMYFUNCTION("""COMPUTED_VALUE"""),FALSE)</f>
        <v>0</v>
      </c>
      <c r="R113" s="16" t="str">
        <f>IFERROR(__xludf.DUMMYFUNCTION("""COMPUTED_VALUE"""),"Admin, Training")</f>
        <v>Admin, Training</v>
      </c>
      <c r="S113" s="16" t="str">
        <f>IFERROR(__xludf.DUMMYFUNCTION("""COMPUTED_VALUE"""),"Manheim")</f>
        <v>Manheim</v>
      </c>
      <c r="T113" s="16" t="str">
        <f>IFERROR(__xludf.DUMMYFUNCTION("""COMPUTED_VALUE"""),"Current Partner")</f>
        <v>Current Partner</v>
      </c>
      <c r="U113" s="16" t="b">
        <f>IFERROR(__xludf.DUMMYFUNCTION("""COMPUTED_VALUE"""),FALSE)</f>
        <v>0</v>
      </c>
      <c r="V113" s="16"/>
      <c r="W113" s="16"/>
      <c r="X113" s="16"/>
    </row>
    <row r="114">
      <c r="A114" s="16" t="str">
        <f>IFERROR(__xludf.DUMMYFUNCTION("""COMPUTED_VALUE"""),"Malinda")</f>
        <v>Malinda</v>
      </c>
      <c r="B114" s="16" t="str">
        <f>IFERROR(__xludf.DUMMYFUNCTION("""COMPUTED_VALUE"""),"Cleveland")</f>
        <v>Cleveland</v>
      </c>
      <c r="C114" s="16" t="str">
        <f>IFERROR(__xludf.DUMMYFUNCTION("""COMPUTED_VALUE"""),"Director of Business Product &amp; Specialty Services")</f>
        <v>Director of Business Product &amp; Specialty Services</v>
      </c>
      <c r="D114" s="16" t="str">
        <f>IFERROR(__xludf.DUMMYFUNCTION("""COMPUTED_VALUE"""),"CRS Temporary Housing")</f>
        <v>CRS Temporary Housing</v>
      </c>
      <c r="E114" s="16" t="str">
        <f>IFERROR(__xludf.DUMMYFUNCTION("""COMPUTED_VALUE"""),"Growth")</f>
        <v>Growth</v>
      </c>
      <c r="F114" s="16" t="str">
        <f>IFERROR(__xludf.DUMMYFUNCTION("""COMPUTED_VALUE"""),"mcleveland@crsth.com")</f>
        <v>mcleveland@crsth.com</v>
      </c>
      <c r="G114" s="16" t="str">
        <f>IFERROR(__xludf.DUMMYFUNCTION("""COMPUTED_VALUE"""),"Rod Gowin")</f>
        <v>Rod Gowin</v>
      </c>
      <c r="H114" s="16" t="str">
        <f>IFERROR(__xludf.DUMMYFUNCTION("""COMPUTED_VALUE"""),"PartnerConnect - Technology")</f>
        <v>PartnerConnect - Technology</v>
      </c>
      <c r="I114" s="16" t="str">
        <f>IFERROR(__xludf.DUMMYFUNCTION("""COMPUTED_VALUE"""),"10851 N Black Canyon Hwy, Suite 700")</f>
        <v>10851 N Black Canyon Hwy, Suite 700</v>
      </c>
      <c r="J114" s="16"/>
      <c r="K114" s="16" t="str">
        <f>IFERROR(__xludf.DUMMYFUNCTION("""COMPUTED_VALUE"""),"Phoenix")</f>
        <v>Phoenix</v>
      </c>
      <c r="L114" s="16" t="str">
        <f>IFERROR(__xludf.DUMMYFUNCTION("""COMPUTED_VALUE"""),"AZ")</f>
        <v>AZ</v>
      </c>
      <c r="M114" s="16">
        <f>IFERROR(__xludf.DUMMYFUNCTION("""COMPUTED_VALUE"""),85029.0)</f>
        <v>85029</v>
      </c>
      <c r="N114" s="16" t="str">
        <f>IFERROR(__xludf.DUMMYFUNCTION("""COMPUTED_VALUE"""),"United States")</f>
        <v>United States</v>
      </c>
      <c r="O114" s="16" t="str">
        <f>IFERROR(__xludf.DUMMYFUNCTION("""COMPUTED_VALUE"""),"Medium")</f>
        <v>Medium</v>
      </c>
      <c r="P114" s="16" t="b">
        <f>IFERROR(__xludf.DUMMYFUNCTION("""COMPUTED_VALUE"""),TRUE)</f>
        <v>1</v>
      </c>
      <c r="Q114" s="16" t="b">
        <f>IFERROR(__xludf.DUMMYFUNCTION("""COMPUTED_VALUE"""),TRUE)</f>
        <v>1</v>
      </c>
      <c r="R114" s="16" t="str">
        <f>IFERROR(__xludf.DUMMYFUNCTION("""COMPUTED_VALUE"""),"Admin, Technical")</f>
        <v>Admin, Technical</v>
      </c>
      <c r="S114" s="16" t="str">
        <f>IFERROR(__xludf.DUMMYFUNCTION("""COMPUTED_VALUE"""),"CRS Temporary Housing")</f>
        <v>CRS Temporary Housing</v>
      </c>
      <c r="T114" s="16" t="str">
        <f>IFERROR(__xludf.DUMMYFUNCTION("""COMPUTED_VALUE"""),"Current Partner")</f>
        <v>Current Partner</v>
      </c>
      <c r="U114" s="16" t="b">
        <f>IFERROR(__xludf.DUMMYFUNCTION("""COMPUTED_VALUE"""),FALSE)</f>
        <v>0</v>
      </c>
      <c r="V114" s="16"/>
      <c r="W114" s="16"/>
      <c r="X114" s="16"/>
    </row>
    <row r="115">
      <c r="A115" s="16" t="str">
        <f>IFERROR(__xludf.DUMMYFUNCTION("""COMPUTED_VALUE"""),"Tammy")</f>
        <v>Tammy</v>
      </c>
      <c r="B115" s="16" t="str">
        <f>IFERROR(__xludf.DUMMYFUNCTION("""COMPUTED_VALUE"""),"Storch")</f>
        <v>Storch</v>
      </c>
      <c r="C115" s="16" t="str">
        <f>IFERROR(__xludf.DUMMYFUNCTION("""COMPUTED_VALUE"""),"Principal Business Analyst")</f>
        <v>Principal Business Analyst</v>
      </c>
      <c r="D115" s="16" t="str">
        <f>IFERROR(__xludf.DUMMYFUNCTION("""COMPUTED_VALUE"""),"CRS Temporary Housing")</f>
        <v>CRS Temporary Housing</v>
      </c>
      <c r="E115" s="16" t="str">
        <f>IFERROR(__xludf.DUMMYFUNCTION("""COMPUTED_VALUE"""),"Growth")</f>
        <v>Growth</v>
      </c>
      <c r="F115" s="16" t="str">
        <f>IFERROR(__xludf.DUMMYFUNCTION("""COMPUTED_VALUE"""),"tstorch@crsth.com")</f>
        <v>tstorch@crsth.com</v>
      </c>
      <c r="G115" s="16" t="str">
        <f>IFERROR(__xludf.DUMMYFUNCTION("""COMPUTED_VALUE"""),"Rod Gowin")</f>
        <v>Rod Gowin</v>
      </c>
      <c r="H115" s="16" t="str">
        <f>IFERROR(__xludf.DUMMYFUNCTION("""COMPUTED_VALUE"""),"PartnerConnect - Technology")</f>
        <v>PartnerConnect - Technology</v>
      </c>
      <c r="I115" s="16" t="str">
        <f>IFERROR(__xludf.DUMMYFUNCTION("""COMPUTED_VALUE"""),"10851 N Black Canyon Highway, Suite 700")</f>
        <v>10851 N Black Canyon Highway, Suite 700</v>
      </c>
      <c r="J115" s="16"/>
      <c r="K115" s="16" t="str">
        <f>IFERROR(__xludf.DUMMYFUNCTION("""COMPUTED_VALUE"""),"Phoenix")</f>
        <v>Phoenix</v>
      </c>
      <c r="L115" s="16" t="str">
        <f>IFERROR(__xludf.DUMMYFUNCTION("""COMPUTED_VALUE"""),"Arizona")</f>
        <v>Arizona</v>
      </c>
      <c r="M115" s="16">
        <f>IFERROR(__xludf.DUMMYFUNCTION("""COMPUTED_VALUE"""),85029.0)</f>
        <v>85029</v>
      </c>
      <c r="N115" s="16" t="str">
        <f>IFERROR(__xludf.DUMMYFUNCTION("""COMPUTED_VALUE"""),"United States")</f>
        <v>United States</v>
      </c>
      <c r="O115" s="16" t="str">
        <f>IFERROR(__xludf.DUMMYFUNCTION("""COMPUTED_VALUE"""),"Medium")</f>
        <v>Medium</v>
      </c>
      <c r="P115" s="16" t="b">
        <f>IFERROR(__xludf.DUMMYFUNCTION("""COMPUTED_VALUE"""),TRUE)</f>
        <v>1</v>
      </c>
      <c r="Q115" s="16" t="b">
        <f>IFERROR(__xludf.DUMMYFUNCTION("""COMPUTED_VALUE"""),FALSE)</f>
        <v>0</v>
      </c>
      <c r="R115" s="16" t="str">
        <f>IFERROR(__xludf.DUMMYFUNCTION("""COMPUTED_VALUE"""),"Admin, Business, Events, Support, Technical, Training, Sales Solution Architect, Delivery Lead / BA, Client Partner / Partner Account Executive")</f>
        <v>Admin, Business, Events, Support, Technical, Training, Sales Solution Architect, Delivery Lead / BA, Client Partner / Partner Account Executive</v>
      </c>
      <c r="S115" s="16" t="str">
        <f>IFERROR(__xludf.DUMMYFUNCTION("""COMPUTED_VALUE"""),"CRS Temporary Housing")</f>
        <v>CRS Temporary Housing</v>
      </c>
      <c r="T115" s="16" t="str">
        <f>IFERROR(__xludf.DUMMYFUNCTION("""COMPUTED_VALUE"""),"Current Partner")</f>
        <v>Current Partner</v>
      </c>
      <c r="U115" s="16" t="b">
        <f>IFERROR(__xludf.DUMMYFUNCTION("""COMPUTED_VALUE"""),FALSE)</f>
        <v>0</v>
      </c>
      <c r="V115" s="16"/>
      <c r="W115" s="16"/>
      <c r="X115" s="16"/>
    </row>
    <row r="116">
      <c r="A116" s="16" t="str">
        <f>IFERROR(__xludf.DUMMYFUNCTION("""COMPUTED_VALUE"""),"Chris")</f>
        <v>Chris</v>
      </c>
      <c r="B116" s="16" t="str">
        <f>IFERROR(__xludf.DUMMYFUNCTION("""COMPUTED_VALUE"""),"McEachran")</f>
        <v>McEachran</v>
      </c>
      <c r="C116" s="16" t="str">
        <f>IFERROR(__xludf.DUMMYFUNCTION("""COMPUTED_VALUE"""),"Client Business Executive")</f>
        <v>Client Business Executive</v>
      </c>
      <c r="D116" s="16" t="str">
        <f>IFERROR(__xludf.DUMMYFUNCTION("""COMPUTED_VALUE"""),"CSG Systems, Inc.")</f>
        <v>CSG Systems, Inc.</v>
      </c>
      <c r="E116" s="16" t="str">
        <f>IFERROR(__xludf.DUMMYFUNCTION("""COMPUTED_VALUE"""),"Growth")</f>
        <v>Growth</v>
      </c>
      <c r="F116" s="16" t="str">
        <f>IFERROR(__xludf.DUMMYFUNCTION("""COMPUTED_VALUE"""),"chris.mceachran@csgi.com")</f>
        <v>chris.mceachran@csgi.com</v>
      </c>
      <c r="G116" s="16" t="str">
        <f>IFERROR(__xludf.DUMMYFUNCTION("""COMPUTED_VALUE"""),"Eric Apse")</f>
        <v>Eric Apse</v>
      </c>
      <c r="H116" s="16" t="str">
        <f>IFERROR(__xludf.DUMMYFUNCTION("""COMPUTED_VALUE"""),"PartnerConnect - Technology")</f>
        <v>PartnerConnect - Technology</v>
      </c>
      <c r="I116" s="16" t="str">
        <f>IFERROR(__xludf.DUMMYFUNCTION("""COMPUTED_VALUE"""),"169 Inverness Drive W")</f>
        <v>169 Inverness Drive W</v>
      </c>
      <c r="J116" s="16"/>
      <c r="K116" s="16" t="str">
        <f>IFERROR(__xludf.DUMMYFUNCTION("""COMPUTED_VALUE"""),"Tallahassee")</f>
        <v>Tallahassee</v>
      </c>
      <c r="L116" s="16" t="str">
        <f>IFERROR(__xludf.DUMMYFUNCTION("""COMPUTED_VALUE"""),"Florida")</f>
        <v>Florida</v>
      </c>
      <c r="M116" s="16">
        <f>IFERROR(__xludf.DUMMYFUNCTION("""COMPUTED_VALUE"""),80112.0)</f>
        <v>80112</v>
      </c>
      <c r="N116" s="16" t="str">
        <f>IFERROR(__xludf.DUMMYFUNCTION("""COMPUTED_VALUE"""),"United States")</f>
        <v>United States</v>
      </c>
      <c r="O116" s="16" t="str">
        <f>IFERROR(__xludf.DUMMYFUNCTION("""COMPUTED_VALUE"""),"Medium")</f>
        <v>Medium</v>
      </c>
      <c r="P116" s="16" t="b">
        <f>IFERROR(__xludf.DUMMYFUNCTION("""COMPUTED_VALUE"""),TRUE)</f>
        <v>1</v>
      </c>
      <c r="Q116" s="16" t="b">
        <f>IFERROR(__xludf.DUMMYFUNCTION("""COMPUTED_VALUE"""),FALSE)</f>
        <v>0</v>
      </c>
      <c r="R116" s="16" t="str">
        <f>IFERROR(__xludf.DUMMYFUNCTION("""COMPUTED_VALUE"""),"Admin, Business, Events, Legal / Contracts, Marketing, Support, Technical, Training, Main Billing Contact, Billing Contact  LMS Training Fees, NPE User, Sales Solution Architect, Delivery Lead / BA, Client Partner / Partner Account Executive")</f>
        <v>Admin, Business, Events, Legal / Contracts, Marketing, Support, Technical, Training, Main Billing Contact, Billing Contact  LMS Training Fees, NPE User, Sales Solution Architect, Delivery Lead / BA, Client Partner / Partner Account Executive</v>
      </c>
      <c r="S116" s="16" t="str">
        <f>IFERROR(__xludf.DUMMYFUNCTION("""COMPUTED_VALUE"""),"MassPrinting")</f>
        <v>MassPrinting</v>
      </c>
      <c r="T116" s="16" t="str">
        <f>IFERROR(__xludf.DUMMYFUNCTION("""COMPUTED_VALUE"""),"Current Partner")</f>
        <v>Current Partner</v>
      </c>
      <c r="U116" s="16" t="b">
        <f>IFERROR(__xludf.DUMMYFUNCTION("""COMPUTED_VALUE"""),TRUE)</f>
        <v>1</v>
      </c>
      <c r="V116" s="16"/>
      <c r="W116" s="16"/>
      <c r="X116" s="16"/>
    </row>
    <row r="117">
      <c r="A117" s="16" t="str">
        <f>IFERROR(__xludf.DUMMYFUNCTION("""COMPUTED_VALUE"""),"Anthony")</f>
        <v>Anthony</v>
      </c>
      <c r="B117" s="16" t="str">
        <f>IFERROR(__xludf.DUMMYFUNCTION("""COMPUTED_VALUE"""),"CHARLES")</f>
        <v>CHARLES</v>
      </c>
      <c r="C117" s="16" t="str">
        <f>IFERROR(__xludf.DUMMYFUNCTION("""COMPUTED_VALUE"""),"Directeur Marketing et Partenariat")</f>
        <v>Directeur Marketing et Partenariat</v>
      </c>
      <c r="D117" s="16" t="str">
        <f>IFERROR(__xludf.DUMMYFUNCTION("""COMPUTED_VALUE"""),"DARVA")</f>
        <v>DARVA</v>
      </c>
      <c r="E117" s="16" t="str">
        <f>IFERROR(__xludf.DUMMYFUNCTION("""COMPUTED_VALUE"""),"Access")</f>
        <v>Access</v>
      </c>
      <c r="F117" s="16" t="str">
        <f>IFERROR(__xludf.DUMMYFUNCTION("""COMPUTED_VALUE"""),"anthony.charles@darva.com")</f>
        <v>anthony.charles@darva.com</v>
      </c>
      <c r="G117" s="16" t="str">
        <f>IFERROR(__xludf.DUMMYFUNCTION("""COMPUTED_VALUE"""),"Fatima Aoulagha-Bannou")</f>
        <v>Fatima Aoulagha-Bannou</v>
      </c>
      <c r="H117" s="16" t="str">
        <f>IFERROR(__xludf.DUMMYFUNCTION("""COMPUTED_VALUE"""),"PartnerConnect - Technology")</f>
        <v>PartnerConnect - Technology</v>
      </c>
      <c r="I117" s="16" t="str">
        <f>IFERROR(__xludf.DUMMYFUNCTION("""COMPUTED_VALUE"""),"Technopole Venise Verte - 4 Voie Euclide Bp 8732")</f>
        <v>Technopole Venise Verte - 4 Voie Euclide Bp 8732</v>
      </c>
      <c r="J117" s="16"/>
      <c r="K117" s="16" t="str">
        <f>IFERROR(__xludf.DUMMYFUNCTION("""COMPUTED_VALUE"""),"NIORT")</f>
        <v>NIORT</v>
      </c>
      <c r="L117" s="16"/>
      <c r="M117" s="16">
        <f>IFERROR(__xludf.DUMMYFUNCTION("""COMPUTED_VALUE"""),79027.0)</f>
        <v>79027</v>
      </c>
      <c r="N117" s="16" t="str">
        <f>IFERROR(__xludf.DUMMYFUNCTION("""COMPUTED_VALUE"""),"France")</f>
        <v>France</v>
      </c>
      <c r="O117" s="16" t="str">
        <f>IFERROR(__xludf.DUMMYFUNCTION("""COMPUTED_VALUE"""),"Medium")</f>
        <v>Medium</v>
      </c>
      <c r="P117" s="16" t="b">
        <f>IFERROR(__xludf.DUMMYFUNCTION("""COMPUTED_VALUE"""),TRUE)</f>
        <v>1</v>
      </c>
      <c r="Q117" s="16" t="b">
        <f>IFERROR(__xludf.DUMMYFUNCTION("""COMPUTED_VALUE"""),FALSE)</f>
        <v>0</v>
      </c>
      <c r="R117" s="16" t="str">
        <f>IFERROR(__xludf.DUMMYFUNCTION("""COMPUTED_VALUE"""),"Admin")</f>
        <v>Admin</v>
      </c>
      <c r="S117" s="16" t="str">
        <f>IFERROR(__xludf.DUMMYFUNCTION("""COMPUTED_VALUE"""),"DARVA")</f>
        <v>DARVA</v>
      </c>
      <c r="T117" s="16" t="str">
        <f>IFERROR(__xludf.DUMMYFUNCTION("""COMPUTED_VALUE"""),"Current Partner")</f>
        <v>Current Partner</v>
      </c>
      <c r="U117" s="16" t="b">
        <f>IFERROR(__xludf.DUMMYFUNCTION("""COMPUTED_VALUE"""),FALSE)</f>
        <v>0</v>
      </c>
      <c r="V117" s="16"/>
      <c r="W117" s="16"/>
      <c r="X117" s="16"/>
    </row>
    <row r="118">
      <c r="A118" s="16" t="str">
        <f>IFERROR(__xludf.DUMMYFUNCTION("""COMPUTED_VALUE"""),"Justin")</f>
        <v>Justin</v>
      </c>
      <c r="B118" s="16" t="str">
        <f>IFERROR(__xludf.DUMMYFUNCTION("""COMPUTED_VALUE"""),"Fenton")</f>
        <v>Fenton</v>
      </c>
      <c r="C118" s="16" t="str">
        <f>IFERROR(__xludf.DUMMYFUNCTION("""COMPUTED_VALUE"""),"Sr. Director, Technical Partnerships")</f>
        <v>Sr. Director, Technical Partnerships</v>
      </c>
      <c r="D118" s="16" t="str">
        <f>IFERROR(__xludf.DUMMYFUNCTION("""COMPUTED_VALUE"""),"Databricks")</f>
        <v>Databricks</v>
      </c>
      <c r="E118" s="16" t="str">
        <f>IFERROR(__xludf.DUMMYFUNCTION("""COMPUTED_VALUE"""),"Access")</f>
        <v>Access</v>
      </c>
      <c r="F118" s="16" t="str">
        <f>IFERROR(__xludf.DUMMYFUNCTION("""COMPUTED_VALUE"""),"justin.fenton@databricks.com")</f>
        <v>justin.fenton@databricks.com</v>
      </c>
      <c r="G118" s="16" t="str">
        <f>IFERROR(__xludf.DUMMYFUNCTION("""COMPUTED_VALUE"""),"Paul Harper")</f>
        <v>Paul Harper</v>
      </c>
      <c r="H118" s="16" t="str">
        <f>IFERROR(__xludf.DUMMYFUNCTION("""COMPUTED_VALUE"""),"PartnerConnect - Technology")</f>
        <v>PartnerConnect - Technology</v>
      </c>
      <c r="I118" s="16"/>
      <c r="J118" s="16"/>
      <c r="K118" s="16" t="str">
        <f>IFERROR(__xludf.DUMMYFUNCTION("""COMPUTED_VALUE"""),"Seattle")</f>
        <v>Seattle</v>
      </c>
      <c r="L118" s="16" t="str">
        <f>IFERROR(__xludf.DUMMYFUNCTION("""COMPUTED_VALUE"""),"WA")</f>
        <v>WA</v>
      </c>
      <c r="M118" s="16">
        <f>IFERROR(__xludf.DUMMYFUNCTION("""COMPUTED_VALUE"""),98117.0)</f>
        <v>98117</v>
      </c>
      <c r="N118" s="16" t="str">
        <f>IFERROR(__xludf.DUMMYFUNCTION("""COMPUTED_VALUE"""),"United States")</f>
        <v>United States</v>
      </c>
      <c r="O118" s="16" t="str">
        <f>IFERROR(__xludf.DUMMYFUNCTION("""COMPUTED_VALUE"""),"High")</f>
        <v>High</v>
      </c>
      <c r="P118" s="16" t="b">
        <f>IFERROR(__xludf.DUMMYFUNCTION("""COMPUTED_VALUE"""),TRUE)</f>
        <v>1</v>
      </c>
      <c r="Q118" s="16" t="b">
        <f>IFERROR(__xludf.DUMMYFUNCTION("""COMPUTED_VALUE"""),FALSE)</f>
        <v>0</v>
      </c>
      <c r="R118" s="16" t="str">
        <f>IFERROR(__xludf.DUMMYFUNCTION("""COMPUTED_VALUE"""),"Admin, Training, Main Billing Contact, Billing Contact  LMS Training Fees")</f>
        <v>Admin, Training, Main Billing Contact, Billing Contact  LMS Training Fees</v>
      </c>
      <c r="S118" s="16" t="str">
        <f>IFERROR(__xludf.DUMMYFUNCTION("""COMPUTED_VALUE"""),"Databricks")</f>
        <v>Databricks</v>
      </c>
      <c r="T118" s="16" t="str">
        <f>IFERROR(__xludf.DUMMYFUNCTION("""COMPUTED_VALUE"""),"Current Partner")</f>
        <v>Current Partner</v>
      </c>
      <c r="U118" s="16" t="b">
        <f>IFERROR(__xludf.DUMMYFUNCTION("""COMPUTED_VALUE"""),FALSE)</f>
        <v>0</v>
      </c>
      <c r="V118" s="16"/>
      <c r="W118" s="16"/>
      <c r="X118" s="16"/>
    </row>
    <row r="119">
      <c r="A119" s="16" t="str">
        <f>IFERROR(__xludf.DUMMYFUNCTION("""COMPUTED_VALUE"""),"Jay")</f>
        <v>Jay</v>
      </c>
      <c r="B119" s="16" t="str">
        <f>IFERROR(__xludf.DUMMYFUNCTION("""COMPUTED_VALUE"""),"Bhankharia")</f>
        <v>Bhankharia</v>
      </c>
      <c r="C119" s="16"/>
      <c r="D119" s="16" t="str">
        <f>IFERROR(__xludf.DUMMYFUNCTION("""COMPUTED_VALUE"""),"Databricks")</f>
        <v>Databricks</v>
      </c>
      <c r="E119" s="16" t="str">
        <f>IFERROR(__xludf.DUMMYFUNCTION("""COMPUTED_VALUE"""),"Access")</f>
        <v>Access</v>
      </c>
      <c r="F119" s="16" t="str">
        <f>IFERROR(__xludf.DUMMYFUNCTION("""COMPUTED_VALUE"""),"jay.bhankharia@databricks.com")</f>
        <v>jay.bhankharia@databricks.com</v>
      </c>
      <c r="G119" s="16" t="str">
        <f>IFERROR(__xludf.DUMMYFUNCTION("""COMPUTED_VALUE"""),"Paul Harper")</f>
        <v>Paul Harper</v>
      </c>
      <c r="H119" s="16" t="str">
        <f>IFERROR(__xludf.DUMMYFUNCTION("""COMPUTED_VALUE"""),"PartnerConnect - Technology")</f>
        <v>PartnerConnect - Technology</v>
      </c>
      <c r="I119" s="16" t="str">
        <f>IFERROR(__xludf.DUMMYFUNCTION("""COMPUTED_VALUE"""),"160 Spear St 
")</f>
        <v>160 Spear St 
</v>
      </c>
      <c r="J119" s="16" t="str">
        <f>IFERROR(__xludf.DUMMYFUNCTION("""COMPUTED_VALUE"""),"15th floor")</f>
        <v>15th floor</v>
      </c>
      <c r="K119" s="16" t="str">
        <f>IFERROR(__xludf.DUMMYFUNCTION("""COMPUTED_VALUE"""),"San Francisco")</f>
        <v>San Francisco</v>
      </c>
      <c r="L119" s="16" t="str">
        <f>IFERROR(__xludf.DUMMYFUNCTION("""COMPUTED_VALUE"""),"California")</f>
        <v>California</v>
      </c>
      <c r="M119" s="16">
        <f>IFERROR(__xludf.DUMMYFUNCTION("""COMPUTED_VALUE"""),94105.0)</f>
        <v>94105</v>
      </c>
      <c r="N119" s="16" t="str">
        <f>IFERROR(__xludf.DUMMYFUNCTION("""COMPUTED_VALUE"""),"United States")</f>
        <v>United States</v>
      </c>
      <c r="O119" s="16" t="str">
        <f>IFERROR(__xludf.DUMMYFUNCTION("""COMPUTED_VALUE"""),"High")</f>
        <v>High</v>
      </c>
      <c r="P119" s="16" t="b">
        <f>IFERROR(__xludf.DUMMYFUNCTION("""COMPUTED_VALUE"""),TRUE)</f>
        <v>1</v>
      </c>
      <c r="Q119" s="16" t="b">
        <f>IFERROR(__xludf.DUMMYFUNCTION("""COMPUTED_VALUE"""),FALSE)</f>
        <v>0</v>
      </c>
      <c r="R119" s="16" t="str">
        <f>IFERROR(__xludf.DUMMYFUNCTION("""COMPUTED_VALUE"""),"")</f>
        <v/>
      </c>
      <c r="S119" s="16" t="str">
        <f>IFERROR(__xludf.DUMMYFUNCTION("""COMPUTED_VALUE"""),"Databricks")</f>
        <v>Databricks</v>
      </c>
      <c r="T119" s="16" t="str">
        <f>IFERROR(__xludf.DUMMYFUNCTION("""COMPUTED_VALUE"""),"Current Partner")</f>
        <v>Current Partner</v>
      </c>
      <c r="U119" s="16" t="b">
        <f>IFERROR(__xludf.DUMMYFUNCTION("""COMPUTED_VALUE"""),FALSE)</f>
        <v>0</v>
      </c>
      <c r="V119" s="16"/>
      <c r="W119" s="16"/>
      <c r="X119" s="16"/>
    </row>
    <row r="120">
      <c r="A120" s="16" t="str">
        <f>IFERROR(__xludf.DUMMYFUNCTION("""COMPUTED_VALUE"""),"Cindy")</f>
        <v>Cindy</v>
      </c>
      <c r="B120" s="16" t="str">
        <f>IFERROR(__xludf.DUMMYFUNCTION("""COMPUTED_VALUE"""),"Scarborough")</f>
        <v>Scarborough</v>
      </c>
      <c r="C120" s="16"/>
      <c r="D120" s="16" t="str">
        <f>IFERROR(__xludf.DUMMYFUNCTION("""COMPUTED_VALUE"""),"Datavail Corporation")</f>
        <v>Datavail Corporation</v>
      </c>
      <c r="E120" s="16" t="str">
        <f>IFERROR(__xludf.DUMMYFUNCTION("""COMPUTED_VALUE"""),"Growth")</f>
        <v>Growth</v>
      </c>
      <c r="F120" s="16" t="str">
        <f>IFERROR(__xludf.DUMMYFUNCTION("""COMPUTED_VALUE"""),"cindy.scarborough@datavail.com")</f>
        <v>cindy.scarborough@datavail.com</v>
      </c>
      <c r="G120" s="16" t="str">
        <f>IFERROR(__xludf.DUMMYFUNCTION("""COMPUTED_VALUE"""),"Aaron Shaw")</f>
        <v>Aaron Shaw</v>
      </c>
      <c r="H120" s="16" t="str">
        <f>IFERROR(__xludf.DUMMYFUNCTION("""COMPUTED_VALUE"""),"PartnerConnect - Technology")</f>
        <v>PartnerConnect - Technology</v>
      </c>
      <c r="I120" s="16" t="str">
        <f>IFERROR(__xludf.DUMMYFUNCTION("""COMPUTED_VALUE"""),"4770 Baseline Road")</f>
        <v>4770 Baseline Road</v>
      </c>
      <c r="J120" s="16"/>
      <c r="K120" s="16" t="str">
        <f>IFERROR(__xludf.DUMMYFUNCTION("""COMPUTED_VALUE"""),"Boulder")</f>
        <v>Boulder</v>
      </c>
      <c r="L120" s="16" t="str">
        <f>IFERROR(__xludf.DUMMYFUNCTION("""COMPUTED_VALUE"""),"Colorado")</f>
        <v>Colorado</v>
      </c>
      <c r="M120" s="16">
        <f>IFERROR(__xludf.DUMMYFUNCTION("""COMPUTED_VALUE"""),80303.0)</f>
        <v>80303</v>
      </c>
      <c r="N120" s="16" t="str">
        <f>IFERROR(__xludf.DUMMYFUNCTION("""COMPUTED_VALUE"""),"United States")</f>
        <v>United States</v>
      </c>
      <c r="O120" s="16" t="str">
        <f>IFERROR(__xludf.DUMMYFUNCTION("""COMPUTED_VALUE"""),"Medium")</f>
        <v>Medium</v>
      </c>
      <c r="P120" s="16" t="b">
        <f>IFERROR(__xludf.DUMMYFUNCTION("""COMPUTED_VALUE"""),FALSE)</f>
        <v>0</v>
      </c>
      <c r="Q120" s="16" t="b">
        <f>IFERROR(__xludf.DUMMYFUNCTION("""COMPUTED_VALUE"""),TRUE)</f>
        <v>1</v>
      </c>
      <c r="R120" s="16" t="str">
        <f>IFERROR(__xludf.DUMMYFUNCTION("""COMPUTED_VALUE"""),"Events, Marketing")</f>
        <v>Events, Marketing</v>
      </c>
      <c r="S120" s="16" t="str">
        <f>IFERROR(__xludf.DUMMYFUNCTION("""COMPUTED_VALUE"""),"Datavail")</f>
        <v>Datavail</v>
      </c>
      <c r="T120" s="16" t="str">
        <f>IFERROR(__xludf.DUMMYFUNCTION("""COMPUTED_VALUE"""),"Current Partner")</f>
        <v>Current Partner</v>
      </c>
      <c r="U120" s="16" t="b">
        <f>IFERROR(__xludf.DUMMYFUNCTION("""COMPUTED_VALUE"""),FALSE)</f>
        <v>0</v>
      </c>
      <c r="V120" s="16"/>
      <c r="W120" s="16"/>
      <c r="X120" s="16"/>
    </row>
    <row r="121">
      <c r="A121" s="16" t="str">
        <f>IFERROR(__xludf.DUMMYFUNCTION("""COMPUTED_VALUE"""),"Anil")</f>
        <v>Anil</v>
      </c>
      <c r="B121" s="16" t="str">
        <f>IFERROR(__xludf.DUMMYFUNCTION("""COMPUTED_VALUE"""),"Srikaran")</f>
        <v>Srikaran</v>
      </c>
      <c r="C121" s="16" t="str">
        <f>IFERROR(__xludf.DUMMYFUNCTION("""COMPUTED_VALUE"""),"Director Data Engineering")</f>
        <v>Director Data Engineering</v>
      </c>
      <c r="D121" s="16" t="str">
        <f>IFERROR(__xludf.DUMMYFUNCTION("""COMPUTED_VALUE"""),"Datavail Corporation")</f>
        <v>Datavail Corporation</v>
      </c>
      <c r="E121" s="16" t="str">
        <f>IFERROR(__xludf.DUMMYFUNCTION("""COMPUTED_VALUE"""),"Growth")</f>
        <v>Growth</v>
      </c>
      <c r="F121" s="16" t="str">
        <f>IFERROR(__xludf.DUMMYFUNCTION("""COMPUTED_VALUE"""),"anil.srikaran@datavail.com")</f>
        <v>anil.srikaran@datavail.com</v>
      </c>
      <c r="G121" s="16" t="str">
        <f>IFERROR(__xludf.DUMMYFUNCTION("""COMPUTED_VALUE"""),"Aaron Shaw")</f>
        <v>Aaron Shaw</v>
      </c>
      <c r="H121" s="16" t="str">
        <f>IFERROR(__xludf.DUMMYFUNCTION("""COMPUTED_VALUE"""),"PartnerConnect - Technology")</f>
        <v>PartnerConnect - Technology</v>
      </c>
      <c r="I121" s="16" t="str">
        <f>IFERROR(__xludf.DUMMYFUNCTION("""COMPUTED_VALUE"""),"4770 Baseline Rd.")</f>
        <v>4770 Baseline Rd.</v>
      </c>
      <c r="J121" s="16"/>
      <c r="K121" s="16" t="str">
        <f>IFERROR(__xludf.DUMMYFUNCTION("""COMPUTED_VALUE"""),"Boulder")</f>
        <v>Boulder</v>
      </c>
      <c r="L121" s="16" t="str">
        <f>IFERROR(__xludf.DUMMYFUNCTION("""COMPUTED_VALUE"""),"Colorado")</f>
        <v>Colorado</v>
      </c>
      <c r="M121" s="16">
        <f>IFERROR(__xludf.DUMMYFUNCTION("""COMPUTED_VALUE"""),80303.0)</f>
        <v>80303</v>
      </c>
      <c r="N121" s="16" t="str">
        <f>IFERROR(__xludf.DUMMYFUNCTION("""COMPUTED_VALUE"""),"Canada")</f>
        <v>Canada</v>
      </c>
      <c r="O121" s="16" t="str">
        <f>IFERROR(__xludf.DUMMYFUNCTION("""COMPUTED_VALUE"""),"Medium")</f>
        <v>Medium</v>
      </c>
      <c r="P121" s="16" t="b">
        <f>IFERROR(__xludf.DUMMYFUNCTION("""COMPUTED_VALUE"""),TRUE)</f>
        <v>1</v>
      </c>
      <c r="Q121" s="16" t="b">
        <f>IFERROR(__xludf.DUMMYFUNCTION("""COMPUTED_VALUE"""),FALSE)</f>
        <v>0</v>
      </c>
      <c r="R121" s="16" t="str">
        <f>IFERROR(__xludf.DUMMYFUNCTION("""COMPUTED_VALUE"""),"Admin, Events, Marketing, Support, Technical, Delivery Lead / BA, Client Partner / Partner Account Executive")</f>
        <v>Admin, Events, Marketing, Support, Technical, Delivery Lead / BA, Client Partner / Partner Account Executive</v>
      </c>
      <c r="S121" s="16" t="str">
        <f>IFERROR(__xludf.DUMMYFUNCTION("""COMPUTED_VALUE"""),"Datavail")</f>
        <v>Datavail</v>
      </c>
      <c r="T121" s="16" t="str">
        <f>IFERROR(__xludf.DUMMYFUNCTION("""COMPUTED_VALUE"""),"Current Partner")</f>
        <v>Current Partner</v>
      </c>
      <c r="U121" s="16" t="b">
        <f>IFERROR(__xludf.DUMMYFUNCTION("""COMPUTED_VALUE"""),FALSE)</f>
        <v>0</v>
      </c>
      <c r="V121" s="16"/>
      <c r="W121" s="16"/>
      <c r="X121" s="16"/>
    </row>
    <row r="122">
      <c r="A122" s="16" t="str">
        <f>IFERROR(__xludf.DUMMYFUNCTION("""COMPUTED_VALUE"""),"Alex")</f>
        <v>Alex</v>
      </c>
      <c r="B122" s="16" t="str">
        <f>IFERROR(__xludf.DUMMYFUNCTION("""COMPUTED_VALUE"""),"Tataran")</f>
        <v>Tataran</v>
      </c>
      <c r="C122" s="16" t="str">
        <f>IFERROR(__xludf.DUMMYFUNCTION("""COMPUTED_VALUE"""),"Director Technical Sales")</f>
        <v>Director Technical Sales</v>
      </c>
      <c r="D122" s="16" t="str">
        <f>IFERROR(__xludf.DUMMYFUNCTION("""COMPUTED_VALUE"""),"DeepOpinion")</f>
        <v>DeepOpinion</v>
      </c>
      <c r="E122" s="16" t="str">
        <f>IFERROR(__xludf.DUMMYFUNCTION("""COMPUTED_VALUE"""),"Insurtech Vanguard")</f>
        <v>Insurtech Vanguard</v>
      </c>
      <c r="F122" s="16" t="str">
        <f>IFERROR(__xludf.DUMMYFUNCTION("""COMPUTED_VALUE"""),"alex.tataran@deepopinion.ai")</f>
        <v>alex.tataran@deepopinion.ai</v>
      </c>
      <c r="G122" s="16" t="str">
        <f>IFERROR(__xludf.DUMMYFUNCTION("""COMPUTED_VALUE"""),"Shannon Spies")</f>
        <v>Shannon Spies</v>
      </c>
      <c r="H122" s="16"/>
      <c r="I122" s="16"/>
      <c r="J122" s="16"/>
      <c r="K122" s="16"/>
      <c r="L122" s="16"/>
      <c r="M122" s="16"/>
      <c r="N122" s="16" t="str">
        <f>IFERROR(__xludf.DUMMYFUNCTION("""COMPUTED_VALUE"""),"Austria")</f>
        <v>Austria</v>
      </c>
      <c r="O122" s="16"/>
      <c r="P122" s="16" t="b">
        <f>IFERROR(__xludf.DUMMYFUNCTION("""COMPUTED_VALUE"""),TRUE)</f>
        <v>1</v>
      </c>
      <c r="Q122" s="16" t="b">
        <f>IFERROR(__xludf.DUMMYFUNCTION("""COMPUTED_VALUE"""),FALSE)</f>
        <v>0</v>
      </c>
      <c r="R122" s="16" t="str">
        <f>IFERROR(__xludf.DUMMYFUNCTION("""COMPUTED_VALUE"""),"")</f>
        <v/>
      </c>
      <c r="S122" s="16" t="str">
        <f>IFERROR(__xludf.DUMMYFUNCTION("""COMPUTED_VALUE"""),"DeepOpinion")</f>
        <v>DeepOpinion</v>
      </c>
      <c r="T122" s="16" t="str">
        <f>IFERROR(__xludf.DUMMYFUNCTION("""COMPUTED_VALUE"""),"Current Vanguard")</f>
        <v>Current Vanguard</v>
      </c>
      <c r="U122" s="16" t="b">
        <f>IFERROR(__xludf.DUMMYFUNCTION("""COMPUTED_VALUE"""),FALSE)</f>
        <v>0</v>
      </c>
      <c r="V122" s="16"/>
      <c r="W122" s="16"/>
      <c r="X122" s="16"/>
    </row>
    <row r="123">
      <c r="A123" s="16" t="str">
        <f>IFERROR(__xludf.DUMMYFUNCTION("""COMPUTED_VALUE"""),"Dan")</f>
        <v>Dan</v>
      </c>
      <c r="B123" s="16" t="str">
        <f>IFERROR(__xludf.DUMMYFUNCTION("""COMPUTED_VALUE"""),"Gumpright")</f>
        <v>Gumpright</v>
      </c>
      <c r="C123" s="16" t="str">
        <f>IFERROR(__xludf.DUMMYFUNCTION("""COMPUTED_VALUE"""),"Executive Vice President")</f>
        <v>Executive Vice President</v>
      </c>
      <c r="D123" s="16" t="str">
        <f>IFERROR(__xludf.DUMMYFUNCTION("""COMPUTED_VALUE"""),"DETECTsystem")</f>
        <v>DETECTsystem</v>
      </c>
      <c r="E123" s="16" t="str">
        <f>IFERROR(__xludf.DUMMYFUNCTION("""COMPUTED_VALUE"""),"Growth")</f>
        <v>Growth</v>
      </c>
      <c r="F123" s="16" t="str">
        <f>IFERROR(__xludf.DUMMYFUNCTION("""COMPUTED_VALUE"""),"dg@detectsystem.com")</f>
        <v>dg@detectsystem.com</v>
      </c>
      <c r="G123" s="16" t="str">
        <f>IFERROR(__xludf.DUMMYFUNCTION("""COMPUTED_VALUE"""),"Vivienne Hoary")</f>
        <v>Vivienne Hoary</v>
      </c>
      <c r="H123" s="16" t="str">
        <f>IFERROR(__xludf.DUMMYFUNCTION("""COMPUTED_VALUE"""),"PartnerConnect - Technology")</f>
        <v>PartnerConnect - Technology</v>
      </c>
      <c r="I123" s="16"/>
      <c r="J123" s="16"/>
      <c r="K123" s="16" t="str">
        <f>IFERROR(__xludf.DUMMYFUNCTION("""COMPUTED_VALUE"""),"Scottsdale")</f>
        <v>Scottsdale</v>
      </c>
      <c r="L123" s="16" t="str">
        <f>IFERROR(__xludf.DUMMYFUNCTION("""COMPUTED_VALUE"""),"Arizona")</f>
        <v>Arizona</v>
      </c>
      <c r="M123" s="16">
        <f>IFERROR(__xludf.DUMMYFUNCTION("""COMPUTED_VALUE"""),85260.0)</f>
        <v>85260</v>
      </c>
      <c r="N123" s="16" t="str">
        <f>IFERROR(__xludf.DUMMYFUNCTION("""COMPUTED_VALUE"""),"United States")</f>
        <v>United States</v>
      </c>
      <c r="O123" s="16" t="str">
        <f>IFERROR(__xludf.DUMMYFUNCTION("""COMPUTED_VALUE"""),"Medium")</f>
        <v>Medium</v>
      </c>
      <c r="P123" s="16" t="b">
        <f>IFERROR(__xludf.DUMMYFUNCTION("""COMPUTED_VALUE"""),TRUE)</f>
        <v>1</v>
      </c>
      <c r="Q123" s="16" t="b">
        <f>IFERROR(__xludf.DUMMYFUNCTION("""COMPUTED_VALUE"""),TRUE)</f>
        <v>1</v>
      </c>
      <c r="R123" s="16" t="str">
        <f>IFERROR(__xludf.DUMMYFUNCTION("""COMPUTED_VALUE"""),"Admin, Training")</f>
        <v>Admin, Training</v>
      </c>
      <c r="S123" s="16" t="str">
        <f>IFERROR(__xludf.DUMMYFUNCTION("""COMPUTED_VALUE"""),"DETECTsystem")</f>
        <v>DETECTsystem</v>
      </c>
      <c r="T123" s="16" t="str">
        <f>IFERROR(__xludf.DUMMYFUNCTION("""COMPUTED_VALUE"""),"Current Partner")</f>
        <v>Current Partner</v>
      </c>
      <c r="U123" s="16" t="b">
        <f>IFERROR(__xludf.DUMMYFUNCTION("""COMPUTED_VALUE"""),FALSE)</f>
        <v>0</v>
      </c>
      <c r="V123" s="16"/>
      <c r="W123" s="16"/>
      <c r="X123" s="16"/>
    </row>
    <row r="124">
      <c r="A124" s="16" t="str">
        <f>IFERROR(__xludf.DUMMYFUNCTION("""COMPUTED_VALUE"""),"Daniel")</f>
        <v>Daniel</v>
      </c>
      <c r="B124" s="16" t="str">
        <f>IFERROR(__xludf.DUMMYFUNCTION("""COMPUTED_VALUE"""),"Burke")</f>
        <v>Burke</v>
      </c>
      <c r="C124" s="16" t="str">
        <f>IFERROR(__xludf.DUMMYFUNCTION("""COMPUTED_VALUE"""),"Head of Product")</f>
        <v>Head of Product</v>
      </c>
      <c r="D124" s="16" t="str">
        <f>IFERROR(__xludf.DUMMYFUNCTION("""COMPUTED_VALUE"""),"Digital Agriculture Services (DAS)")</f>
        <v>Digital Agriculture Services (DAS)</v>
      </c>
      <c r="E124" s="16" t="str">
        <f>IFERROR(__xludf.DUMMYFUNCTION("""COMPUTED_VALUE"""),"Growth")</f>
        <v>Growth</v>
      </c>
      <c r="F124" s="16" t="str">
        <f>IFERROR(__xludf.DUMMYFUNCTION("""COMPUTED_VALUE"""),"danielb@dasintel.io")</f>
        <v>danielb@dasintel.io</v>
      </c>
      <c r="G124" s="16" t="str">
        <f>IFERROR(__xludf.DUMMYFUNCTION("""COMPUTED_VALUE"""),"Ketaki Padhye")</f>
        <v>Ketaki Padhye</v>
      </c>
      <c r="H124" s="16" t="str">
        <f>IFERROR(__xludf.DUMMYFUNCTION("""COMPUTED_VALUE"""),"PartnerConnect - Technology")</f>
        <v>PartnerConnect - Technology</v>
      </c>
      <c r="I124" s="16" t="str">
        <f>IFERROR(__xludf.DUMMYFUNCTION("""COMPUTED_VALUE"""),"Rialto, West Podium M2
")</f>
        <v>Rialto, West Podium M2
</v>
      </c>
      <c r="J124" s="16" t="str">
        <f>IFERROR(__xludf.DUMMYFUNCTION("""COMPUTED_VALUE"""),"525 Collins Street")</f>
        <v>525 Collins Street</v>
      </c>
      <c r="K124" s="16" t="str">
        <f>IFERROR(__xludf.DUMMYFUNCTION("""COMPUTED_VALUE"""),"Melbourne")</f>
        <v>Melbourne</v>
      </c>
      <c r="L124" s="16" t="str">
        <f>IFERROR(__xludf.DUMMYFUNCTION("""COMPUTED_VALUE"""),"Victoria")</f>
        <v>Victoria</v>
      </c>
      <c r="M124" s="16">
        <f>IFERROR(__xludf.DUMMYFUNCTION("""COMPUTED_VALUE"""),3000.0)</f>
        <v>3000</v>
      </c>
      <c r="N124" s="16" t="str">
        <f>IFERROR(__xludf.DUMMYFUNCTION("""COMPUTED_VALUE"""),"Australia")</f>
        <v>Australia</v>
      </c>
      <c r="O124" s="16" t="str">
        <f>IFERROR(__xludf.DUMMYFUNCTION("""COMPUTED_VALUE"""),"Medium")</f>
        <v>Medium</v>
      </c>
      <c r="P124" s="16" t="b">
        <f>IFERROR(__xludf.DUMMYFUNCTION("""COMPUTED_VALUE"""),TRUE)</f>
        <v>1</v>
      </c>
      <c r="Q124" s="16" t="b">
        <f>IFERROR(__xludf.DUMMYFUNCTION("""COMPUTED_VALUE"""),FALSE)</f>
        <v>0</v>
      </c>
      <c r="R124" s="16" t="str">
        <f>IFERROR(__xludf.DUMMYFUNCTION("""COMPUTED_VALUE"""),"Admin")</f>
        <v>Admin</v>
      </c>
      <c r="S124" s="16" t="str">
        <f>IFERROR(__xludf.DUMMYFUNCTION("""COMPUTED_VALUE"""),"DAS")</f>
        <v>DAS</v>
      </c>
      <c r="T124" s="16" t="str">
        <f>IFERROR(__xludf.DUMMYFUNCTION("""COMPUTED_VALUE"""),"Current Partner")</f>
        <v>Current Partner</v>
      </c>
      <c r="U124" s="16" t="b">
        <f>IFERROR(__xludf.DUMMYFUNCTION("""COMPUTED_VALUE"""),FALSE)</f>
        <v>0</v>
      </c>
      <c r="V124" s="16"/>
      <c r="W124" s="16"/>
      <c r="X124" s="16"/>
    </row>
    <row r="125">
      <c r="A125" s="16" t="str">
        <f>IFERROR(__xludf.DUMMYFUNCTION("""COMPUTED_VALUE"""),"Jim")</f>
        <v>Jim</v>
      </c>
      <c r="B125" s="16" t="str">
        <f>IFERROR(__xludf.DUMMYFUNCTION("""COMPUTED_VALUE"""),"Sorrells")</f>
        <v>Sorrells</v>
      </c>
      <c r="C125" s="16" t="str">
        <f>IFERROR(__xludf.DUMMYFUNCTION("""COMPUTED_VALUE"""),"Sales Director")</f>
        <v>Sales Director</v>
      </c>
      <c r="D125" s="16" t="str">
        <f>IFERROR(__xludf.DUMMYFUNCTION("""COMPUTED_VALUE"""),"DigitalOwl")</f>
        <v>DigitalOwl</v>
      </c>
      <c r="E125" s="16" t="str">
        <f>IFERROR(__xludf.DUMMYFUNCTION("""COMPUTED_VALUE"""),"Insurtech Vanguard")</f>
        <v>Insurtech Vanguard</v>
      </c>
      <c r="F125" s="16" t="str">
        <f>IFERROR(__xludf.DUMMYFUNCTION("""COMPUTED_VALUE"""),"jim.s@digitalowl.com")</f>
        <v>jim.s@digitalowl.com</v>
      </c>
      <c r="G125" s="16" t="str">
        <f>IFERROR(__xludf.DUMMYFUNCTION("""COMPUTED_VALUE"""),"Shannon Spies")</f>
        <v>Shannon Spies</v>
      </c>
      <c r="H125" s="16"/>
      <c r="I125" s="16" t="str">
        <f>IFERROR(__xludf.DUMMYFUNCTION("""COMPUTED_VALUE"""),"13117 Greer Dr")</f>
        <v>13117 Greer Dr</v>
      </c>
      <c r="J125" s="16"/>
      <c r="K125" s="16" t="str">
        <f>IFERROR(__xludf.DUMMYFUNCTION("""COMPUTED_VALUE"""),"San Diego")</f>
        <v>San Diego</v>
      </c>
      <c r="L125" s="16" t="str">
        <f>IFERROR(__xludf.DUMMYFUNCTION("""COMPUTED_VALUE"""),"California")</f>
        <v>California</v>
      </c>
      <c r="M125" s="16">
        <f>IFERROR(__xludf.DUMMYFUNCTION("""COMPUTED_VALUE"""),92129.0)</f>
        <v>92129</v>
      </c>
      <c r="N125" s="16" t="str">
        <f>IFERROR(__xludf.DUMMYFUNCTION("""COMPUTED_VALUE"""),"United States")</f>
        <v>United States</v>
      </c>
      <c r="O125" s="16"/>
      <c r="P125" s="16" t="b">
        <f>IFERROR(__xludf.DUMMYFUNCTION("""COMPUTED_VALUE"""),TRUE)</f>
        <v>1</v>
      </c>
      <c r="Q125" s="16" t="b">
        <f>IFERROR(__xludf.DUMMYFUNCTION("""COMPUTED_VALUE"""),FALSE)</f>
        <v>0</v>
      </c>
      <c r="R125" s="16" t="str">
        <f>IFERROR(__xludf.DUMMYFUNCTION("""COMPUTED_VALUE"""),"")</f>
        <v/>
      </c>
      <c r="S125" s="16"/>
      <c r="T125" s="16" t="str">
        <f>IFERROR(__xludf.DUMMYFUNCTION("""COMPUTED_VALUE"""),"Current Vanguard")</f>
        <v>Current Vanguard</v>
      </c>
      <c r="U125" s="16" t="b">
        <f>IFERROR(__xludf.DUMMYFUNCTION("""COMPUTED_VALUE"""),FALSE)</f>
        <v>0</v>
      </c>
      <c r="V125" s="16"/>
      <c r="W125" s="16"/>
      <c r="X125" s="16"/>
    </row>
    <row r="126">
      <c r="A126" s="16" t="str">
        <f>IFERROR(__xludf.DUMMYFUNCTION("""COMPUTED_VALUE"""),"Josh")</f>
        <v>Josh</v>
      </c>
      <c r="B126" s="16" t="str">
        <f>IFERROR(__xludf.DUMMYFUNCTION("""COMPUTED_VALUE"""),"Sandford")</f>
        <v>Sandford</v>
      </c>
      <c r="C126" s="16" t="str">
        <f>IFERROR(__xludf.DUMMYFUNCTION("""COMPUTED_VALUE"""),"Founder")</f>
        <v>Founder</v>
      </c>
      <c r="D126" s="16" t="str">
        <f>IFERROR(__xludf.DUMMYFUNCTION("""COMPUTED_VALUE"""),"DingGo AU Pty Ltd")</f>
        <v>DingGo AU Pty Ltd</v>
      </c>
      <c r="E126" s="16" t="str">
        <f>IFERROR(__xludf.DUMMYFUNCTION("""COMPUTED_VALUE"""),"Growth")</f>
        <v>Growth</v>
      </c>
      <c r="F126" s="16" t="str">
        <f>IFERROR(__xludf.DUMMYFUNCTION("""COMPUTED_VALUE"""),"josh@dinggo.com.au")</f>
        <v>josh@dinggo.com.au</v>
      </c>
      <c r="G126" s="16" t="str">
        <f>IFERROR(__xludf.DUMMYFUNCTION("""COMPUTED_VALUE"""),"Ketaki Padhye")</f>
        <v>Ketaki Padhye</v>
      </c>
      <c r="H126" s="16" t="str">
        <f>IFERROR(__xludf.DUMMYFUNCTION("""COMPUTED_VALUE"""),"PartnerConnect - Technology")</f>
        <v>PartnerConnect - Technology</v>
      </c>
      <c r="I126" s="16"/>
      <c r="J126" s="16"/>
      <c r="K126" s="16"/>
      <c r="L126" s="16"/>
      <c r="M126" s="16"/>
      <c r="N126" s="16" t="str">
        <f>IFERROR(__xludf.DUMMYFUNCTION("""COMPUTED_VALUE"""),"Australia")</f>
        <v>Australia</v>
      </c>
      <c r="O126" s="16" t="str">
        <f>IFERROR(__xludf.DUMMYFUNCTION("""COMPUTED_VALUE"""),"Medium")</f>
        <v>Medium</v>
      </c>
      <c r="P126" s="16" t="b">
        <f>IFERROR(__xludf.DUMMYFUNCTION("""COMPUTED_VALUE"""),TRUE)</f>
        <v>1</v>
      </c>
      <c r="Q126" s="16" t="b">
        <f>IFERROR(__xludf.DUMMYFUNCTION("""COMPUTED_VALUE"""),FALSE)</f>
        <v>0</v>
      </c>
      <c r="R126" s="16" t="str">
        <f>IFERROR(__xludf.DUMMYFUNCTION("""COMPUTED_VALUE"""),"Admin, Support, Technical, Main Billing Contact, Billing Contact  LMS Training Fees, NPE User")</f>
        <v>Admin, Support, Technical, Main Billing Contact, Billing Contact  LMS Training Fees, NPE User</v>
      </c>
      <c r="S126" s="16" t="str">
        <f>IFERROR(__xludf.DUMMYFUNCTION("""COMPUTED_VALUE"""),"DingGo")</f>
        <v>DingGo</v>
      </c>
      <c r="T126" s="16" t="str">
        <f>IFERROR(__xludf.DUMMYFUNCTION("""COMPUTED_VALUE"""),"Current Partner")</f>
        <v>Current Partner</v>
      </c>
      <c r="U126" s="16" t="b">
        <f>IFERROR(__xludf.DUMMYFUNCTION("""COMPUTED_VALUE"""),TRUE)</f>
        <v>1</v>
      </c>
      <c r="V126" s="16"/>
      <c r="W126" s="16"/>
      <c r="X126" s="16"/>
    </row>
    <row r="127">
      <c r="A127" s="16" t="str">
        <f>IFERROR(__xludf.DUMMYFUNCTION("""COMPUTED_VALUE"""),"Paul")</f>
        <v>Paul</v>
      </c>
      <c r="B127" s="16" t="str">
        <f>IFERROR(__xludf.DUMMYFUNCTION("""COMPUTED_VALUE"""),"Hurt")</f>
        <v>Hurt</v>
      </c>
      <c r="C127" s="16"/>
      <c r="D127" s="16" t="str">
        <f>IFERROR(__xludf.DUMMYFUNCTION("""COMPUTED_VALUE"""),"Docusign Inc")</f>
        <v>Docusign Inc</v>
      </c>
      <c r="E127" s="16" t="str">
        <f>IFERROR(__xludf.DUMMYFUNCTION("""COMPUTED_VALUE"""),"Advantage")</f>
        <v>Advantage</v>
      </c>
      <c r="F127" s="16" t="str">
        <f>IFERROR(__xludf.DUMMYFUNCTION("""COMPUTED_VALUE"""),"paul.hurt@docusign.com")</f>
        <v>paul.hurt@docusign.com</v>
      </c>
      <c r="G127" s="16" t="str">
        <f>IFERROR(__xludf.DUMMYFUNCTION("""COMPUTED_VALUE"""),"Kelly Clayton")</f>
        <v>Kelly Clayton</v>
      </c>
      <c r="H127" s="16" t="str">
        <f>IFERROR(__xludf.DUMMYFUNCTION("""COMPUTED_VALUE"""),"PartnerConnect - Technology")</f>
        <v>PartnerConnect - Technology</v>
      </c>
      <c r="I127" s="16" t="str">
        <f>IFERROR(__xludf.DUMMYFUNCTION("""COMPUTED_VALUE"""),"221 Main Street, Suite 1000")</f>
        <v>221 Main Street, Suite 1000</v>
      </c>
      <c r="J127" s="16"/>
      <c r="K127" s="16" t="str">
        <f>IFERROR(__xludf.DUMMYFUNCTION("""COMPUTED_VALUE"""),"San Francisco")</f>
        <v>San Francisco</v>
      </c>
      <c r="L127" s="16" t="str">
        <f>IFERROR(__xludf.DUMMYFUNCTION("""COMPUTED_VALUE"""),"California")</f>
        <v>California</v>
      </c>
      <c r="M127" s="16">
        <f>IFERROR(__xludf.DUMMYFUNCTION("""COMPUTED_VALUE"""),94105.0)</f>
        <v>94105</v>
      </c>
      <c r="N127" s="16" t="str">
        <f>IFERROR(__xludf.DUMMYFUNCTION("""COMPUTED_VALUE"""),"United States")</f>
        <v>United States</v>
      </c>
      <c r="O127" s="16" t="str">
        <f>IFERROR(__xludf.DUMMYFUNCTION("""COMPUTED_VALUE"""),"Strategic")</f>
        <v>Strategic</v>
      </c>
      <c r="P127" s="16" t="b">
        <f>IFERROR(__xludf.DUMMYFUNCTION("""COMPUTED_VALUE"""),FALSE)</f>
        <v>0</v>
      </c>
      <c r="Q127" s="16" t="b">
        <f>IFERROR(__xludf.DUMMYFUNCTION("""COMPUTED_VALUE"""),TRUE)</f>
        <v>1</v>
      </c>
      <c r="R127" s="16" t="str">
        <f>IFERROR(__xludf.DUMMYFUNCTION("""COMPUTED_VALUE"""),"Business, Events, Marketing")</f>
        <v>Business, Events, Marketing</v>
      </c>
      <c r="S127" s="16" t="str">
        <f>IFERROR(__xludf.DUMMYFUNCTION("""COMPUTED_VALUE"""),"Docusign")</f>
        <v>Docusign</v>
      </c>
      <c r="T127" s="16" t="str">
        <f>IFERROR(__xludf.DUMMYFUNCTION("""COMPUTED_VALUE"""),"Current Partner")</f>
        <v>Current Partner</v>
      </c>
      <c r="U127" s="16" t="b">
        <f>IFERROR(__xludf.DUMMYFUNCTION("""COMPUTED_VALUE"""),FALSE)</f>
        <v>0</v>
      </c>
      <c r="V127" s="16"/>
      <c r="W127" s="16"/>
      <c r="X127" s="16"/>
    </row>
    <row r="128">
      <c r="A128" s="16" t="str">
        <f>IFERROR(__xludf.DUMMYFUNCTION("""COMPUTED_VALUE"""),"Ginger")</f>
        <v>Ginger</v>
      </c>
      <c r="B128" s="16" t="str">
        <f>IFERROR(__xludf.DUMMYFUNCTION("""COMPUTED_VALUE"""),"Lemon")</f>
        <v>Lemon</v>
      </c>
      <c r="C128" s="16" t="str">
        <f>IFERROR(__xludf.DUMMYFUNCTION("""COMPUTED_VALUE"""),"Sr. Director Industry Partnerships")</f>
        <v>Sr. Director Industry Partnerships</v>
      </c>
      <c r="D128" s="16" t="str">
        <f>IFERROR(__xludf.DUMMYFUNCTION("""COMPUTED_VALUE"""),"Docusign Inc")</f>
        <v>Docusign Inc</v>
      </c>
      <c r="E128" s="16" t="str">
        <f>IFERROR(__xludf.DUMMYFUNCTION("""COMPUTED_VALUE"""),"Advantage")</f>
        <v>Advantage</v>
      </c>
      <c r="F128" s="16" t="str">
        <f>IFERROR(__xludf.DUMMYFUNCTION("""COMPUTED_VALUE"""),"ginger.lemon@docusign.com")</f>
        <v>ginger.lemon@docusign.com</v>
      </c>
      <c r="G128" s="16" t="str">
        <f>IFERROR(__xludf.DUMMYFUNCTION("""COMPUTED_VALUE"""),"Kelly Clayton")</f>
        <v>Kelly Clayton</v>
      </c>
      <c r="H128" s="16" t="str">
        <f>IFERROR(__xludf.DUMMYFUNCTION("""COMPUTED_VALUE"""),"PartnerConnect - Technology")</f>
        <v>PartnerConnect - Technology</v>
      </c>
      <c r="I128" s="16" t="str">
        <f>IFERROR(__xludf.DUMMYFUNCTION("""COMPUTED_VALUE"""),"221 Main St")</f>
        <v>221 Main St</v>
      </c>
      <c r="J128" s="16"/>
      <c r="K128" s="16" t="str">
        <f>IFERROR(__xludf.DUMMYFUNCTION("""COMPUTED_VALUE"""),"San Francisco")</f>
        <v>San Francisco</v>
      </c>
      <c r="L128" s="16" t="str">
        <f>IFERROR(__xludf.DUMMYFUNCTION("""COMPUTED_VALUE"""),"California")</f>
        <v>California</v>
      </c>
      <c r="M128" s="16">
        <f>IFERROR(__xludf.DUMMYFUNCTION("""COMPUTED_VALUE"""),94105.0)</f>
        <v>94105</v>
      </c>
      <c r="N128" s="16" t="str">
        <f>IFERROR(__xludf.DUMMYFUNCTION("""COMPUTED_VALUE"""),"United States")</f>
        <v>United States</v>
      </c>
      <c r="O128" s="16" t="str">
        <f>IFERROR(__xludf.DUMMYFUNCTION("""COMPUTED_VALUE"""),"Strategic")</f>
        <v>Strategic</v>
      </c>
      <c r="P128" s="16" t="b">
        <f>IFERROR(__xludf.DUMMYFUNCTION("""COMPUTED_VALUE"""),TRUE)</f>
        <v>1</v>
      </c>
      <c r="Q128" s="16" t="b">
        <f>IFERROR(__xludf.DUMMYFUNCTION("""COMPUTED_VALUE"""),TRUE)</f>
        <v>1</v>
      </c>
      <c r="R128" s="16" t="str">
        <f>IFERROR(__xludf.DUMMYFUNCTION("""COMPUTED_VALUE"""),"Admin, Business, Events, Marketing")</f>
        <v>Admin, Business, Events, Marketing</v>
      </c>
      <c r="S128" s="16" t="str">
        <f>IFERROR(__xludf.DUMMYFUNCTION("""COMPUTED_VALUE"""),"Docusign")</f>
        <v>Docusign</v>
      </c>
      <c r="T128" s="16" t="str">
        <f>IFERROR(__xludf.DUMMYFUNCTION("""COMPUTED_VALUE"""),"Current Partner")</f>
        <v>Current Partner</v>
      </c>
      <c r="U128" s="16" t="b">
        <f>IFERROR(__xludf.DUMMYFUNCTION("""COMPUTED_VALUE"""),FALSE)</f>
        <v>0</v>
      </c>
      <c r="V128" s="16"/>
      <c r="W128" s="16"/>
      <c r="X128" s="16"/>
    </row>
    <row r="129">
      <c r="A129" s="16" t="str">
        <f>IFERROR(__xludf.DUMMYFUNCTION("""COMPUTED_VALUE"""),"Brent")</f>
        <v>Brent</v>
      </c>
      <c r="B129" s="16" t="str">
        <f>IFERROR(__xludf.DUMMYFUNCTION("""COMPUTED_VALUE"""),"Ho-Young")</f>
        <v>Ho-Young</v>
      </c>
      <c r="C129" s="16" t="str">
        <f>IFERROR(__xludf.DUMMYFUNCTION("""COMPUTED_VALUE"""),"CEO")</f>
        <v>CEO</v>
      </c>
      <c r="D129" s="16" t="str">
        <f>IFERROR(__xludf.DUMMYFUNCTION("""COMPUTED_VALUE"""),"Dream Payments")</f>
        <v>Dream Payments</v>
      </c>
      <c r="E129" s="16" t="str">
        <f>IFERROR(__xludf.DUMMYFUNCTION("""COMPUTED_VALUE"""),"Growth")</f>
        <v>Growth</v>
      </c>
      <c r="F129" s="16" t="str">
        <f>IFERROR(__xludf.DUMMYFUNCTION("""COMPUTED_VALUE"""),"brent@dreampayments.com")</f>
        <v>brent@dreampayments.com</v>
      </c>
      <c r="G129" s="16" t="str">
        <f>IFERROR(__xludf.DUMMYFUNCTION("""COMPUTED_VALUE"""),"Aaron Shaw")</f>
        <v>Aaron Shaw</v>
      </c>
      <c r="H129" s="16" t="str">
        <f>IFERROR(__xludf.DUMMYFUNCTION("""COMPUTED_VALUE"""),"PartnerConnect - Technology")</f>
        <v>PartnerConnect - Technology</v>
      </c>
      <c r="I129" s="16" t="str">
        <f>IFERROR(__xludf.DUMMYFUNCTION("""COMPUTED_VALUE"""),"171 E Liberty St")</f>
        <v>171 E Liberty St</v>
      </c>
      <c r="J129" s="16"/>
      <c r="K129" s="16" t="str">
        <f>IFERROR(__xludf.DUMMYFUNCTION("""COMPUTED_VALUE"""),"Toronto")</f>
        <v>Toronto</v>
      </c>
      <c r="L129" s="16" t="str">
        <f>IFERROR(__xludf.DUMMYFUNCTION("""COMPUTED_VALUE"""),"ONTARIO")</f>
        <v>ONTARIO</v>
      </c>
      <c r="M129" s="16" t="str">
        <f>IFERROR(__xludf.DUMMYFUNCTION("""COMPUTED_VALUE"""),"M6K 3P6")</f>
        <v>M6K 3P6</v>
      </c>
      <c r="N129" s="16" t="str">
        <f>IFERROR(__xludf.DUMMYFUNCTION("""COMPUTED_VALUE"""),"Canada")</f>
        <v>Canada</v>
      </c>
      <c r="O129" s="16" t="str">
        <f>IFERROR(__xludf.DUMMYFUNCTION("""COMPUTED_VALUE"""),"Low")</f>
        <v>Low</v>
      </c>
      <c r="P129" s="16" t="b">
        <f>IFERROR(__xludf.DUMMYFUNCTION("""COMPUTED_VALUE"""),TRUE)</f>
        <v>1</v>
      </c>
      <c r="Q129" s="16" t="b">
        <f>IFERROR(__xludf.DUMMYFUNCTION("""COMPUTED_VALUE"""),TRUE)</f>
        <v>1</v>
      </c>
      <c r="R129" s="16" t="str">
        <f>IFERROR(__xludf.DUMMYFUNCTION("""COMPUTED_VALUE"""),"Admin, Business, Training")</f>
        <v>Admin, Business, Training</v>
      </c>
      <c r="S129" s="16" t="str">
        <f>IFERROR(__xludf.DUMMYFUNCTION("""COMPUTED_VALUE"""),"Dream Payments")</f>
        <v>Dream Payments</v>
      </c>
      <c r="T129" s="16" t="str">
        <f>IFERROR(__xludf.DUMMYFUNCTION("""COMPUTED_VALUE"""),"Current Partner")</f>
        <v>Current Partner</v>
      </c>
      <c r="U129" s="16" t="b">
        <f>IFERROR(__xludf.DUMMYFUNCTION("""COMPUTED_VALUE"""),FALSE)</f>
        <v>0</v>
      </c>
      <c r="V129" s="16"/>
      <c r="W129" s="16"/>
      <c r="X129" s="16"/>
    </row>
    <row r="130">
      <c r="A130" s="16" t="str">
        <f>IFERROR(__xludf.DUMMYFUNCTION("""COMPUTED_VALUE"""),"Ethan")</f>
        <v>Ethan</v>
      </c>
      <c r="B130" s="16" t="str">
        <f>IFERROR(__xludf.DUMMYFUNCTION("""COMPUTED_VALUE"""),"Ross")</f>
        <v>Ross</v>
      </c>
      <c r="C130" s="16" t="str">
        <f>IFERROR(__xludf.DUMMYFUNCTION("""COMPUTED_VALUE"""),"Director of Partnerships &amp; Corp Dev")</f>
        <v>Director of Partnerships &amp; Corp Dev</v>
      </c>
      <c r="D130" s="16" t="str">
        <f>IFERROR(__xludf.DUMMYFUNCTION("""COMPUTED_VALUE"""),"Dream Payments")</f>
        <v>Dream Payments</v>
      </c>
      <c r="E130" s="16" t="str">
        <f>IFERROR(__xludf.DUMMYFUNCTION("""COMPUTED_VALUE"""),"Growth")</f>
        <v>Growth</v>
      </c>
      <c r="F130" s="16" t="str">
        <f>IFERROR(__xludf.DUMMYFUNCTION("""COMPUTED_VALUE"""),"ethan.ross@dreampayments.com")</f>
        <v>ethan.ross@dreampayments.com</v>
      </c>
      <c r="G130" s="16" t="str">
        <f>IFERROR(__xludf.DUMMYFUNCTION("""COMPUTED_VALUE"""),"Aaron Shaw")</f>
        <v>Aaron Shaw</v>
      </c>
      <c r="H130" s="16" t="str">
        <f>IFERROR(__xludf.DUMMYFUNCTION("""COMPUTED_VALUE"""),"PartnerConnect - Technology")</f>
        <v>PartnerConnect - Technology</v>
      </c>
      <c r="I130" s="16" t="str">
        <f>IFERROR(__xludf.DUMMYFUNCTION("""COMPUTED_VALUE"""),"1266 E Main St Ste 700R")</f>
        <v>1266 E Main St Ste 700R</v>
      </c>
      <c r="J130" s="16"/>
      <c r="K130" s="16" t="str">
        <f>IFERROR(__xludf.DUMMYFUNCTION("""COMPUTED_VALUE"""),"Stamford")</f>
        <v>Stamford</v>
      </c>
      <c r="L130" s="16" t="str">
        <f>IFERROR(__xludf.DUMMYFUNCTION("""COMPUTED_VALUE"""),"Connecticut")</f>
        <v>Connecticut</v>
      </c>
      <c r="M130" s="16">
        <f>IFERROR(__xludf.DUMMYFUNCTION("""COMPUTED_VALUE"""),6902.0)</f>
        <v>6902</v>
      </c>
      <c r="N130" s="16" t="str">
        <f>IFERROR(__xludf.DUMMYFUNCTION("""COMPUTED_VALUE"""),"United States")</f>
        <v>United States</v>
      </c>
      <c r="O130" s="16" t="str">
        <f>IFERROR(__xludf.DUMMYFUNCTION("""COMPUTED_VALUE"""),"Low")</f>
        <v>Low</v>
      </c>
      <c r="P130" s="16" t="b">
        <f>IFERROR(__xludf.DUMMYFUNCTION("""COMPUTED_VALUE"""),FALSE)</f>
        <v>0</v>
      </c>
      <c r="Q130" s="16" t="b">
        <f>IFERROR(__xludf.DUMMYFUNCTION("""COMPUTED_VALUE"""),TRUE)</f>
        <v>1</v>
      </c>
      <c r="R130" s="16" t="str">
        <f>IFERROR(__xludf.DUMMYFUNCTION("""COMPUTED_VALUE"""),"Business, Events, Marketing, Delivery Lead / BA")</f>
        <v>Business, Events, Marketing, Delivery Lead / BA</v>
      </c>
      <c r="S130" s="16" t="str">
        <f>IFERROR(__xludf.DUMMYFUNCTION("""COMPUTED_VALUE"""),"Dream Payments")</f>
        <v>Dream Payments</v>
      </c>
      <c r="T130" s="16" t="str">
        <f>IFERROR(__xludf.DUMMYFUNCTION("""COMPUTED_VALUE"""),"Current Partner")</f>
        <v>Current Partner</v>
      </c>
      <c r="U130" s="16" t="b">
        <f>IFERROR(__xludf.DUMMYFUNCTION("""COMPUTED_VALUE"""),FALSE)</f>
        <v>0</v>
      </c>
      <c r="V130" s="16"/>
      <c r="W130" s="16"/>
      <c r="X130" s="16"/>
    </row>
    <row r="131">
      <c r="A131" s="16" t="str">
        <f>IFERROR(__xludf.DUMMYFUNCTION("""COMPUTED_VALUE"""),"Aashish")</f>
        <v>Aashish</v>
      </c>
      <c r="B131" s="16" t="str">
        <f>IFERROR(__xludf.DUMMYFUNCTION("""COMPUTED_VALUE"""),"Singhvi")</f>
        <v>Singhvi</v>
      </c>
      <c r="C131" s="16" t="str">
        <f>IFERROR(__xludf.DUMMYFUNCTION("""COMPUTED_VALUE"""),"CEO")</f>
        <v>CEO</v>
      </c>
      <c r="D131" s="16" t="str">
        <f>IFERROR(__xludf.DUMMYFUNCTION("""COMPUTED_VALUE"""),"DVSUM")</f>
        <v>DVSUM</v>
      </c>
      <c r="E131" s="16" t="str">
        <f>IFERROR(__xludf.DUMMYFUNCTION("""COMPUTED_VALUE"""),"Insurtech Vanguard")</f>
        <v>Insurtech Vanguard</v>
      </c>
      <c r="F131" s="16" t="str">
        <f>IFERROR(__xludf.DUMMYFUNCTION("""COMPUTED_VALUE"""),"aashish@dvsum.com")</f>
        <v>aashish@dvsum.com</v>
      </c>
      <c r="G131" s="16" t="str">
        <f>IFERROR(__xludf.DUMMYFUNCTION("""COMPUTED_VALUE"""),"Shannon Spies")</f>
        <v>Shannon Spies</v>
      </c>
      <c r="H131" s="16"/>
      <c r="I131" s="16"/>
      <c r="J131" s="16"/>
      <c r="K131" s="16"/>
      <c r="L131" s="16"/>
      <c r="M131" s="16"/>
      <c r="N131" s="16"/>
      <c r="O131" s="16"/>
      <c r="P131" s="16" t="b">
        <f>IFERROR(__xludf.DUMMYFUNCTION("""COMPUTED_VALUE"""),TRUE)</f>
        <v>1</v>
      </c>
      <c r="Q131" s="16" t="b">
        <f>IFERROR(__xludf.DUMMYFUNCTION("""COMPUTED_VALUE"""),FALSE)</f>
        <v>0</v>
      </c>
      <c r="R131" s="16" t="str">
        <f>IFERROR(__xludf.DUMMYFUNCTION("""COMPUTED_VALUE"""),"")</f>
        <v/>
      </c>
      <c r="S131" s="16"/>
      <c r="T131" s="16" t="str">
        <f>IFERROR(__xludf.DUMMYFUNCTION("""COMPUTED_VALUE"""),"Current Vanguard")</f>
        <v>Current Vanguard</v>
      </c>
      <c r="U131" s="16" t="b">
        <f>IFERROR(__xludf.DUMMYFUNCTION("""COMPUTED_VALUE"""),FALSE)</f>
        <v>0</v>
      </c>
      <c r="V131" s="16"/>
      <c r="W131" s="16"/>
      <c r="X131" s="16"/>
    </row>
    <row r="132">
      <c r="A132" s="16" t="str">
        <f>IFERROR(__xludf.DUMMYFUNCTION("""COMPUTED_VALUE"""),"Sanara")</f>
        <v>Sanara</v>
      </c>
      <c r="B132" s="16" t="str">
        <f>IFERROR(__xludf.DUMMYFUNCTION("""COMPUTED_VALUE"""),"Marsh")</f>
        <v>Marsh</v>
      </c>
      <c r="C132" s="16" t="str">
        <f>IFERROR(__xludf.DUMMYFUNCTION("""COMPUTED_VALUE"""),"Technology Alliance Manager")</f>
        <v>Technology Alliance Manager</v>
      </c>
      <c r="D132" s="16" t="str">
        <f>IFERROR(__xludf.DUMMYFUNCTION("""COMPUTED_VALUE"""),"Dynatrace LLC")</f>
        <v>Dynatrace LLC</v>
      </c>
      <c r="E132" s="16" t="str">
        <f>IFERROR(__xludf.DUMMYFUNCTION("""COMPUTED_VALUE"""),"Growth")</f>
        <v>Growth</v>
      </c>
      <c r="F132" s="16" t="str">
        <f>IFERROR(__xludf.DUMMYFUNCTION("""COMPUTED_VALUE"""),"sanara.marsh@dynatrace.com")</f>
        <v>sanara.marsh@dynatrace.com</v>
      </c>
      <c r="G132" s="16" t="str">
        <f>IFERROR(__xludf.DUMMYFUNCTION("""COMPUTED_VALUE"""),"Tim Kennedy")</f>
        <v>Tim Kennedy</v>
      </c>
      <c r="H132" s="16" t="str">
        <f>IFERROR(__xludf.DUMMYFUNCTION("""COMPUTED_VALUE"""),"PartnerConnect - Technology")</f>
        <v>PartnerConnect - Technology</v>
      </c>
      <c r="I132" s="16"/>
      <c r="J132" s="16"/>
      <c r="K132" s="16"/>
      <c r="L132" s="16"/>
      <c r="M132" s="16"/>
      <c r="N132" s="16" t="str">
        <f>IFERROR(__xludf.DUMMYFUNCTION("""COMPUTED_VALUE"""),"United States")</f>
        <v>United States</v>
      </c>
      <c r="O132" s="16" t="str">
        <f>IFERROR(__xludf.DUMMYFUNCTION("""COMPUTED_VALUE"""),"Medium")</f>
        <v>Medium</v>
      </c>
      <c r="P132" s="16" t="b">
        <f>IFERROR(__xludf.DUMMYFUNCTION("""COMPUTED_VALUE"""),TRUE)</f>
        <v>1</v>
      </c>
      <c r="Q132" s="16" t="b">
        <f>IFERROR(__xludf.DUMMYFUNCTION("""COMPUTED_VALUE"""),TRUE)</f>
        <v>1</v>
      </c>
      <c r="R132" s="16" t="str">
        <f>IFERROR(__xludf.DUMMYFUNCTION("""COMPUTED_VALUE"""),"Admin, Support, NPE User")</f>
        <v>Admin, Support, NPE User</v>
      </c>
      <c r="S132" s="16" t="str">
        <f>IFERROR(__xludf.DUMMYFUNCTION("""COMPUTED_VALUE"""),"Dynatrace")</f>
        <v>Dynatrace</v>
      </c>
      <c r="T132" s="16" t="str">
        <f>IFERROR(__xludf.DUMMYFUNCTION("""COMPUTED_VALUE"""),"Current Partner")</f>
        <v>Current Partner</v>
      </c>
      <c r="U132" s="16" t="b">
        <f>IFERROR(__xludf.DUMMYFUNCTION("""COMPUTED_VALUE"""),TRUE)</f>
        <v>1</v>
      </c>
      <c r="V132" s="16"/>
      <c r="W132" s="16"/>
      <c r="X132" s="16"/>
    </row>
    <row r="133">
      <c r="A133" s="16" t="str">
        <f>IFERROR(__xludf.DUMMYFUNCTION("""COMPUTED_VALUE"""),"rob")</f>
        <v>rob</v>
      </c>
      <c r="B133" s="16" t="str">
        <f>IFERROR(__xludf.DUMMYFUNCTION("""COMPUTED_VALUE"""),"jahn")</f>
        <v>jahn</v>
      </c>
      <c r="C133" s="16" t="str">
        <f>IFERROR(__xludf.DUMMYFUNCTION("""COMPUTED_VALUE"""),"Technology Alliance Manager")</f>
        <v>Technology Alliance Manager</v>
      </c>
      <c r="D133" s="16" t="str">
        <f>IFERROR(__xludf.DUMMYFUNCTION("""COMPUTED_VALUE"""),"Dynatrace LLC")</f>
        <v>Dynatrace LLC</v>
      </c>
      <c r="E133" s="16" t="str">
        <f>IFERROR(__xludf.DUMMYFUNCTION("""COMPUTED_VALUE"""),"Growth")</f>
        <v>Growth</v>
      </c>
      <c r="F133" s="16" t="str">
        <f>IFERROR(__xludf.DUMMYFUNCTION("""COMPUTED_VALUE"""),"rob.jahn@dynatrace.com")</f>
        <v>rob.jahn@dynatrace.com</v>
      </c>
      <c r="G133" s="16" t="str">
        <f>IFERROR(__xludf.DUMMYFUNCTION("""COMPUTED_VALUE"""),"Tim Kennedy")</f>
        <v>Tim Kennedy</v>
      </c>
      <c r="H133" s="16" t="str">
        <f>IFERROR(__xludf.DUMMYFUNCTION("""COMPUTED_VALUE"""),"PartnerConnect - Technology")</f>
        <v>PartnerConnect - Technology</v>
      </c>
      <c r="I133" s="16"/>
      <c r="J133" s="16"/>
      <c r="K133" s="16"/>
      <c r="L133" s="16"/>
      <c r="M133" s="16"/>
      <c r="N133" s="16" t="str">
        <f>IFERROR(__xludf.DUMMYFUNCTION("""COMPUTED_VALUE"""),"United States")</f>
        <v>United States</v>
      </c>
      <c r="O133" s="16" t="str">
        <f>IFERROR(__xludf.DUMMYFUNCTION("""COMPUTED_VALUE"""),"Medium")</f>
        <v>Medium</v>
      </c>
      <c r="P133" s="16" t="b">
        <f>IFERROR(__xludf.DUMMYFUNCTION("""COMPUTED_VALUE"""),TRUE)</f>
        <v>1</v>
      </c>
      <c r="Q133" s="16" t="b">
        <f>IFERROR(__xludf.DUMMYFUNCTION("""COMPUTED_VALUE"""),TRUE)</f>
        <v>1</v>
      </c>
      <c r="R133" s="16" t="str">
        <f>IFERROR(__xludf.DUMMYFUNCTION("""COMPUTED_VALUE"""),"Admin, Support, Technical, NPE User")</f>
        <v>Admin, Support, Technical, NPE User</v>
      </c>
      <c r="S133" s="16" t="str">
        <f>IFERROR(__xludf.DUMMYFUNCTION("""COMPUTED_VALUE"""),"Dynatrace")</f>
        <v>Dynatrace</v>
      </c>
      <c r="T133" s="16" t="str">
        <f>IFERROR(__xludf.DUMMYFUNCTION("""COMPUTED_VALUE"""),"Current Partner")</f>
        <v>Current Partner</v>
      </c>
      <c r="U133" s="16" t="b">
        <f>IFERROR(__xludf.DUMMYFUNCTION("""COMPUTED_VALUE"""),TRUE)</f>
        <v>1</v>
      </c>
      <c r="V133" s="16"/>
      <c r="W133" s="16"/>
      <c r="X133" s="16"/>
    </row>
    <row r="134">
      <c r="A134" s="16" t="str">
        <f>IFERROR(__xludf.DUMMYFUNCTION("""COMPUTED_VALUE"""),"Viktoriia")</f>
        <v>Viktoriia</v>
      </c>
      <c r="B134" s="16" t="str">
        <f>IFERROR(__xludf.DUMMYFUNCTION("""COMPUTED_VALUE"""),"Starchenko")</f>
        <v>Starchenko</v>
      </c>
      <c r="C134" s="16" t="str">
        <f>IFERROR(__xludf.DUMMYFUNCTION("""COMPUTED_VALUE"""),"Alliance manager, technology alliances and ecosystems")</f>
        <v>Alliance manager, technology alliances and ecosystems</v>
      </c>
      <c r="D134" s="16" t="str">
        <f>IFERROR(__xludf.DUMMYFUNCTION("""COMPUTED_VALUE"""),"Dynatrace LLC")</f>
        <v>Dynatrace LLC</v>
      </c>
      <c r="E134" s="16" t="str">
        <f>IFERROR(__xludf.DUMMYFUNCTION("""COMPUTED_VALUE"""),"Growth")</f>
        <v>Growth</v>
      </c>
      <c r="F134" s="16" t="str">
        <f>IFERROR(__xludf.DUMMYFUNCTION("""COMPUTED_VALUE"""),"viktoriia.starchenko@dynatrace.com")</f>
        <v>viktoriia.starchenko@dynatrace.com</v>
      </c>
      <c r="G134" s="16" t="str">
        <f>IFERROR(__xludf.DUMMYFUNCTION("""COMPUTED_VALUE"""),"Tim Kennedy")</f>
        <v>Tim Kennedy</v>
      </c>
      <c r="H134" s="16" t="str">
        <f>IFERROR(__xludf.DUMMYFUNCTION("""COMPUTED_VALUE"""),"PartnerConnect - Technology")</f>
        <v>PartnerConnect - Technology</v>
      </c>
      <c r="I134" s="16" t="str">
        <f>IFERROR(__xludf.DUMMYFUNCTION("""COMPUTED_VALUE"""),"1601 Trapelo Rd #116")</f>
        <v>1601 Trapelo Rd #116</v>
      </c>
      <c r="J134" s="16"/>
      <c r="K134" s="16" t="str">
        <f>IFERROR(__xludf.DUMMYFUNCTION("""COMPUTED_VALUE"""),"Waltham")</f>
        <v>Waltham</v>
      </c>
      <c r="L134" s="16" t="str">
        <f>IFERROR(__xludf.DUMMYFUNCTION("""COMPUTED_VALUE"""),"Massachusetts")</f>
        <v>Massachusetts</v>
      </c>
      <c r="M134" s="16">
        <f>IFERROR(__xludf.DUMMYFUNCTION("""COMPUTED_VALUE"""),2451.0)</f>
        <v>2451</v>
      </c>
      <c r="N134" s="16" t="str">
        <f>IFERROR(__xludf.DUMMYFUNCTION("""COMPUTED_VALUE"""),"United States")</f>
        <v>United States</v>
      </c>
      <c r="O134" s="16" t="str">
        <f>IFERROR(__xludf.DUMMYFUNCTION("""COMPUTED_VALUE"""),"Medium")</f>
        <v>Medium</v>
      </c>
      <c r="P134" s="16" t="b">
        <f>IFERROR(__xludf.DUMMYFUNCTION("""COMPUTED_VALUE"""),TRUE)</f>
        <v>1</v>
      </c>
      <c r="Q134" s="16" t="b">
        <f>IFERROR(__xludf.DUMMYFUNCTION("""COMPUTED_VALUE"""),TRUE)</f>
        <v>1</v>
      </c>
      <c r="R134" s="16" t="str">
        <f>IFERROR(__xludf.DUMMYFUNCTION("""COMPUTED_VALUE"""),"Admin, Business, Legal / Contracts, Marketing")</f>
        <v>Admin, Business, Legal / Contracts, Marketing</v>
      </c>
      <c r="S134" s="16" t="str">
        <f>IFERROR(__xludf.DUMMYFUNCTION("""COMPUTED_VALUE"""),"Dynatrace")</f>
        <v>Dynatrace</v>
      </c>
      <c r="T134" s="16" t="str">
        <f>IFERROR(__xludf.DUMMYFUNCTION("""COMPUTED_VALUE"""),"Current Partner")</f>
        <v>Current Partner</v>
      </c>
      <c r="U134" s="16" t="b">
        <f>IFERROR(__xludf.DUMMYFUNCTION("""COMPUTED_VALUE"""),FALSE)</f>
        <v>0</v>
      </c>
      <c r="V134" s="16"/>
      <c r="W134" s="16"/>
      <c r="X134" s="16"/>
    </row>
    <row r="135">
      <c r="A135" s="16" t="str">
        <f>IFERROR(__xludf.DUMMYFUNCTION("""COMPUTED_VALUE"""),"Prem")</f>
        <v>Prem</v>
      </c>
      <c r="B135" s="16" t="str">
        <f>IFERROR(__xludf.DUMMYFUNCTION("""COMPUTED_VALUE"""),"Kumar")</f>
        <v>Kumar</v>
      </c>
      <c r="C135" s="16"/>
      <c r="D135" s="16" t="str">
        <f>IFERROR(__xludf.DUMMYFUNCTION("""COMPUTED_VALUE"""),"EagleView Technologies, Inc")</f>
        <v>EagleView Technologies, Inc</v>
      </c>
      <c r="E135" s="16" t="str">
        <f>IFERROR(__xludf.DUMMYFUNCTION("""COMPUTED_VALUE"""),"Growth")</f>
        <v>Growth</v>
      </c>
      <c r="F135" s="16" t="str">
        <f>IFERROR(__xludf.DUMMYFUNCTION("""COMPUTED_VALUE"""),"prem.kumar@eagleview.com")</f>
        <v>prem.kumar@eagleview.com</v>
      </c>
      <c r="G135" s="16" t="str">
        <f>IFERROR(__xludf.DUMMYFUNCTION("""COMPUTED_VALUE"""),"Aaron Shaw")</f>
        <v>Aaron Shaw</v>
      </c>
      <c r="H135" s="16" t="str">
        <f>IFERROR(__xludf.DUMMYFUNCTION("""COMPUTED_VALUE"""),"PartnerConnect - Technology")</f>
        <v>PartnerConnect - Technology</v>
      </c>
      <c r="I135" s="16" t="str">
        <f>IFERROR(__xludf.DUMMYFUNCTION("""COMPUTED_VALUE"""),"25 Methodist Hill Drive")</f>
        <v>25 Methodist Hill Drive</v>
      </c>
      <c r="J135" s="16"/>
      <c r="K135" s="16" t="str">
        <f>IFERROR(__xludf.DUMMYFUNCTION("""COMPUTED_VALUE"""),"Rochester")</f>
        <v>Rochester</v>
      </c>
      <c r="L135" s="16" t="str">
        <f>IFERROR(__xludf.DUMMYFUNCTION("""COMPUTED_VALUE"""),"New York")</f>
        <v>New York</v>
      </c>
      <c r="M135" s="16">
        <f>IFERROR(__xludf.DUMMYFUNCTION("""COMPUTED_VALUE"""),14623.0)</f>
        <v>14623</v>
      </c>
      <c r="N135" s="16" t="str">
        <f>IFERROR(__xludf.DUMMYFUNCTION("""COMPUTED_VALUE"""),"United States")</f>
        <v>United States</v>
      </c>
      <c r="O135" s="16" t="str">
        <f>IFERROR(__xludf.DUMMYFUNCTION("""COMPUTED_VALUE"""),"Medium")</f>
        <v>Medium</v>
      </c>
      <c r="P135" s="16" t="b">
        <f>IFERROR(__xludf.DUMMYFUNCTION("""COMPUTED_VALUE"""),FALSE)</f>
        <v>0</v>
      </c>
      <c r="Q135" s="16" t="b">
        <f>IFERROR(__xludf.DUMMYFUNCTION("""COMPUTED_VALUE"""),TRUE)</f>
        <v>1</v>
      </c>
      <c r="R135" s="16" t="str">
        <f>IFERROR(__xludf.DUMMYFUNCTION("""COMPUTED_VALUE"""),"Events, Marketing, Technical")</f>
        <v>Events, Marketing, Technical</v>
      </c>
      <c r="S135" s="16" t="str">
        <f>IFERROR(__xludf.DUMMYFUNCTION("""COMPUTED_VALUE"""),"EagleView")</f>
        <v>EagleView</v>
      </c>
      <c r="T135" s="16" t="str">
        <f>IFERROR(__xludf.DUMMYFUNCTION("""COMPUTED_VALUE"""),"Current Partner")</f>
        <v>Current Partner</v>
      </c>
      <c r="U135" s="16" t="b">
        <f>IFERROR(__xludf.DUMMYFUNCTION("""COMPUTED_VALUE"""),FALSE)</f>
        <v>0</v>
      </c>
      <c r="V135" s="16"/>
      <c r="W135" s="16"/>
      <c r="X135" s="16"/>
    </row>
    <row r="136">
      <c r="A136" s="16" t="str">
        <f>IFERROR(__xludf.DUMMYFUNCTION("""COMPUTED_VALUE"""),"Peter")</f>
        <v>Peter</v>
      </c>
      <c r="B136" s="16" t="str">
        <f>IFERROR(__xludf.DUMMYFUNCTION("""COMPUTED_VALUE"""),"Cleveland")</f>
        <v>Cleveland</v>
      </c>
      <c r="C136" s="16" t="str">
        <f>IFERROR(__xludf.DUMMYFUNCTION("""COMPUTED_VALUE"""),"Vice President Partner Strategy")</f>
        <v>Vice President Partner Strategy</v>
      </c>
      <c r="D136" s="16" t="str">
        <f>IFERROR(__xludf.DUMMYFUNCTION("""COMPUTED_VALUE"""),"EagleView Technologies, Inc")</f>
        <v>EagleView Technologies, Inc</v>
      </c>
      <c r="E136" s="16" t="str">
        <f>IFERROR(__xludf.DUMMYFUNCTION("""COMPUTED_VALUE"""),"Growth")</f>
        <v>Growth</v>
      </c>
      <c r="F136" s="16" t="str">
        <f>IFERROR(__xludf.DUMMYFUNCTION("""COMPUTED_VALUE"""),"peter.cleveland@eagleview.com")</f>
        <v>peter.cleveland@eagleview.com</v>
      </c>
      <c r="G136" s="16" t="str">
        <f>IFERROR(__xludf.DUMMYFUNCTION("""COMPUTED_VALUE"""),"Aaron Shaw")</f>
        <v>Aaron Shaw</v>
      </c>
      <c r="H136" s="16" t="str">
        <f>IFERROR(__xludf.DUMMYFUNCTION("""COMPUTED_VALUE"""),"PartnerConnect - Technology")</f>
        <v>PartnerConnect - Technology</v>
      </c>
      <c r="I136" s="16" t="str">
        <f>IFERROR(__xludf.DUMMYFUNCTION("""COMPUTED_VALUE"""),"25 Methodist Hill Drive")</f>
        <v>25 Methodist Hill Drive</v>
      </c>
      <c r="J136" s="16"/>
      <c r="K136" s="16" t="str">
        <f>IFERROR(__xludf.DUMMYFUNCTION("""COMPUTED_VALUE"""),"Rochester")</f>
        <v>Rochester</v>
      </c>
      <c r="L136" s="16" t="str">
        <f>IFERROR(__xludf.DUMMYFUNCTION("""COMPUTED_VALUE"""),"New York")</f>
        <v>New York</v>
      </c>
      <c r="M136" s="16">
        <f>IFERROR(__xludf.DUMMYFUNCTION("""COMPUTED_VALUE"""),14623.0)</f>
        <v>14623</v>
      </c>
      <c r="N136" s="16" t="str">
        <f>IFERROR(__xludf.DUMMYFUNCTION("""COMPUTED_VALUE"""),"United States")</f>
        <v>United States</v>
      </c>
      <c r="O136" s="16" t="str">
        <f>IFERROR(__xludf.DUMMYFUNCTION("""COMPUTED_VALUE"""),"Medium")</f>
        <v>Medium</v>
      </c>
      <c r="P136" s="16" t="b">
        <f>IFERROR(__xludf.DUMMYFUNCTION("""COMPUTED_VALUE"""),TRUE)</f>
        <v>1</v>
      </c>
      <c r="Q136" s="16" t="b">
        <f>IFERROR(__xludf.DUMMYFUNCTION("""COMPUTED_VALUE"""),TRUE)</f>
        <v>1</v>
      </c>
      <c r="R136" s="16" t="str">
        <f>IFERROR(__xludf.DUMMYFUNCTION("""COMPUTED_VALUE"""),"Admin, Business, Marketing")</f>
        <v>Admin, Business, Marketing</v>
      </c>
      <c r="S136" s="16" t="str">
        <f>IFERROR(__xludf.DUMMYFUNCTION("""COMPUTED_VALUE"""),"EagleView")</f>
        <v>EagleView</v>
      </c>
      <c r="T136" s="16" t="str">
        <f>IFERROR(__xludf.DUMMYFUNCTION("""COMPUTED_VALUE"""),"Current Partner")</f>
        <v>Current Partner</v>
      </c>
      <c r="U136" s="16" t="b">
        <f>IFERROR(__xludf.DUMMYFUNCTION("""COMPUTED_VALUE"""),FALSE)</f>
        <v>0</v>
      </c>
      <c r="V136" s="16"/>
      <c r="W136" s="16"/>
      <c r="X136" s="16"/>
    </row>
    <row r="137">
      <c r="A137" s="16" t="str">
        <f>IFERROR(__xludf.DUMMYFUNCTION("""COMPUTED_VALUE"""),"Matt")</f>
        <v>Matt</v>
      </c>
      <c r="B137" s="16" t="str">
        <f>IFERROR(__xludf.DUMMYFUNCTION("""COMPUTED_VALUE"""),"Pearce")</f>
        <v>Pearce</v>
      </c>
      <c r="C137" s="16"/>
      <c r="D137" s="16" t="str">
        <f>IFERROR(__xludf.DUMMYFUNCTION("""COMPUTED_VALUE"""),"Early Warning Network (EWN)")</f>
        <v>Early Warning Network (EWN)</v>
      </c>
      <c r="E137" s="16" t="str">
        <f>IFERROR(__xludf.DUMMYFUNCTION("""COMPUTED_VALUE"""),"Growth")</f>
        <v>Growth</v>
      </c>
      <c r="F137" s="16" t="str">
        <f>IFERROR(__xludf.DUMMYFUNCTION("""COMPUTED_VALUE"""),"matt.pearce@ewn.com.au")</f>
        <v>matt.pearce@ewn.com.au</v>
      </c>
      <c r="G137" s="16" t="str">
        <f>IFERROR(__xludf.DUMMYFUNCTION("""COMPUTED_VALUE"""),"Ketaki Padhye")</f>
        <v>Ketaki Padhye</v>
      </c>
      <c r="H137" s="16" t="str">
        <f>IFERROR(__xludf.DUMMYFUNCTION("""COMPUTED_VALUE"""),"PartnerConnect - Technology")</f>
        <v>PartnerConnect - Technology</v>
      </c>
      <c r="I137" s="16" t="str">
        <f>IFERROR(__xludf.DUMMYFUNCTION("""COMPUTED_VALUE"""),"PO Box 2015")</f>
        <v>PO Box 2015</v>
      </c>
      <c r="J137" s="16"/>
      <c r="K137" s="16" t="str">
        <f>IFERROR(__xludf.DUMMYFUNCTION("""COMPUTED_VALUE"""),"Kingscliff")</f>
        <v>Kingscliff</v>
      </c>
      <c r="L137" s="16" t="str">
        <f>IFERROR(__xludf.DUMMYFUNCTION("""COMPUTED_VALUE"""),"New South Wales")</f>
        <v>New South Wales</v>
      </c>
      <c r="M137" s="16">
        <f>IFERROR(__xludf.DUMMYFUNCTION("""COMPUTED_VALUE"""),2487.0)</f>
        <v>2487</v>
      </c>
      <c r="N137" s="16" t="str">
        <f>IFERROR(__xludf.DUMMYFUNCTION("""COMPUTED_VALUE"""),"Australia")</f>
        <v>Australia</v>
      </c>
      <c r="O137" s="16" t="str">
        <f>IFERROR(__xludf.DUMMYFUNCTION("""COMPUTED_VALUE"""),"Medium")</f>
        <v>Medium</v>
      </c>
      <c r="P137" s="16" t="b">
        <f>IFERROR(__xludf.DUMMYFUNCTION("""COMPUTED_VALUE"""),TRUE)</f>
        <v>1</v>
      </c>
      <c r="Q137" s="16" t="b">
        <f>IFERROR(__xludf.DUMMYFUNCTION("""COMPUTED_VALUE"""),FALSE)</f>
        <v>0</v>
      </c>
      <c r="R137" s="16" t="str">
        <f>IFERROR(__xludf.DUMMYFUNCTION("""COMPUTED_VALUE"""),"Admin, Training, Main Billing Contact, Billing Contact  LMS Training Fees")</f>
        <v>Admin, Training, Main Billing Contact, Billing Contact  LMS Training Fees</v>
      </c>
      <c r="S137" s="16" t="str">
        <f>IFERROR(__xludf.DUMMYFUNCTION("""COMPUTED_VALUE"""),"Early Warning Network")</f>
        <v>Early Warning Network</v>
      </c>
      <c r="T137" s="16" t="str">
        <f>IFERROR(__xludf.DUMMYFUNCTION("""COMPUTED_VALUE"""),"Current Partner")</f>
        <v>Current Partner</v>
      </c>
      <c r="U137" s="16" t="b">
        <f>IFERROR(__xludf.DUMMYFUNCTION("""COMPUTED_VALUE"""),FALSE)</f>
        <v>0</v>
      </c>
      <c r="V137" s="16"/>
      <c r="W137" s="16"/>
      <c r="X137" s="16"/>
    </row>
    <row r="138">
      <c r="A138" s="16" t="str">
        <f>IFERROR(__xludf.DUMMYFUNCTION("""COMPUTED_VALUE"""),"Cristina")</f>
        <v>Cristina</v>
      </c>
      <c r="B138" s="16" t="str">
        <f>IFERROR(__xludf.DUMMYFUNCTION("""COMPUTED_VALUE"""),"Lombardo")</f>
        <v>Lombardo</v>
      </c>
      <c r="C138" s="16" t="str">
        <f>IFERROR(__xludf.DUMMYFUNCTION("""COMPUTED_VALUE"""),"Global Events Manager")</f>
        <v>Global Events Manager</v>
      </c>
      <c r="D138" s="16" t="str">
        <f>IFERROR(__xludf.DUMMYFUNCTION("""COMPUTED_VALUE"""),"Earnix")</f>
        <v>Earnix</v>
      </c>
      <c r="E138" s="16" t="str">
        <f>IFERROR(__xludf.DUMMYFUNCTION("""COMPUTED_VALUE"""),"Premier")</f>
        <v>Premier</v>
      </c>
      <c r="F138" s="16" t="str">
        <f>IFERROR(__xludf.DUMMYFUNCTION("""COMPUTED_VALUE"""),"cristina.lombardo@earnix.com")</f>
        <v>cristina.lombardo@earnix.com</v>
      </c>
      <c r="G138" s="16" t="str">
        <f>IFERROR(__xludf.DUMMYFUNCTION("""COMPUTED_VALUE"""),"Tim Kennedy")</f>
        <v>Tim Kennedy</v>
      </c>
      <c r="H138" s="16" t="str">
        <f>IFERROR(__xludf.DUMMYFUNCTION("""COMPUTED_VALUE"""),"PartnerConnect - Technology")</f>
        <v>PartnerConnect - Technology</v>
      </c>
      <c r="I138" s="16" t="str">
        <f>IFERROR(__xludf.DUMMYFUNCTION("""COMPUTED_VALUE"""),"221 Crescent Street")</f>
        <v>221 Crescent Street</v>
      </c>
      <c r="J138" s="16"/>
      <c r="K138" s="16" t="str">
        <f>IFERROR(__xludf.DUMMYFUNCTION("""COMPUTED_VALUE"""),"Waltham")</f>
        <v>Waltham</v>
      </c>
      <c r="L138" s="16" t="str">
        <f>IFERROR(__xludf.DUMMYFUNCTION("""COMPUTED_VALUE"""),"Massachusetts")</f>
        <v>Massachusetts</v>
      </c>
      <c r="M138" s="16">
        <f>IFERROR(__xludf.DUMMYFUNCTION("""COMPUTED_VALUE"""),2453.0)</f>
        <v>2453</v>
      </c>
      <c r="N138" s="16" t="str">
        <f>IFERROR(__xludf.DUMMYFUNCTION("""COMPUTED_VALUE"""),"United States")</f>
        <v>United States</v>
      </c>
      <c r="O138" s="16" t="str">
        <f>IFERROR(__xludf.DUMMYFUNCTION("""COMPUTED_VALUE"""),"High")</f>
        <v>High</v>
      </c>
      <c r="P138" s="16" t="b">
        <f>IFERROR(__xludf.DUMMYFUNCTION("""COMPUTED_VALUE"""),FALSE)</f>
        <v>0</v>
      </c>
      <c r="Q138" s="16" t="b">
        <f>IFERROR(__xludf.DUMMYFUNCTION("""COMPUTED_VALUE"""),TRUE)</f>
        <v>1</v>
      </c>
      <c r="R138" s="16" t="str">
        <f>IFERROR(__xludf.DUMMYFUNCTION("""COMPUTED_VALUE"""),"Events, Marketing")</f>
        <v>Events, Marketing</v>
      </c>
      <c r="S138" s="16" t="str">
        <f>IFERROR(__xludf.DUMMYFUNCTION("""COMPUTED_VALUE"""),"Earnix")</f>
        <v>Earnix</v>
      </c>
      <c r="T138" s="16" t="str">
        <f>IFERROR(__xludf.DUMMYFUNCTION("""COMPUTED_VALUE"""),"Current Partner")</f>
        <v>Current Partner</v>
      </c>
      <c r="U138" s="16" t="b">
        <f>IFERROR(__xludf.DUMMYFUNCTION("""COMPUTED_VALUE"""),FALSE)</f>
        <v>0</v>
      </c>
      <c r="V138" s="16"/>
      <c r="W138" s="16"/>
      <c r="X138" s="16"/>
    </row>
    <row r="139">
      <c r="A139" s="16" t="str">
        <f>IFERROR(__xludf.DUMMYFUNCTION("""COMPUTED_VALUE"""),"Ruth")</f>
        <v>Ruth</v>
      </c>
      <c r="B139" s="16" t="str">
        <f>IFERROR(__xludf.DUMMYFUNCTION("""COMPUTED_VALUE"""),"Fisk")</f>
        <v>Fisk</v>
      </c>
      <c r="C139" s="16" t="str">
        <f>IFERROR(__xludf.DUMMYFUNCTION("""COMPUTED_VALUE"""),"Head of Business Development")</f>
        <v>Head of Business Development</v>
      </c>
      <c r="D139" s="16" t="str">
        <f>IFERROR(__xludf.DUMMYFUNCTION("""COMPUTED_VALUE"""),"Earnix")</f>
        <v>Earnix</v>
      </c>
      <c r="E139" s="16" t="str">
        <f>IFERROR(__xludf.DUMMYFUNCTION("""COMPUTED_VALUE"""),"Premier")</f>
        <v>Premier</v>
      </c>
      <c r="F139" s="16" t="str">
        <f>IFERROR(__xludf.DUMMYFUNCTION("""COMPUTED_VALUE"""),"fisk.ruth@earnix.com")</f>
        <v>fisk.ruth@earnix.com</v>
      </c>
      <c r="G139" s="16" t="str">
        <f>IFERROR(__xludf.DUMMYFUNCTION("""COMPUTED_VALUE"""),"Tim Kennedy")</f>
        <v>Tim Kennedy</v>
      </c>
      <c r="H139" s="16" t="str">
        <f>IFERROR(__xludf.DUMMYFUNCTION("""COMPUTED_VALUE"""),"PartnerConnect - Technology")</f>
        <v>PartnerConnect - Technology</v>
      </c>
      <c r="I139" s="16" t="str">
        <f>IFERROR(__xludf.DUMMYFUNCTION("""COMPUTED_VALUE"""),"1018 5TH AVE")</f>
        <v>1018 5TH AVE</v>
      </c>
      <c r="J139" s="16"/>
      <c r="K139" s="16" t="str">
        <f>IFERROR(__xludf.DUMMYFUNCTION("""COMPUTED_VALUE"""),"Waltham")</f>
        <v>Waltham</v>
      </c>
      <c r="L139" s="16" t="str">
        <f>IFERROR(__xludf.DUMMYFUNCTION("""COMPUTED_VALUE"""),"Massachusetts")</f>
        <v>Massachusetts</v>
      </c>
      <c r="M139" s="16">
        <f>IFERROR(__xludf.DUMMYFUNCTION("""COMPUTED_VALUE"""),2453.0)</f>
        <v>2453</v>
      </c>
      <c r="N139" s="16" t="str">
        <f>IFERROR(__xludf.DUMMYFUNCTION("""COMPUTED_VALUE"""),"United States")</f>
        <v>United States</v>
      </c>
      <c r="O139" s="16" t="str">
        <f>IFERROR(__xludf.DUMMYFUNCTION("""COMPUTED_VALUE"""),"High")</f>
        <v>High</v>
      </c>
      <c r="P139" s="16" t="b">
        <f>IFERROR(__xludf.DUMMYFUNCTION("""COMPUTED_VALUE"""),TRUE)</f>
        <v>1</v>
      </c>
      <c r="Q139" s="16" t="b">
        <f>IFERROR(__xludf.DUMMYFUNCTION("""COMPUTED_VALUE"""),TRUE)</f>
        <v>1</v>
      </c>
      <c r="R139" s="16" t="str">
        <f>IFERROR(__xludf.DUMMYFUNCTION("""COMPUTED_VALUE"""),"Admin, Marketing")</f>
        <v>Admin, Marketing</v>
      </c>
      <c r="S139" s="16" t="str">
        <f>IFERROR(__xludf.DUMMYFUNCTION("""COMPUTED_VALUE"""),"Earnix")</f>
        <v>Earnix</v>
      </c>
      <c r="T139" s="16" t="str">
        <f>IFERROR(__xludf.DUMMYFUNCTION("""COMPUTED_VALUE"""),"Current Partner")</f>
        <v>Current Partner</v>
      </c>
      <c r="U139" s="16" t="b">
        <f>IFERROR(__xludf.DUMMYFUNCTION("""COMPUTED_VALUE"""),FALSE)</f>
        <v>0</v>
      </c>
      <c r="V139" s="16"/>
      <c r="W139" s="16"/>
      <c r="X139" s="16"/>
    </row>
    <row r="140">
      <c r="A140" s="16" t="str">
        <f>IFERROR(__xludf.DUMMYFUNCTION("""COMPUTED_VALUE"""),"Carly")</f>
        <v>Carly</v>
      </c>
      <c r="B140" s="16" t="str">
        <f>IFERROR(__xludf.DUMMYFUNCTION("""COMPUTED_VALUE"""),"Beneke")</f>
        <v>Beneke</v>
      </c>
      <c r="C140" s="16"/>
      <c r="D140" s="16" t="str">
        <f>IFERROR(__xludf.DUMMYFUNCTION("""COMPUTED_VALUE"""),"EarthDaily Analytics Corp.")</f>
        <v>EarthDaily Analytics Corp.</v>
      </c>
      <c r="E140" s="16" t="str">
        <f>IFERROR(__xludf.DUMMYFUNCTION("""COMPUTED_VALUE"""),"Growth")</f>
        <v>Growth</v>
      </c>
      <c r="F140" s="16" t="str">
        <f>IFERROR(__xludf.DUMMYFUNCTION("""COMPUTED_VALUE"""),"carly.beneke@earthdaily.com")</f>
        <v>carly.beneke@earthdaily.com</v>
      </c>
      <c r="G140" s="16" t="str">
        <f>IFERROR(__xludf.DUMMYFUNCTION("""COMPUTED_VALUE"""),"Ketaki Padhye")</f>
        <v>Ketaki Padhye</v>
      </c>
      <c r="H140" s="16" t="str">
        <f>IFERROR(__xludf.DUMMYFUNCTION("""COMPUTED_VALUE"""),"PartnerConnect - Technology")</f>
        <v>PartnerConnect - Technology</v>
      </c>
      <c r="I140" s="16" t="str">
        <f>IFERROR(__xludf.DUMMYFUNCTION("""COMPUTED_VALUE"""),"2443 Fillmore St #380-2871")</f>
        <v>2443 Fillmore St #380-2871</v>
      </c>
      <c r="J140" s="16"/>
      <c r="K140" s="16" t="str">
        <f>IFERROR(__xludf.DUMMYFUNCTION("""COMPUTED_VALUE"""),"San Francisco")</f>
        <v>San Francisco</v>
      </c>
      <c r="L140" s="16" t="str">
        <f>IFERROR(__xludf.DUMMYFUNCTION("""COMPUTED_VALUE"""),"California")</f>
        <v>California</v>
      </c>
      <c r="M140" s="16">
        <f>IFERROR(__xludf.DUMMYFUNCTION("""COMPUTED_VALUE"""),94115.0)</f>
        <v>94115</v>
      </c>
      <c r="N140" s="16" t="str">
        <f>IFERROR(__xludf.DUMMYFUNCTION("""COMPUTED_VALUE"""),"United States")</f>
        <v>United States</v>
      </c>
      <c r="O140" s="16" t="str">
        <f>IFERROR(__xludf.DUMMYFUNCTION("""COMPUTED_VALUE"""),"Medium")</f>
        <v>Medium</v>
      </c>
      <c r="P140" s="16" t="b">
        <f>IFERROR(__xludf.DUMMYFUNCTION("""COMPUTED_VALUE"""),TRUE)</f>
        <v>1</v>
      </c>
      <c r="Q140" s="16" t="b">
        <f>IFERROR(__xludf.DUMMYFUNCTION("""COMPUTED_VALUE"""),FALSE)</f>
        <v>0</v>
      </c>
      <c r="R140" s="16" t="str">
        <f>IFERROR(__xludf.DUMMYFUNCTION("""COMPUTED_VALUE"""),"Admin")</f>
        <v>Admin</v>
      </c>
      <c r="S140" s="16" t="str">
        <f>IFERROR(__xludf.DUMMYFUNCTION("""COMPUTED_VALUE"""),"Geosite")</f>
        <v>Geosite</v>
      </c>
      <c r="T140" s="16" t="str">
        <f>IFERROR(__xludf.DUMMYFUNCTION("""COMPUTED_VALUE"""),"Current Partner")</f>
        <v>Current Partner</v>
      </c>
      <c r="U140" s="16" t="b">
        <f>IFERROR(__xludf.DUMMYFUNCTION("""COMPUTED_VALUE"""),FALSE)</f>
        <v>0</v>
      </c>
      <c r="V140" s="16"/>
      <c r="W140" s="16"/>
      <c r="X140" s="16"/>
    </row>
    <row r="141">
      <c r="A141" s="16" t="str">
        <f>IFERROR(__xludf.DUMMYFUNCTION("""COMPUTED_VALUE"""),"Bill")</f>
        <v>Bill</v>
      </c>
      <c r="B141" s="16" t="str">
        <f>IFERROR(__xludf.DUMMYFUNCTION("""COMPUTED_VALUE"""),"Clausen")</f>
        <v>Clausen</v>
      </c>
      <c r="C141" s="16" t="str">
        <f>IFERROR(__xludf.DUMMYFUNCTION("""COMPUTED_VALUE"""),"EVP - Partner Relations")</f>
        <v>EVP - Partner Relations</v>
      </c>
      <c r="D141" s="16" t="str">
        <f>IFERROR(__xludf.DUMMYFUNCTION("""COMPUTED_VALUE"""),"ECHO")</f>
        <v>ECHO</v>
      </c>
      <c r="E141" s="16" t="str">
        <f>IFERROR(__xludf.DUMMYFUNCTION("""COMPUTED_VALUE"""),"Advantage")</f>
        <v>Advantage</v>
      </c>
      <c r="F141" s="16" t="str">
        <f>IFERROR(__xludf.DUMMYFUNCTION("""COMPUTED_VALUE"""),"wclausen@echohealthinc.com")</f>
        <v>wclausen@echohealthinc.com</v>
      </c>
      <c r="G141" s="16" t="str">
        <f>IFERROR(__xludf.DUMMYFUNCTION("""COMPUTED_VALUE"""),"Rod Gowin")</f>
        <v>Rod Gowin</v>
      </c>
      <c r="H141" s="16" t="str">
        <f>IFERROR(__xludf.DUMMYFUNCTION("""COMPUTED_VALUE"""),"PartnerConnect - Technology")</f>
        <v>PartnerConnect - Technology</v>
      </c>
      <c r="I141" s="16" t="str">
        <f>IFERROR(__xludf.DUMMYFUNCTION("""COMPUTED_VALUE"""),"810 Sharon Drive ")</f>
        <v>810 Sharon Drive </v>
      </c>
      <c r="J141" s="16"/>
      <c r="K141" s="16" t="str">
        <f>IFERROR(__xludf.DUMMYFUNCTION("""COMPUTED_VALUE"""),"Westlake")</f>
        <v>Westlake</v>
      </c>
      <c r="L141" s="16" t="str">
        <f>IFERROR(__xludf.DUMMYFUNCTION("""COMPUTED_VALUE"""),"Ohio")</f>
        <v>Ohio</v>
      </c>
      <c r="M141" s="16">
        <f>IFERROR(__xludf.DUMMYFUNCTION("""COMPUTED_VALUE"""),44145.0)</f>
        <v>44145</v>
      </c>
      <c r="N141" s="16" t="str">
        <f>IFERROR(__xludf.DUMMYFUNCTION("""COMPUTED_VALUE"""),"United States")</f>
        <v>United States</v>
      </c>
      <c r="O141" s="16" t="str">
        <f>IFERROR(__xludf.DUMMYFUNCTION("""COMPUTED_VALUE"""),"Medium")</f>
        <v>Medium</v>
      </c>
      <c r="P141" s="16" t="b">
        <f>IFERROR(__xludf.DUMMYFUNCTION("""COMPUTED_VALUE"""),FALSE)</f>
        <v>0</v>
      </c>
      <c r="Q141" s="16" t="b">
        <f>IFERROR(__xludf.DUMMYFUNCTION("""COMPUTED_VALUE"""),TRUE)</f>
        <v>1</v>
      </c>
      <c r="R141" s="16" t="str">
        <f>IFERROR(__xludf.DUMMYFUNCTION("""COMPUTED_VALUE"""),"Admin, Business, Events, Marketing")</f>
        <v>Admin, Business, Events, Marketing</v>
      </c>
      <c r="S141" s="16" t="str">
        <f>IFERROR(__xludf.DUMMYFUNCTION("""COMPUTED_VALUE"""),"ECHO")</f>
        <v>ECHO</v>
      </c>
      <c r="T141" s="16" t="str">
        <f>IFERROR(__xludf.DUMMYFUNCTION("""COMPUTED_VALUE"""),"Current Partner")</f>
        <v>Current Partner</v>
      </c>
      <c r="U141" s="16" t="b">
        <f>IFERROR(__xludf.DUMMYFUNCTION("""COMPUTED_VALUE"""),FALSE)</f>
        <v>0</v>
      </c>
      <c r="V141" s="16"/>
      <c r="W141" s="16"/>
      <c r="X141" s="16"/>
    </row>
    <row r="142">
      <c r="A142" s="16" t="str">
        <f>IFERROR(__xludf.DUMMYFUNCTION("""COMPUTED_VALUE"""),"Stephen")</f>
        <v>Stephen</v>
      </c>
      <c r="B142" s="16" t="str">
        <f>IFERROR(__xludf.DUMMYFUNCTION("""COMPUTED_VALUE"""),"Root")</f>
        <v>Root</v>
      </c>
      <c r="C142" s="16" t="str">
        <f>IFERROR(__xludf.DUMMYFUNCTION("""COMPUTED_VALUE"""),"General Manager, Prelude Division")</f>
        <v>General Manager, Prelude Division</v>
      </c>
      <c r="D142" s="16" t="str">
        <f>IFERROR(__xludf.DUMMYFUNCTION("""COMPUTED_VALUE"""),"ECHO")</f>
        <v>ECHO</v>
      </c>
      <c r="E142" s="16" t="str">
        <f>IFERROR(__xludf.DUMMYFUNCTION("""COMPUTED_VALUE"""),"Advantage")</f>
        <v>Advantage</v>
      </c>
      <c r="F142" s="16" t="str">
        <f>IFERROR(__xludf.DUMMYFUNCTION("""COMPUTED_VALUE"""),"sroot@echohealthinc.com")</f>
        <v>sroot@echohealthinc.com</v>
      </c>
      <c r="G142" s="16" t="str">
        <f>IFERROR(__xludf.DUMMYFUNCTION("""COMPUTED_VALUE"""),"Rod Gowin")</f>
        <v>Rod Gowin</v>
      </c>
      <c r="H142" s="16" t="str">
        <f>IFERROR(__xludf.DUMMYFUNCTION("""COMPUTED_VALUE"""),"PartnerConnect - Technology")</f>
        <v>PartnerConnect - Technology</v>
      </c>
      <c r="I142" s="16" t="str">
        <f>IFERROR(__xludf.DUMMYFUNCTION("""COMPUTED_VALUE"""),"810 Sharon Drive ")</f>
        <v>810 Sharon Drive </v>
      </c>
      <c r="J142" s="16"/>
      <c r="K142" s="16" t="str">
        <f>IFERROR(__xludf.DUMMYFUNCTION("""COMPUTED_VALUE"""),"Westlake")</f>
        <v>Westlake</v>
      </c>
      <c r="L142" s="16" t="str">
        <f>IFERROR(__xludf.DUMMYFUNCTION("""COMPUTED_VALUE"""),"Ohio")</f>
        <v>Ohio</v>
      </c>
      <c r="M142" s="16">
        <f>IFERROR(__xludf.DUMMYFUNCTION("""COMPUTED_VALUE"""),44145.0)</f>
        <v>44145</v>
      </c>
      <c r="N142" s="16" t="str">
        <f>IFERROR(__xludf.DUMMYFUNCTION("""COMPUTED_VALUE"""),"United States")</f>
        <v>United States</v>
      </c>
      <c r="O142" s="16" t="str">
        <f>IFERROR(__xludf.DUMMYFUNCTION("""COMPUTED_VALUE"""),"Medium")</f>
        <v>Medium</v>
      </c>
      <c r="P142" s="16" t="b">
        <f>IFERROR(__xludf.DUMMYFUNCTION("""COMPUTED_VALUE"""),TRUE)</f>
        <v>1</v>
      </c>
      <c r="Q142" s="16" t="b">
        <f>IFERROR(__xludf.DUMMYFUNCTION("""COMPUTED_VALUE"""),FALSE)</f>
        <v>0</v>
      </c>
      <c r="R142" s="16" t="str">
        <f>IFERROR(__xludf.DUMMYFUNCTION("""COMPUTED_VALUE"""),"Admin, Business, Support, Technical, Training, Billing Contact  LMS Training Fees")</f>
        <v>Admin, Business, Support, Technical, Training, Billing Contact  LMS Training Fees</v>
      </c>
      <c r="S142" s="16" t="str">
        <f>IFERROR(__xludf.DUMMYFUNCTION("""COMPUTED_VALUE"""),"ECHO")</f>
        <v>ECHO</v>
      </c>
      <c r="T142" s="16" t="str">
        <f>IFERROR(__xludf.DUMMYFUNCTION("""COMPUTED_VALUE"""),"Current Partner")</f>
        <v>Current Partner</v>
      </c>
      <c r="U142" s="16" t="b">
        <f>IFERROR(__xludf.DUMMYFUNCTION("""COMPUTED_VALUE"""),FALSE)</f>
        <v>0</v>
      </c>
      <c r="V142" s="16"/>
      <c r="W142" s="16"/>
      <c r="X142" s="16"/>
    </row>
    <row r="143">
      <c r="A143" s="16" t="str">
        <f>IFERROR(__xludf.DUMMYFUNCTION("""COMPUTED_VALUE"""),"Jodi")</f>
        <v>Jodi</v>
      </c>
      <c r="B143" s="16" t="str">
        <f>IFERROR(__xludf.DUMMYFUNCTION("""COMPUTED_VALUE"""),"Scarlett")</f>
        <v>Scarlett</v>
      </c>
      <c r="C143" s="16" t="str">
        <f>IFERROR(__xludf.DUMMYFUNCTION("""COMPUTED_VALUE"""),"CEO")</f>
        <v>CEO</v>
      </c>
      <c r="D143" s="16" t="str">
        <f>IFERROR(__xludf.DUMMYFUNCTION("""COMPUTED_VALUE"""),"EcoClaim")</f>
        <v>EcoClaim</v>
      </c>
      <c r="E143" s="16" t="str">
        <f>IFERROR(__xludf.DUMMYFUNCTION("""COMPUTED_VALUE"""),"Insurtech Vanguard")</f>
        <v>Insurtech Vanguard</v>
      </c>
      <c r="F143" s="16" t="str">
        <f>IFERROR(__xludf.DUMMYFUNCTION("""COMPUTED_VALUE"""),"jscarlett@ecoclaim.ca")</f>
        <v>jscarlett@ecoclaim.ca</v>
      </c>
      <c r="G143" s="16" t="str">
        <f>IFERROR(__xludf.DUMMYFUNCTION("""COMPUTED_VALUE"""),"Shannon Spies")</f>
        <v>Shannon Spies</v>
      </c>
      <c r="H143" s="16"/>
      <c r="I143" s="16"/>
      <c r="J143" s="16"/>
      <c r="K143" s="16"/>
      <c r="L143" s="16"/>
      <c r="M143" s="16"/>
      <c r="N143" s="16" t="str">
        <f>IFERROR(__xludf.DUMMYFUNCTION("""COMPUTED_VALUE"""),"Canada")</f>
        <v>Canada</v>
      </c>
      <c r="O143" s="16"/>
      <c r="P143" s="16" t="b">
        <f>IFERROR(__xludf.DUMMYFUNCTION("""COMPUTED_VALUE"""),TRUE)</f>
        <v>1</v>
      </c>
      <c r="Q143" s="16" t="b">
        <f>IFERROR(__xludf.DUMMYFUNCTION("""COMPUTED_VALUE"""),FALSE)</f>
        <v>0</v>
      </c>
      <c r="R143" s="16" t="str">
        <f>IFERROR(__xludf.DUMMYFUNCTION("""COMPUTED_VALUE"""),"Admin, Business, Events, Legal / Contracts, Marketing, Professional Services / Consulting, Project / Program Management, Sales, Support, Technical, Training")</f>
        <v>Admin, Business, Events, Legal / Contracts, Marketing, Professional Services / Consulting, Project / Program Management, Sales, Support, Technical, Training</v>
      </c>
      <c r="S143" s="16" t="str">
        <f>IFERROR(__xludf.DUMMYFUNCTION("""COMPUTED_VALUE"""),"EcoClaim")</f>
        <v>EcoClaim</v>
      </c>
      <c r="T143" s="16" t="str">
        <f>IFERROR(__xludf.DUMMYFUNCTION("""COMPUTED_VALUE"""),"Current Vanguard")</f>
        <v>Current Vanguard</v>
      </c>
      <c r="U143" s="16" t="b">
        <f>IFERROR(__xludf.DUMMYFUNCTION("""COMPUTED_VALUE"""),FALSE)</f>
        <v>0</v>
      </c>
      <c r="V143" s="16"/>
      <c r="W143" s="16"/>
      <c r="X143" s="16"/>
    </row>
    <row r="144">
      <c r="A144" s="16" t="str">
        <f>IFERROR(__xludf.DUMMYFUNCTION("""COMPUTED_VALUE"""),"Kévin")</f>
        <v>Kévin</v>
      </c>
      <c r="B144" s="16" t="str">
        <f>IFERROR(__xludf.DUMMYFUNCTION("""COMPUTED_VALUE"""),"Le Blévennec")</f>
        <v>Le Blévennec</v>
      </c>
      <c r="C144" s="16" t="str">
        <f>IFERROR(__xludf.DUMMYFUNCTION("""COMPUTED_VALUE"""),"Circular Economy Strategist")</f>
        <v>Circular Economy Strategist</v>
      </c>
      <c r="D144" s="16" t="str">
        <f>IFERROR(__xludf.DUMMYFUNCTION("""COMPUTED_VALUE"""),"Eco Repair Score")</f>
        <v>Eco Repair Score</v>
      </c>
      <c r="E144" s="16" t="str">
        <f>IFERROR(__xludf.DUMMYFUNCTION("""COMPUTED_VALUE"""),"Insurtech Vanguard")</f>
        <v>Insurtech Vanguard</v>
      </c>
      <c r="F144" s="16" t="str">
        <f>IFERROR(__xludf.DUMMYFUNCTION("""COMPUTED_VALUE"""),"kevin.leblevennec@circular-strategy.com")</f>
        <v>kevin.leblevennec@circular-strategy.com</v>
      </c>
      <c r="G144" s="16" t="str">
        <f>IFERROR(__xludf.DUMMYFUNCTION("""COMPUTED_VALUE"""),"Shannon Spies")</f>
        <v>Shannon Spies</v>
      </c>
      <c r="H144" s="16"/>
      <c r="I144" s="16"/>
      <c r="J144" s="16"/>
      <c r="K144" s="16"/>
      <c r="L144" s="16"/>
      <c r="M144" s="16"/>
      <c r="N144" s="16" t="str">
        <f>IFERROR(__xludf.DUMMYFUNCTION("""COMPUTED_VALUE"""),"Belgium")</f>
        <v>Belgium</v>
      </c>
      <c r="O144" s="16"/>
      <c r="P144" s="16" t="b">
        <f>IFERROR(__xludf.DUMMYFUNCTION("""COMPUTED_VALUE"""),TRUE)</f>
        <v>1</v>
      </c>
      <c r="Q144" s="16" t="b">
        <f>IFERROR(__xludf.DUMMYFUNCTION("""COMPUTED_VALUE"""),FALSE)</f>
        <v>0</v>
      </c>
      <c r="R144" s="16" t="str">
        <f>IFERROR(__xludf.DUMMYFUNCTION("""COMPUTED_VALUE"""),"")</f>
        <v/>
      </c>
      <c r="S144" s="16" t="str">
        <f>IFERROR(__xludf.DUMMYFUNCTION("""COMPUTED_VALUE"""),"Eco Repair Score")</f>
        <v>Eco Repair Score</v>
      </c>
      <c r="T144" s="16" t="str">
        <f>IFERROR(__xludf.DUMMYFUNCTION("""COMPUTED_VALUE"""),"Current Vanguard")</f>
        <v>Current Vanguard</v>
      </c>
      <c r="U144" s="16" t="b">
        <f>IFERROR(__xludf.DUMMYFUNCTION("""COMPUTED_VALUE"""),FALSE)</f>
        <v>0</v>
      </c>
      <c r="V144" s="16"/>
      <c r="W144" s="16"/>
      <c r="X144" s="16"/>
    </row>
    <row r="145">
      <c r="A145" s="16" t="str">
        <f>IFERROR(__xludf.DUMMYFUNCTION("""COMPUTED_VALUE"""),"Jeff")</f>
        <v>Jeff</v>
      </c>
      <c r="B145" s="16" t="str">
        <f>IFERROR(__xludf.DUMMYFUNCTION("""COMPUTED_VALUE"""),"Wissing")</f>
        <v>Wissing</v>
      </c>
      <c r="C145" s="16" t="str">
        <f>IFERROR(__xludf.DUMMYFUNCTION("""COMPUTED_VALUE"""),"Dir. Product Management")</f>
        <v>Dir. Product Management</v>
      </c>
      <c r="D145" s="16" t="str">
        <f>IFERROR(__xludf.DUMMYFUNCTION("""COMPUTED_VALUE"""),"edjuster, by Crawford &amp; Company")</f>
        <v>edjuster, by Crawford &amp; Company</v>
      </c>
      <c r="E145" s="16" t="str">
        <f>IFERROR(__xludf.DUMMYFUNCTION("""COMPUTED_VALUE"""),"Growth")</f>
        <v>Growth</v>
      </c>
      <c r="F145" s="16" t="str">
        <f>IFERROR(__xludf.DUMMYFUNCTION("""COMPUTED_VALUE"""),"jwissing@e-djuster.com")</f>
        <v>jwissing@e-djuster.com</v>
      </c>
      <c r="G145" s="16" t="str">
        <f>IFERROR(__xludf.DUMMYFUNCTION("""COMPUTED_VALUE"""),"Rod Gowin")</f>
        <v>Rod Gowin</v>
      </c>
      <c r="H145" s="16" t="str">
        <f>IFERROR(__xludf.DUMMYFUNCTION("""COMPUTED_VALUE"""),"PartnerConnect - Technology")</f>
        <v>PartnerConnect - Technology</v>
      </c>
      <c r="I145" s="16" t="str">
        <f>IFERROR(__xludf.DUMMYFUNCTION("""COMPUTED_VALUE"""),"28 Concourse Gate
")</f>
        <v>28 Concourse Gate
</v>
      </c>
      <c r="J145" s="16" t="str">
        <f>IFERROR(__xludf.DUMMYFUNCTION("""COMPUTED_VALUE"""),"Suite 203")</f>
        <v>Suite 203</v>
      </c>
      <c r="K145" s="16" t="str">
        <f>IFERROR(__xludf.DUMMYFUNCTION("""COMPUTED_VALUE"""),"Ottawa")</f>
        <v>Ottawa</v>
      </c>
      <c r="L145" s="16" t="str">
        <f>IFERROR(__xludf.DUMMYFUNCTION("""COMPUTED_VALUE"""),"ON")</f>
        <v>ON</v>
      </c>
      <c r="M145" s="16" t="str">
        <f>IFERROR(__xludf.DUMMYFUNCTION("""COMPUTED_VALUE"""),"K2E7T7")</f>
        <v>K2E7T7</v>
      </c>
      <c r="N145" s="16" t="str">
        <f>IFERROR(__xludf.DUMMYFUNCTION("""COMPUTED_VALUE"""),"Canada")</f>
        <v>Canada</v>
      </c>
      <c r="O145" s="16" t="str">
        <f>IFERROR(__xludf.DUMMYFUNCTION("""COMPUTED_VALUE"""),"Medium")</f>
        <v>Medium</v>
      </c>
      <c r="P145" s="16" t="b">
        <f>IFERROR(__xludf.DUMMYFUNCTION("""COMPUTED_VALUE"""),TRUE)</f>
        <v>1</v>
      </c>
      <c r="Q145" s="16" t="b">
        <f>IFERROR(__xludf.DUMMYFUNCTION("""COMPUTED_VALUE"""),FALSE)</f>
        <v>0</v>
      </c>
      <c r="R145" s="16" t="str">
        <f>IFERROR(__xludf.DUMMYFUNCTION("""COMPUTED_VALUE"""),"Admin, Business, Legal / Contracts, Support, Training")</f>
        <v>Admin, Business, Legal / Contracts, Support, Training</v>
      </c>
      <c r="S145" s="16" t="str">
        <f>IFERROR(__xludf.DUMMYFUNCTION("""COMPUTED_VALUE"""),"edjuster")</f>
        <v>edjuster</v>
      </c>
      <c r="T145" s="16" t="str">
        <f>IFERROR(__xludf.DUMMYFUNCTION("""COMPUTED_VALUE"""),"Current Partner")</f>
        <v>Current Partner</v>
      </c>
      <c r="U145" s="16" t="b">
        <f>IFERROR(__xludf.DUMMYFUNCTION("""COMPUTED_VALUE"""),FALSE)</f>
        <v>0</v>
      </c>
      <c r="V145" s="16"/>
      <c r="W145" s="16"/>
      <c r="X145" s="16"/>
    </row>
    <row r="146">
      <c r="A146" s="16" t="str">
        <f>IFERROR(__xludf.DUMMYFUNCTION("""COMPUTED_VALUE"""),"Shannon")</f>
        <v>Shannon</v>
      </c>
      <c r="B146" s="16" t="str">
        <f>IFERROR(__xludf.DUMMYFUNCTION("""COMPUTED_VALUE"""),"McNamara")</f>
        <v>McNamara</v>
      </c>
      <c r="C146" s="16"/>
      <c r="D146" s="16" t="str">
        <f>IFERROR(__xludf.DUMMYFUNCTION("""COMPUTED_VALUE"""),"Enservio")</f>
        <v>Enservio</v>
      </c>
      <c r="E146" s="16" t="str">
        <f>IFERROR(__xludf.DUMMYFUNCTION("""COMPUTED_VALUE"""),"Growth")</f>
        <v>Growth</v>
      </c>
      <c r="F146" s="16" t="str">
        <f>IFERROR(__xludf.DUMMYFUNCTION("""COMPUTED_VALUE"""),"shannon.mcnamara@exploredata.com")</f>
        <v>shannon.mcnamara@exploredata.com</v>
      </c>
      <c r="G146" s="16" t="str">
        <f>IFERROR(__xludf.DUMMYFUNCTION("""COMPUTED_VALUE"""),"Eric Apse")</f>
        <v>Eric Apse</v>
      </c>
      <c r="H146" s="16" t="str">
        <f>IFERROR(__xludf.DUMMYFUNCTION("""COMPUTED_VALUE"""),"PartnerConnect - Technology")</f>
        <v>PartnerConnect - Technology</v>
      </c>
      <c r="I146" s="16" t="str">
        <f>IFERROR(__xludf.DUMMYFUNCTION("""COMPUTED_VALUE"""),"117 Kendrick Street, Suite 250")</f>
        <v>117 Kendrick Street, Suite 250</v>
      </c>
      <c r="J146" s="16"/>
      <c r="K146" s="16" t="str">
        <f>IFERROR(__xludf.DUMMYFUNCTION("""COMPUTED_VALUE"""),"Boston")</f>
        <v>Boston</v>
      </c>
      <c r="L146" s="16" t="str">
        <f>IFERROR(__xludf.DUMMYFUNCTION("""COMPUTED_VALUE"""),"Massachusetts")</f>
        <v>Massachusetts</v>
      </c>
      <c r="M146" s="16">
        <f>IFERROR(__xludf.DUMMYFUNCTION("""COMPUTED_VALUE"""),2494.0)</f>
        <v>2494</v>
      </c>
      <c r="N146" s="16" t="str">
        <f>IFERROR(__xludf.DUMMYFUNCTION("""COMPUTED_VALUE"""),"United States")</f>
        <v>United States</v>
      </c>
      <c r="O146" s="16" t="str">
        <f>IFERROR(__xludf.DUMMYFUNCTION("""COMPUTED_VALUE"""),"Low")</f>
        <v>Low</v>
      </c>
      <c r="P146" s="16" t="b">
        <f>IFERROR(__xludf.DUMMYFUNCTION("""COMPUTED_VALUE"""),FALSE)</f>
        <v>0</v>
      </c>
      <c r="Q146" s="16" t="b">
        <f>IFERROR(__xludf.DUMMYFUNCTION("""COMPUTED_VALUE"""),TRUE)</f>
        <v>1</v>
      </c>
      <c r="R146" s="16" t="str">
        <f>IFERROR(__xludf.DUMMYFUNCTION("""COMPUTED_VALUE"""),"Admin, Marketing")</f>
        <v>Admin, Marketing</v>
      </c>
      <c r="S146" s="16" t="str">
        <f>IFERROR(__xludf.DUMMYFUNCTION("""COMPUTED_VALUE"""),"Enservio")</f>
        <v>Enservio</v>
      </c>
      <c r="T146" s="16" t="str">
        <f>IFERROR(__xludf.DUMMYFUNCTION("""COMPUTED_VALUE"""),"Current Partner")</f>
        <v>Current Partner</v>
      </c>
      <c r="U146" s="16" t="b">
        <f>IFERROR(__xludf.DUMMYFUNCTION("""COMPUTED_VALUE"""),FALSE)</f>
        <v>0</v>
      </c>
      <c r="V146" s="16"/>
      <c r="W146" s="16"/>
      <c r="X146" s="16"/>
    </row>
    <row r="147">
      <c r="A147" s="16" t="str">
        <f>IFERROR(__xludf.DUMMYFUNCTION("""COMPUTED_VALUE"""),"Lisa")</f>
        <v>Lisa</v>
      </c>
      <c r="B147" s="16" t="str">
        <f>IFERROR(__xludf.DUMMYFUNCTION("""COMPUTED_VALUE"""),"Bryant")</f>
        <v>Bryant</v>
      </c>
      <c r="C147" s="16"/>
      <c r="D147" s="16" t="str">
        <f>IFERROR(__xludf.DUMMYFUNCTION("""COMPUTED_VALUE"""),"Enservio")</f>
        <v>Enservio</v>
      </c>
      <c r="E147" s="16" t="str">
        <f>IFERROR(__xludf.DUMMYFUNCTION("""COMPUTED_VALUE"""),"Growth")</f>
        <v>Growth</v>
      </c>
      <c r="F147" s="16" t="str">
        <f>IFERROR(__xludf.DUMMYFUNCTION("""COMPUTED_VALUE"""),"lisa.bryant@exploredata.com")</f>
        <v>lisa.bryant@exploredata.com</v>
      </c>
      <c r="G147" s="16" t="str">
        <f>IFERROR(__xludf.DUMMYFUNCTION("""COMPUTED_VALUE"""),"Eric Apse")</f>
        <v>Eric Apse</v>
      </c>
      <c r="H147" s="16" t="str">
        <f>IFERROR(__xludf.DUMMYFUNCTION("""COMPUTED_VALUE"""),"PartnerConnect - Technology")</f>
        <v>PartnerConnect - Technology</v>
      </c>
      <c r="I147" s="16" t="str">
        <f>IFERROR(__xludf.DUMMYFUNCTION("""COMPUTED_VALUE"""),"117 Kendrick Street, Suite 250")</f>
        <v>117 Kendrick Street, Suite 250</v>
      </c>
      <c r="J147" s="16"/>
      <c r="K147" s="16" t="str">
        <f>IFERROR(__xludf.DUMMYFUNCTION("""COMPUTED_VALUE"""),"Boston")</f>
        <v>Boston</v>
      </c>
      <c r="L147" s="16" t="str">
        <f>IFERROR(__xludf.DUMMYFUNCTION("""COMPUTED_VALUE"""),"Massachusetts")</f>
        <v>Massachusetts</v>
      </c>
      <c r="M147" s="16">
        <f>IFERROR(__xludf.DUMMYFUNCTION("""COMPUTED_VALUE"""),2494.0)</f>
        <v>2494</v>
      </c>
      <c r="N147" s="16" t="str">
        <f>IFERROR(__xludf.DUMMYFUNCTION("""COMPUTED_VALUE"""),"United States")</f>
        <v>United States</v>
      </c>
      <c r="O147" s="16" t="str">
        <f>IFERROR(__xludf.DUMMYFUNCTION("""COMPUTED_VALUE"""),"Low")</f>
        <v>Low</v>
      </c>
      <c r="P147" s="16" t="b">
        <f>IFERROR(__xludf.DUMMYFUNCTION("""COMPUTED_VALUE"""),TRUE)</f>
        <v>1</v>
      </c>
      <c r="Q147" s="16" t="b">
        <f>IFERROR(__xludf.DUMMYFUNCTION("""COMPUTED_VALUE"""),FALSE)</f>
        <v>0</v>
      </c>
      <c r="R147" s="16" t="str">
        <f>IFERROR(__xludf.DUMMYFUNCTION("""COMPUTED_VALUE"""),"Admin, Business")</f>
        <v>Admin, Business</v>
      </c>
      <c r="S147" s="16" t="str">
        <f>IFERROR(__xludf.DUMMYFUNCTION("""COMPUTED_VALUE"""),"Enservio")</f>
        <v>Enservio</v>
      </c>
      <c r="T147" s="16" t="str">
        <f>IFERROR(__xludf.DUMMYFUNCTION("""COMPUTED_VALUE"""),"Current Partner")</f>
        <v>Current Partner</v>
      </c>
      <c r="U147" s="16" t="b">
        <f>IFERROR(__xludf.DUMMYFUNCTION("""COMPUTED_VALUE"""),FALSE)</f>
        <v>0</v>
      </c>
      <c r="V147" s="16"/>
      <c r="W147" s="16"/>
      <c r="X147" s="16"/>
    </row>
    <row r="148">
      <c r="A148" s="16" t="str">
        <f>IFERROR(__xludf.DUMMYFUNCTION("""COMPUTED_VALUE"""),"Sohini")</f>
        <v>Sohini</v>
      </c>
      <c r="B148" s="16" t="str">
        <f>IFERROR(__xludf.DUMMYFUNCTION("""COMPUTED_VALUE"""),"Borra")</f>
        <v>Borra</v>
      </c>
      <c r="C148" s="16"/>
      <c r="D148" s="16" t="str">
        <f>IFERROR(__xludf.DUMMYFUNCTION("""COMPUTED_VALUE"""),"Enservio")</f>
        <v>Enservio</v>
      </c>
      <c r="E148" s="16" t="str">
        <f>IFERROR(__xludf.DUMMYFUNCTION("""COMPUTED_VALUE"""),"Growth")</f>
        <v>Growth</v>
      </c>
      <c r="F148" s="16" t="str">
        <f>IFERROR(__xludf.DUMMYFUNCTION("""COMPUTED_VALUE"""),"sohini.borra@solera.com")</f>
        <v>sohini.borra@solera.com</v>
      </c>
      <c r="G148" s="16" t="str">
        <f>IFERROR(__xludf.DUMMYFUNCTION("""COMPUTED_VALUE"""),"Eric Apse")</f>
        <v>Eric Apse</v>
      </c>
      <c r="H148" s="16" t="str">
        <f>IFERROR(__xludf.DUMMYFUNCTION("""COMPUTED_VALUE"""),"PartnerConnect - Technology")</f>
        <v>PartnerConnect - Technology</v>
      </c>
      <c r="I148" s="16" t="str">
        <f>IFERROR(__xludf.DUMMYFUNCTION("""COMPUTED_VALUE"""),"117 Kendrick Street, Suite 250")</f>
        <v>117 Kendrick Street, Suite 250</v>
      </c>
      <c r="J148" s="16"/>
      <c r="K148" s="16" t="str">
        <f>IFERROR(__xludf.DUMMYFUNCTION("""COMPUTED_VALUE"""),"Boston")</f>
        <v>Boston</v>
      </c>
      <c r="L148" s="16" t="str">
        <f>IFERROR(__xludf.DUMMYFUNCTION("""COMPUTED_VALUE"""),"Massachusetts")</f>
        <v>Massachusetts</v>
      </c>
      <c r="M148" s="16">
        <f>IFERROR(__xludf.DUMMYFUNCTION("""COMPUTED_VALUE"""),2494.0)</f>
        <v>2494</v>
      </c>
      <c r="N148" s="16" t="str">
        <f>IFERROR(__xludf.DUMMYFUNCTION("""COMPUTED_VALUE"""),"United States")</f>
        <v>United States</v>
      </c>
      <c r="O148" s="16" t="str">
        <f>IFERROR(__xludf.DUMMYFUNCTION("""COMPUTED_VALUE"""),"Low")</f>
        <v>Low</v>
      </c>
      <c r="P148" s="16" t="b">
        <f>IFERROR(__xludf.DUMMYFUNCTION("""COMPUTED_VALUE"""),TRUE)</f>
        <v>1</v>
      </c>
      <c r="Q148" s="16" t="b">
        <f>IFERROR(__xludf.DUMMYFUNCTION("""COMPUTED_VALUE"""),FALSE)</f>
        <v>0</v>
      </c>
      <c r="R148" s="16" t="str">
        <f>IFERROR(__xludf.DUMMYFUNCTION("""COMPUTED_VALUE"""),"Admin, Business, Technical, Training, Delivery Lead / BA")</f>
        <v>Admin, Business, Technical, Training, Delivery Lead / BA</v>
      </c>
      <c r="S148" s="16" t="str">
        <f>IFERROR(__xludf.DUMMYFUNCTION("""COMPUTED_VALUE"""),"Enservio")</f>
        <v>Enservio</v>
      </c>
      <c r="T148" s="16" t="str">
        <f>IFERROR(__xludf.DUMMYFUNCTION("""COMPUTED_VALUE"""),"Current Partner")</f>
        <v>Current Partner</v>
      </c>
      <c r="U148" s="16" t="b">
        <f>IFERROR(__xludf.DUMMYFUNCTION("""COMPUTED_VALUE"""),FALSE)</f>
        <v>0</v>
      </c>
      <c r="V148" s="16"/>
      <c r="W148" s="16"/>
      <c r="X148" s="16"/>
    </row>
    <row r="149">
      <c r="A149" s="16" t="str">
        <f>IFERROR(__xludf.DUMMYFUNCTION("""COMPUTED_VALUE"""),"erin")</f>
        <v>erin</v>
      </c>
      <c r="B149" s="16" t="str">
        <f>IFERROR(__xludf.DUMMYFUNCTION("""COMPUTED_VALUE"""),"McDermott")</f>
        <v>McDermott</v>
      </c>
      <c r="C149" s="16" t="str">
        <f>IFERROR(__xludf.DUMMYFUNCTION("""COMPUTED_VALUE"""),"Brand Marketing")</f>
        <v>Brand Marketing</v>
      </c>
      <c r="D149" s="16" t="str">
        <f>IFERROR(__xludf.DUMMYFUNCTION("""COMPUTED_VALUE"""),"Enterprise Rent A Car")</f>
        <v>Enterprise Rent A Car</v>
      </c>
      <c r="E149" s="16" t="str">
        <f>IFERROR(__xludf.DUMMYFUNCTION("""COMPUTED_VALUE"""),"Premier")</f>
        <v>Premier</v>
      </c>
      <c r="F149" s="16" t="str">
        <f>IFERROR(__xludf.DUMMYFUNCTION("""COMPUTED_VALUE"""),"erin.n.mcdermott@ehi.com")</f>
        <v>erin.n.mcdermott@ehi.com</v>
      </c>
      <c r="G149" s="16" t="str">
        <f>IFERROR(__xludf.DUMMYFUNCTION("""COMPUTED_VALUE"""),"Lisa Vingerhoet")</f>
        <v>Lisa Vingerhoet</v>
      </c>
      <c r="H149" s="16" t="str">
        <f>IFERROR(__xludf.DUMMYFUNCTION("""COMPUTED_VALUE"""),"PartnerConnect - Technology")</f>
        <v>PartnerConnect - Technology</v>
      </c>
      <c r="I149" s="16"/>
      <c r="J149" s="16"/>
      <c r="K149" s="16"/>
      <c r="L149" s="16"/>
      <c r="M149" s="16"/>
      <c r="N149" s="16" t="str">
        <f>IFERROR(__xludf.DUMMYFUNCTION("""COMPUTED_VALUE"""),"United States")</f>
        <v>United States</v>
      </c>
      <c r="O149" s="16" t="str">
        <f>IFERROR(__xludf.DUMMYFUNCTION("""COMPUTED_VALUE"""),"Medium")</f>
        <v>Medium</v>
      </c>
      <c r="P149" s="16" t="b">
        <f>IFERROR(__xludf.DUMMYFUNCTION("""COMPUTED_VALUE"""),FALSE)</f>
        <v>0</v>
      </c>
      <c r="Q149" s="16" t="b">
        <f>IFERROR(__xludf.DUMMYFUNCTION("""COMPUTED_VALUE"""),TRUE)</f>
        <v>1</v>
      </c>
      <c r="R149" s="16" t="str">
        <f>IFERROR(__xludf.DUMMYFUNCTION("""COMPUTED_VALUE"""),"Business, Events, Marketing")</f>
        <v>Business, Events, Marketing</v>
      </c>
      <c r="S149" s="16" t="str">
        <f>IFERROR(__xludf.DUMMYFUNCTION("""COMPUTED_VALUE"""),"Enterprise")</f>
        <v>Enterprise</v>
      </c>
      <c r="T149" s="16" t="str">
        <f>IFERROR(__xludf.DUMMYFUNCTION("""COMPUTED_VALUE"""),"Current Partner")</f>
        <v>Current Partner</v>
      </c>
      <c r="U149" s="16" t="b">
        <f>IFERROR(__xludf.DUMMYFUNCTION("""COMPUTED_VALUE"""),FALSE)</f>
        <v>0</v>
      </c>
      <c r="V149" s="16"/>
      <c r="W149" s="16"/>
      <c r="X149" s="16"/>
    </row>
    <row r="150">
      <c r="A150" s="16" t="str">
        <f>IFERROR(__xludf.DUMMYFUNCTION("""COMPUTED_VALUE"""),"Kimberly")</f>
        <v>Kimberly</v>
      </c>
      <c r="B150" s="16" t="str">
        <f>IFERROR(__xludf.DUMMYFUNCTION("""COMPUTED_VALUE"""),"DeVallance Caron")</f>
        <v>DeVallance Caron</v>
      </c>
      <c r="C150" s="16" t="str">
        <f>IFERROR(__xludf.DUMMYFUNCTION("""COMPUTED_VALUE"""),"Director Global Product")</f>
        <v>Director Global Product</v>
      </c>
      <c r="D150" s="16" t="str">
        <f>IFERROR(__xludf.DUMMYFUNCTION("""COMPUTED_VALUE"""),"Enterprise Rent A Car")</f>
        <v>Enterprise Rent A Car</v>
      </c>
      <c r="E150" s="16" t="str">
        <f>IFERROR(__xludf.DUMMYFUNCTION("""COMPUTED_VALUE"""),"Premier")</f>
        <v>Premier</v>
      </c>
      <c r="F150" s="16" t="str">
        <f>IFERROR(__xludf.DUMMYFUNCTION("""COMPUTED_VALUE"""),"kimberly.a.devallancecaron@ehi.com")</f>
        <v>kimberly.a.devallancecaron@ehi.com</v>
      </c>
      <c r="G150" s="16" t="str">
        <f>IFERROR(__xludf.DUMMYFUNCTION("""COMPUTED_VALUE"""),"Lisa Vingerhoet")</f>
        <v>Lisa Vingerhoet</v>
      </c>
      <c r="H150" s="16" t="str">
        <f>IFERROR(__xludf.DUMMYFUNCTION("""COMPUTED_VALUE"""),"PartnerConnect - Technology")</f>
        <v>PartnerConnect - Technology</v>
      </c>
      <c r="I150" s="16" t="str">
        <f>IFERROR(__xludf.DUMMYFUNCTION("""COMPUTED_VALUE"""),"600 Corporate Park Drive")</f>
        <v>600 Corporate Park Drive</v>
      </c>
      <c r="J150" s="16"/>
      <c r="K150" s="16" t="str">
        <f>IFERROR(__xludf.DUMMYFUNCTION("""COMPUTED_VALUE"""),"Clayton")</f>
        <v>Clayton</v>
      </c>
      <c r="L150" s="16" t="str">
        <f>IFERROR(__xludf.DUMMYFUNCTION("""COMPUTED_VALUE"""),"MISSOURI")</f>
        <v>MISSOURI</v>
      </c>
      <c r="M150" s="16">
        <f>IFERROR(__xludf.DUMMYFUNCTION("""COMPUTED_VALUE"""),63105.0)</f>
        <v>63105</v>
      </c>
      <c r="N150" s="16" t="str">
        <f>IFERROR(__xludf.DUMMYFUNCTION("""COMPUTED_VALUE"""),"United States")</f>
        <v>United States</v>
      </c>
      <c r="O150" s="16" t="str">
        <f>IFERROR(__xludf.DUMMYFUNCTION("""COMPUTED_VALUE"""),"Medium")</f>
        <v>Medium</v>
      </c>
      <c r="P150" s="16" t="b">
        <f>IFERROR(__xludf.DUMMYFUNCTION("""COMPUTED_VALUE"""),TRUE)</f>
        <v>1</v>
      </c>
      <c r="Q150" s="16" t="b">
        <f>IFERROR(__xludf.DUMMYFUNCTION("""COMPUTED_VALUE"""),FALSE)</f>
        <v>0</v>
      </c>
      <c r="R150" s="16" t="str">
        <f>IFERROR(__xludf.DUMMYFUNCTION("""COMPUTED_VALUE"""),"Admin, Business")</f>
        <v>Admin, Business</v>
      </c>
      <c r="S150" s="16" t="str">
        <f>IFERROR(__xludf.DUMMYFUNCTION("""COMPUTED_VALUE"""),"Enterprise")</f>
        <v>Enterprise</v>
      </c>
      <c r="T150" s="16" t="str">
        <f>IFERROR(__xludf.DUMMYFUNCTION("""COMPUTED_VALUE"""),"Current Partner")</f>
        <v>Current Partner</v>
      </c>
      <c r="U150" s="16" t="b">
        <f>IFERROR(__xludf.DUMMYFUNCTION("""COMPUTED_VALUE"""),FALSE)</f>
        <v>0</v>
      </c>
      <c r="V150" s="16"/>
      <c r="W150" s="16"/>
      <c r="X150" s="16"/>
    </row>
    <row r="151">
      <c r="A151" s="16" t="str">
        <f>IFERROR(__xludf.DUMMYFUNCTION("""COMPUTED_VALUE"""),"Andy")</f>
        <v>Andy</v>
      </c>
      <c r="B151" s="16" t="str">
        <f>IFERROR(__xludf.DUMMYFUNCTION("""COMPUTED_VALUE"""),"Roy")</f>
        <v>Roy</v>
      </c>
      <c r="C151" s="16" t="str">
        <f>IFERROR(__xludf.DUMMYFUNCTION("""COMPUTED_VALUE"""),"Managing Principal, Insurance Consulting")</f>
        <v>Managing Principal, Insurance Consulting</v>
      </c>
      <c r="D151" s="16" t="str">
        <f>IFERROR(__xludf.DUMMYFUNCTION("""COMPUTED_VALUE"""),"EPAM Systems Inc.")</f>
        <v>EPAM Systems Inc.</v>
      </c>
      <c r="E151" s="16" t="str">
        <f>IFERROR(__xludf.DUMMYFUNCTION("""COMPUTED_VALUE"""),"Growth")</f>
        <v>Growth</v>
      </c>
      <c r="F151" s="16" t="str">
        <f>IFERROR(__xludf.DUMMYFUNCTION("""COMPUTED_VALUE"""),"andy_roy@epam.com")</f>
        <v>andy_roy@epam.com</v>
      </c>
      <c r="G151" s="16" t="str">
        <f>IFERROR(__xludf.DUMMYFUNCTION("""COMPUTED_VALUE"""),"Rod Gowin")</f>
        <v>Rod Gowin</v>
      </c>
      <c r="H151" s="16" t="str">
        <f>IFERROR(__xludf.DUMMYFUNCTION("""COMPUTED_VALUE"""),"PartnerConnect - Technology")</f>
        <v>PartnerConnect - Technology</v>
      </c>
      <c r="I151" s="16" t="str">
        <f>IFERROR(__xludf.DUMMYFUNCTION("""COMPUTED_VALUE"""),"41 University Dr")</f>
        <v>41 University Dr</v>
      </c>
      <c r="J151" s="16"/>
      <c r="K151" s="16" t="str">
        <f>IFERROR(__xludf.DUMMYFUNCTION("""COMPUTED_VALUE"""),"Newtown")</f>
        <v>Newtown</v>
      </c>
      <c r="L151" s="16" t="str">
        <f>IFERROR(__xludf.DUMMYFUNCTION("""COMPUTED_VALUE"""),"Pennsylvania")</f>
        <v>Pennsylvania</v>
      </c>
      <c r="M151" s="16">
        <f>IFERROR(__xludf.DUMMYFUNCTION("""COMPUTED_VALUE"""),18940.0)</f>
        <v>18940</v>
      </c>
      <c r="N151" s="16" t="str">
        <f>IFERROR(__xludf.DUMMYFUNCTION("""COMPUTED_VALUE"""),"United States")</f>
        <v>United States</v>
      </c>
      <c r="O151" s="16" t="str">
        <f>IFERROR(__xludf.DUMMYFUNCTION("""COMPUTED_VALUE"""),"Medium")</f>
        <v>Medium</v>
      </c>
      <c r="P151" s="16" t="b">
        <f>IFERROR(__xludf.DUMMYFUNCTION("""COMPUTED_VALUE"""),TRUE)</f>
        <v>1</v>
      </c>
      <c r="Q151" s="16" t="b">
        <f>IFERROR(__xludf.DUMMYFUNCTION("""COMPUTED_VALUE"""),TRUE)</f>
        <v>1</v>
      </c>
      <c r="R151" s="16" t="str">
        <f>IFERROR(__xludf.DUMMYFUNCTION("""COMPUTED_VALUE"""),"Admin, Business, Events, Marketing, Support, NPE User, Sales Solution Architect, Delivery Lead / BA, Client Partner / Partner Account Executive")</f>
        <v>Admin, Business, Events, Marketing, Support, NPE User, Sales Solution Architect, Delivery Lead / BA, Client Partner / Partner Account Executive</v>
      </c>
      <c r="S151" s="16" t="str">
        <f>IFERROR(__xludf.DUMMYFUNCTION("""COMPUTED_VALUE"""),"EPAM")</f>
        <v>EPAM</v>
      </c>
      <c r="T151" s="16" t="str">
        <f>IFERROR(__xludf.DUMMYFUNCTION("""COMPUTED_VALUE"""),"Current Partner")</f>
        <v>Current Partner</v>
      </c>
      <c r="U151" s="16" t="b">
        <f>IFERROR(__xludf.DUMMYFUNCTION("""COMPUTED_VALUE"""),TRUE)</f>
        <v>1</v>
      </c>
      <c r="V151" s="16"/>
      <c r="W151" s="16"/>
      <c r="X151" s="16"/>
    </row>
    <row r="152">
      <c r="A152" s="16" t="str">
        <f>IFERROR(__xludf.DUMMYFUNCTION("""COMPUTED_VALUE"""),"Elena")</f>
        <v>Elena</v>
      </c>
      <c r="B152" s="16" t="str">
        <f>IFERROR(__xludf.DUMMYFUNCTION("""COMPUTED_VALUE"""),"Kulakovskaya")</f>
        <v>Kulakovskaya</v>
      </c>
      <c r="C152" s="16"/>
      <c r="D152" s="16" t="str">
        <f>IFERROR(__xludf.DUMMYFUNCTION("""COMPUTED_VALUE"""),"EPAM Systems Inc.")</f>
        <v>EPAM Systems Inc.</v>
      </c>
      <c r="E152" s="16" t="str">
        <f>IFERROR(__xludf.DUMMYFUNCTION("""COMPUTED_VALUE"""),"Growth")</f>
        <v>Growth</v>
      </c>
      <c r="F152" s="16" t="str">
        <f>IFERROR(__xludf.DUMMYFUNCTION("""COMPUTED_VALUE"""),"elena_kulakovskaya@epam.com")</f>
        <v>elena_kulakovskaya@epam.com</v>
      </c>
      <c r="G152" s="16" t="str">
        <f>IFERROR(__xludf.DUMMYFUNCTION("""COMPUTED_VALUE"""),"Rod Gowin")</f>
        <v>Rod Gowin</v>
      </c>
      <c r="H152" s="16" t="str">
        <f>IFERROR(__xludf.DUMMYFUNCTION("""COMPUTED_VALUE"""),"PartnerConnect - Technology")</f>
        <v>PartnerConnect - Technology</v>
      </c>
      <c r="I152" s="16" t="str">
        <f>IFERROR(__xludf.DUMMYFUNCTION("""COMPUTED_VALUE"""),"41 University Dr. #202")</f>
        <v>41 University Dr. #202</v>
      </c>
      <c r="J152" s="16"/>
      <c r="K152" s="16" t="str">
        <f>IFERROR(__xludf.DUMMYFUNCTION("""COMPUTED_VALUE"""),"Newtown")</f>
        <v>Newtown</v>
      </c>
      <c r="L152" s="16" t="str">
        <f>IFERROR(__xludf.DUMMYFUNCTION("""COMPUTED_VALUE"""),"Pennsylvania")</f>
        <v>Pennsylvania</v>
      </c>
      <c r="M152" s="16">
        <f>IFERROR(__xludf.DUMMYFUNCTION("""COMPUTED_VALUE"""),18940.0)</f>
        <v>18940</v>
      </c>
      <c r="N152" s="16" t="str">
        <f>IFERROR(__xludf.DUMMYFUNCTION("""COMPUTED_VALUE"""),"United States")</f>
        <v>United States</v>
      </c>
      <c r="O152" s="16" t="str">
        <f>IFERROR(__xludf.DUMMYFUNCTION("""COMPUTED_VALUE"""),"Medium")</f>
        <v>Medium</v>
      </c>
      <c r="P152" s="16" t="b">
        <f>IFERROR(__xludf.DUMMYFUNCTION("""COMPUTED_VALUE"""),FALSE)</f>
        <v>0</v>
      </c>
      <c r="Q152" s="16" t="b">
        <f>IFERROR(__xludf.DUMMYFUNCTION("""COMPUTED_VALUE"""),TRUE)</f>
        <v>1</v>
      </c>
      <c r="R152" s="16" t="str">
        <f>IFERROR(__xludf.DUMMYFUNCTION("""COMPUTED_VALUE"""),"Admin, Business, Events, Marketing")</f>
        <v>Admin, Business, Events, Marketing</v>
      </c>
      <c r="S152" s="16" t="str">
        <f>IFERROR(__xludf.DUMMYFUNCTION("""COMPUTED_VALUE"""),"EPAM")</f>
        <v>EPAM</v>
      </c>
      <c r="T152" s="16" t="str">
        <f>IFERROR(__xludf.DUMMYFUNCTION("""COMPUTED_VALUE"""),"Current Partner")</f>
        <v>Current Partner</v>
      </c>
      <c r="U152" s="16" t="b">
        <f>IFERROR(__xludf.DUMMYFUNCTION("""COMPUTED_VALUE"""),FALSE)</f>
        <v>0</v>
      </c>
      <c r="V152" s="16"/>
      <c r="W152" s="16"/>
      <c r="X152" s="16"/>
    </row>
    <row r="153">
      <c r="A153" s="16" t="str">
        <f>IFERROR(__xludf.DUMMYFUNCTION("""COMPUTED_VALUE"""),"Chris")</f>
        <v>Chris</v>
      </c>
      <c r="B153" s="16" t="str">
        <f>IFERROR(__xludf.DUMMYFUNCTION("""COMPUTED_VALUE"""),"August")</f>
        <v>August</v>
      </c>
      <c r="C153" s="16"/>
      <c r="D153" s="16" t="str">
        <f>IFERROR(__xludf.DUMMYFUNCTION("""COMPUTED_VALUE"""),"Ethos Risk Services, LLC")</f>
        <v>Ethos Risk Services, LLC</v>
      </c>
      <c r="E153" s="16" t="str">
        <f>IFERROR(__xludf.DUMMYFUNCTION("""COMPUTED_VALUE"""),"Growth")</f>
        <v>Growth</v>
      </c>
      <c r="F153" s="16" t="str">
        <f>IFERROR(__xludf.DUMMYFUNCTION("""COMPUTED_VALUE"""),"caugust@ethosrisk.com")</f>
        <v>caugust@ethosrisk.com</v>
      </c>
      <c r="G153" s="16" t="str">
        <f>IFERROR(__xludf.DUMMYFUNCTION("""COMPUTED_VALUE"""),"Rod Gowin")</f>
        <v>Rod Gowin</v>
      </c>
      <c r="H153" s="16" t="str">
        <f>IFERROR(__xludf.DUMMYFUNCTION("""COMPUTED_VALUE"""),"PartnerConnect - Technology")</f>
        <v>PartnerConnect - Technology</v>
      </c>
      <c r="I153" s="16" t="str">
        <f>IFERROR(__xludf.DUMMYFUNCTION("""COMPUTED_VALUE"""),"300 First Avenue South")</f>
        <v>300 First Avenue South</v>
      </c>
      <c r="J153" s="16"/>
      <c r="K153" s="16" t="str">
        <f>IFERROR(__xludf.DUMMYFUNCTION("""COMPUTED_VALUE"""),"St. Petersburg")</f>
        <v>St. Petersburg</v>
      </c>
      <c r="L153" s="16" t="str">
        <f>IFERROR(__xludf.DUMMYFUNCTION("""COMPUTED_VALUE"""),"Florida")</f>
        <v>Florida</v>
      </c>
      <c r="M153" s="16">
        <f>IFERROR(__xludf.DUMMYFUNCTION("""COMPUTED_VALUE"""),33701.0)</f>
        <v>33701</v>
      </c>
      <c r="N153" s="16" t="str">
        <f>IFERROR(__xludf.DUMMYFUNCTION("""COMPUTED_VALUE"""),"United States")</f>
        <v>United States</v>
      </c>
      <c r="O153" s="16" t="str">
        <f>IFERROR(__xludf.DUMMYFUNCTION("""COMPUTED_VALUE"""),"Low")</f>
        <v>Low</v>
      </c>
      <c r="P153" s="16" t="b">
        <f>IFERROR(__xludf.DUMMYFUNCTION("""COMPUTED_VALUE"""),FALSE)</f>
        <v>0</v>
      </c>
      <c r="Q153" s="16" t="b">
        <f>IFERROR(__xludf.DUMMYFUNCTION("""COMPUTED_VALUE"""),TRUE)</f>
        <v>1</v>
      </c>
      <c r="R153" s="16" t="str">
        <f>IFERROR(__xludf.DUMMYFUNCTION("""COMPUTED_VALUE"""),"Business, Events, Marketing")</f>
        <v>Business, Events, Marketing</v>
      </c>
      <c r="S153" s="16" t="str">
        <f>IFERROR(__xludf.DUMMYFUNCTION("""COMPUTED_VALUE"""),"Ethos")</f>
        <v>Ethos</v>
      </c>
      <c r="T153" s="16" t="str">
        <f>IFERROR(__xludf.DUMMYFUNCTION("""COMPUTED_VALUE"""),"Current Partner")</f>
        <v>Current Partner</v>
      </c>
      <c r="U153" s="16" t="b">
        <f>IFERROR(__xludf.DUMMYFUNCTION("""COMPUTED_VALUE"""),FALSE)</f>
        <v>0</v>
      </c>
      <c r="V153" s="16"/>
      <c r="W153" s="16"/>
      <c r="X153" s="16"/>
    </row>
    <row r="154">
      <c r="A154" s="16" t="str">
        <f>IFERROR(__xludf.DUMMYFUNCTION("""COMPUTED_VALUE"""),"Micah")</f>
        <v>Micah</v>
      </c>
      <c r="B154" s="16" t="str">
        <f>IFERROR(__xludf.DUMMYFUNCTION("""COMPUTED_VALUE"""),"Smith")</f>
        <v>Smith</v>
      </c>
      <c r="C154" s="16" t="str">
        <f>IFERROR(__xludf.DUMMYFUNCTION("""COMPUTED_VALUE"""),"CEO")</f>
        <v>CEO</v>
      </c>
      <c r="D154" s="16" t="str">
        <f>IFERROR(__xludf.DUMMYFUNCTION("""COMPUTED_VALUE"""),"Ethos Risk Services, LLC")</f>
        <v>Ethos Risk Services, LLC</v>
      </c>
      <c r="E154" s="16" t="str">
        <f>IFERROR(__xludf.DUMMYFUNCTION("""COMPUTED_VALUE"""),"Growth")</f>
        <v>Growth</v>
      </c>
      <c r="F154" s="16" t="str">
        <f>IFERROR(__xludf.DUMMYFUNCTION("""COMPUTED_VALUE"""),"msmith@ethosrisk.com")</f>
        <v>msmith@ethosrisk.com</v>
      </c>
      <c r="G154" s="16" t="str">
        <f>IFERROR(__xludf.DUMMYFUNCTION("""COMPUTED_VALUE"""),"Rod Gowin")</f>
        <v>Rod Gowin</v>
      </c>
      <c r="H154" s="16" t="str">
        <f>IFERROR(__xludf.DUMMYFUNCTION("""COMPUTED_VALUE"""),"PartnerConnect - Technology")</f>
        <v>PartnerConnect - Technology</v>
      </c>
      <c r="I154" s="16" t="str">
        <f>IFERROR(__xludf.DUMMYFUNCTION("""COMPUTED_VALUE"""),"300 First Avenue South #300")</f>
        <v>300 First Avenue South #300</v>
      </c>
      <c r="J154" s="16"/>
      <c r="K154" s="16" t="str">
        <f>IFERROR(__xludf.DUMMYFUNCTION("""COMPUTED_VALUE"""),"St. Petersburg")</f>
        <v>St. Petersburg</v>
      </c>
      <c r="L154" s="16" t="str">
        <f>IFERROR(__xludf.DUMMYFUNCTION("""COMPUTED_VALUE"""),"FL")</f>
        <v>FL</v>
      </c>
      <c r="M154" s="16">
        <f>IFERROR(__xludf.DUMMYFUNCTION("""COMPUTED_VALUE"""),33701.0)</f>
        <v>33701</v>
      </c>
      <c r="N154" s="16" t="str">
        <f>IFERROR(__xludf.DUMMYFUNCTION("""COMPUTED_VALUE"""),"United States")</f>
        <v>United States</v>
      </c>
      <c r="O154" s="16" t="str">
        <f>IFERROR(__xludf.DUMMYFUNCTION("""COMPUTED_VALUE"""),"Low")</f>
        <v>Low</v>
      </c>
      <c r="P154" s="16" t="b">
        <f>IFERROR(__xludf.DUMMYFUNCTION("""COMPUTED_VALUE"""),TRUE)</f>
        <v>1</v>
      </c>
      <c r="Q154" s="16" t="b">
        <f>IFERROR(__xludf.DUMMYFUNCTION("""COMPUTED_VALUE"""),FALSE)</f>
        <v>0</v>
      </c>
      <c r="R154" s="16" t="str">
        <f>IFERROR(__xludf.DUMMYFUNCTION("""COMPUTED_VALUE"""),"Admin, Business, Marketing, Client Partner / Partner Account Executive")</f>
        <v>Admin, Business, Marketing, Client Partner / Partner Account Executive</v>
      </c>
      <c r="S154" s="16" t="str">
        <f>IFERROR(__xludf.DUMMYFUNCTION("""COMPUTED_VALUE"""),"Ethos")</f>
        <v>Ethos</v>
      </c>
      <c r="T154" s="16" t="str">
        <f>IFERROR(__xludf.DUMMYFUNCTION("""COMPUTED_VALUE"""),"Current Partner")</f>
        <v>Current Partner</v>
      </c>
      <c r="U154" s="16" t="b">
        <f>IFERROR(__xludf.DUMMYFUNCTION("""COMPUTED_VALUE"""),FALSE)</f>
        <v>0</v>
      </c>
      <c r="V154" s="16"/>
      <c r="W154" s="16"/>
      <c r="X154" s="16"/>
    </row>
    <row r="155">
      <c r="A155" s="16" t="str">
        <f>IFERROR(__xludf.DUMMYFUNCTION("""COMPUTED_VALUE"""),"Mike")</f>
        <v>Mike</v>
      </c>
      <c r="B155" s="16" t="str">
        <f>IFERROR(__xludf.DUMMYFUNCTION("""COMPUTED_VALUE"""),"Lundgren")</f>
        <v>Lundgren</v>
      </c>
      <c r="C155" s="16" t="str">
        <f>IFERROR(__xludf.DUMMYFUNCTION("""COMPUTED_VALUE"""),"Head of Marketing")</f>
        <v>Head of Marketing</v>
      </c>
      <c r="D155" s="16" t="str">
        <f>IFERROR(__xludf.DUMMYFUNCTION("""COMPUTED_VALUE"""),"Ethos Risk Services, LLC")</f>
        <v>Ethos Risk Services, LLC</v>
      </c>
      <c r="E155" s="16" t="str">
        <f>IFERROR(__xludf.DUMMYFUNCTION("""COMPUTED_VALUE"""),"Growth")</f>
        <v>Growth</v>
      </c>
      <c r="F155" s="16" t="str">
        <f>IFERROR(__xludf.DUMMYFUNCTION("""COMPUTED_VALUE"""),"mlundgren@ethosrisk.com")</f>
        <v>mlundgren@ethosrisk.com</v>
      </c>
      <c r="G155" s="16" t="str">
        <f>IFERROR(__xludf.DUMMYFUNCTION("""COMPUTED_VALUE"""),"Rod Gowin")</f>
        <v>Rod Gowin</v>
      </c>
      <c r="H155" s="16" t="str">
        <f>IFERROR(__xludf.DUMMYFUNCTION("""COMPUTED_VALUE"""),"PartnerConnect - Technology")</f>
        <v>PartnerConnect - Technology</v>
      </c>
      <c r="I155" s="16" t="str">
        <f>IFERROR(__xludf.DUMMYFUNCTION("""COMPUTED_VALUE"""),"300 First Avenue South")</f>
        <v>300 First Avenue South</v>
      </c>
      <c r="J155" s="16"/>
      <c r="K155" s="16" t="str">
        <f>IFERROR(__xludf.DUMMYFUNCTION("""COMPUTED_VALUE"""),"St. Petersburg")</f>
        <v>St. Petersburg</v>
      </c>
      <c r="L155" s="16" t="str">
        <f>IFERROR(__xludf.DUMMYFUNCTION("""COMPUTED_VALUE"""),"Florida")</f>
        <v>Florida</v>
      </c>
      <c r="M155" s="16">
        <f>IFERROR(__xludf.DUMMYFUNCTION("""COMPUTED_VALUE"""),33701.0)</f>
        <v>33701</v>
      </c>
      <c r="N155" s="16" t="str">
        <f>IFERROR(__xludf.DUMMYFUNCTION("""COMPUTED_VALUE"""),"United States")</f>
        <v>United States</v>
      </c>
      <c r="O155" s="16" t="str">
        <f>IFERROR(__xludf.DUMMYFUNCTION("""COMPUTED_VALUE"""),"Low")</f>
        <v>Low</v>
      </c>
      <c r="P155" s="16" t="b">
        <f>IFERROR(__xludf.DUMMYFUNCTION("""COMPUTED_VALUE"""),FALSE)</f>
        <v>0</v>
      </c>
      <c r="Q155" s="16" t="b">
        <f>IFERROR(__xludf.DUMMYFUNCTION("""COMPUTED_VALUE"""),TRUE)</f>
        <v>1</v>
      </c>
      <c r="R155" s="16" t="str">
        <f>IFERROR(__xludf.DUMMYFUNCTION("""COMPUTED_VALUE"""),"Admin, Business, Marketing")</f>
        <v>Admin, Business, Marketing</v>
      </c>
      <c r="S155" s="16" t="str">
        <f>IFERROR(__xludf.DUMMYFUNCTION("""COMPUTED_VALUE"""),"Ethos")</f>
        <v>Ethos</v>
      </c>
      <c r="T155" s="16" t="str">
        <f>IFERROR(__xludf.DUMMYFUNCTION("""COMPUTED_VALUE"""),"Current Partner")</f>
        <v>Current Partner</v>
      </c>
      <c r="U155" s="16" t="b">
        <f>IFERROR(__xludf.DUMMYFUNCTION("""COMPUTED_VALUE"""),FALSE)</f>
        <v>0</v>
      </c>
      <c r="V155" s="16"/>
      <c r="W155" s="16"/>
      <c r="X155" s="16"/>
    </row>
    <row r="156">
      <c r="A156" s="16" t="str">
        <f>IFERROR(__xludf.DUMMYFUNCTION("""COMPUTED_VALUE"""),"U")</f>
        <v>U</v>
      </c>
      <c r="B156" s="16" t="str">
        <f>IFERROR(__xludf.DUMMYFUNCTION("""COMPUTED_VALUE"""),"Win")</f>
        <v>Win</v>
      </c>
      <c r="C156" s="16" t="str">
        <f>IFERROR(__xludf.DUMMYFUNCTION("""COMPUTED_VALUE"""),"Delivery Lead")</f>
        <v>Delivery Lead</v>
      </c>
      <c r="D156" s="16" t="str">
        <f>IFERROR(__xludf.DUMMYFUNCTION("""COMPUTED_VALUE"""),"Ethos Risk Services, LLC")</f>
        <v>Ethos Risk Services, LLC</v>
      </c>
      <c r="E156" s="16" t="str">
        <f>IFERROR(__xludf.DUMMYFUNCTION("""COMPUTED_VALUE"""),"Growth")</f>
        <v>Growth</v>
      </c>
      <c r="F156" s="16"/>
      <c r="G156" s="16" t="str">
        <f>IFERROR(__xludf.DUMMYFUNCTION("""COMPUTED_VALUE"""),"Rod Gowin")</f>
        <v>Rod Gowin</v>
      </c>
      <c r="H156" s="16" t="str">
        <f>IFERROR(__xludf.DUMMYFUNCTION("""COMPUTED_VALUE"""),"PartnerConnect - Technology")</f>
        <v>PartnerConnect - Technology</v>
      </c>
      <c r="I156" s="16" t="str">
        <f>IFERROR(__xludf.DUMMYFUNCTION("""COMPUTED_VALUE"""),"300 First Avenue South")</f>
        <v>300 First Avenue South</v>
      </c>
      <c r="J156" s="16"/>
      <c r="K156" s="16" t="str">
        <f>IFERROR(__xludf.DUMMYFUNCTION("""COMPUTED_VALUE"""),"St. Petersburg")</f>
        <v>St. Petersburg</v>
      </c>
      <c r="L156" s="16" t="str">
        <f>IFERROR(__xludf.DUMMYFUNCTION("""COMPUTED_VALUE"""),"Florida")</f>
        <v>Florida</v>
      </c>
      <c r="M156" s="16">
        <f>IFERROR(__xludf.DUMMYFUNCTION("""COMPUTED_VALUE"""),33701.0)</f>
        <v>33701</v>
      </c>
      <c r="N156" s="16" t="str">
        <f>IFERROR(__xludf.DUMMYFUNCTION("""COMPUTED_VALUE"""),"United States")</f>
        <v>United States</v>
      </c>
      <c r="O156" s="16" t="str">
        <f>IFERROR(__xludf.DUMMYFUNCTION("""COMPUTED_VALUE"""),"Low")</f>
        <v>Low</v>
      </c>
      <c r="P156" s="16" t="b">
        <f>IFERROR(__xludf.DUMMYFUNCTION("""COMPUTED_VALUE"""),TRUE)</f>
        <v>1</v>
      </c>
      <c r="Q156" s="16" t="b">
        <f>IFERROR(__xludf.DUMMYFUNCTION("""COMPUTED_VALUE"""),FALSE)</f>
        <v>0</v>
      </c>
      <c r="R156" s="16" t="str">
        <f>IFERROR(__xludf.DUMMYFUNCTION("""COMPUTED_VALUE"""),"")</f>
        <v/>
      </c>
      <c r="S156" s="16" t="str">
        <f>IFERROR(__xludf.DUMMYFUNCTION("""COMPUTED_VALUE"""),"Ethos")</f>
        <v>Ethos</v>
      </c>
      <c r="T156" s="16" t="str">
        <f>IFERROR(__xludf.DUMMYFUNCTION("""COMPUTED_VALUE"""),"Current Partner")</f>
        <v>Current Partner</v>
      </c>
      <c r="U156" s="16" t="b">
        <f>IFERROR(__xludf.DUMMYFUNCTION("""COMPUTED_VALUE"""),FALSE)</f>
        <v>0</v>
      </c>
      <c r="V156" s="16"/>
      <c r="W156" s="16"/>
      <c r="X156" s="16"/>
    </row>
    <row r="157">
      <c r="A157" s="16" t="str">
        <f>IFERROR(__xludf.DUMMYFUNCTION("""COMPUTED_VALUE"""),"Lawson")</f>
        <v>Lawson</v>
      </c>
      <c r="B157" s="16" t="str">
        <f>IFERROR(__xludf.DUMMYFUNCTION("""COMPUTED_VALUE"""),"Kuehnert")</f>
        <v>Kuehnert</v>
      </c>
      <c r="C157" s="16" t="str">
        <f>IFERROR(__xludf.DUMMYFUNCTION("""COMPUTED_VALUE"""),"Senior Director, Operations")</f>
        <v>Senior Director, Operations</v>
      </c>
      <c r="D157" s="16" t="str">
        <f>IFERROR(__xludf.DUMMYFUNCTION("""COMPUTED_VALUE"""),"EvolutionIQ")</f>
        <v>EvolutionIQ</v>
      </c>
      <c r="E157" s="16" t="str">
        <f>IFERROR(__xludf.DUMMYFUNCTION("""COMPUTED_VALUE"""),"Premier")</f>
        <v>Premier</v>
      </c>
      <c r="F157" s="16" t="str">
        <f>IFERROR(__xludf.DUMMYFUNCTION("""COMPUTED_VALUE"""),"lawson.kuehnert@evolutioniq.com")</f>
        <v>lawson.kuehnert@evolutioniq.com</v>
      </c>
      <c r="G157" s="16" t="str">
        <f>IFERROR(__xludf.DUMMYFUNCTION("""COMPUTED_VALUE"""),"Kelly Clayton")</f>
        <v>Kelly Clayton</v>
      </c>
      <c r="H157" s="16" t="str">
        <f>IFERROR(__xludf.DUMMYFUNCTION("""COMPUTED_VALUE"""),"PartnerConnect - Technology")</f>
        <v>PartnerConnect - Technology</v>
      </c>
      <c r="I157" s="16" t="str">
        <f>IFERROR(__xludf.DUMMYFUNCTION("""COMPUTED_VALUE"""),"27 W 24TH ST")</f>
        <v>27 W 24TH ST</v>
      </c>
      <c r="J157" s="16"/>
      <c r="K157" s="16" t="str">
        <f>IFERROR(__xludf.DUMMYFUNCTION("""COMPUTED_VALUE"""),"NEW YORK")</f>
        <v>NEW YORK</v>
      </c>
      <c r="L157" s="16" t="str">
        <f>IFERROR(__xludf.DUMMYFUNCTION("""COMPUTED_VALUE"""),"New York")</f>
        <v>New York</v>
      </c>
      <c r="M157" s="16">
        <f>IFERROR(__xludf.DUMMYFUNCTION("""COMPUTED_VALUE"""),10010.0)</f>
        <v>10010</v>
      </c>
      <c r="N157" s="16" t="str">
        <f>IFERROR(__xludf.DUMMYFUNCTION("""COMPUTED_VALUE"""),"United States")</f>
        <v>United States</v>
      </c>
      <c r="O157" s="16" t="str">
        <f>IFERROR(__xludf.DUMMYFUNCTION("""COMPUTED_VALUE"""),"High")</f>
        <v>High</v>
      </c>
      <c r="P157" s="16" t="b">
        <f>IFERROR(__xludf.DUMMYFUNCTION("""COMPUTED_VALUE"""),TRUE)</f>
        <v>1</v>
      </c>
      <c r="Q157" s="16" t="b">
        <f>IFERROR(__xludf.DUMMYFUNCTION("""COMPUTED_VALUE"""),FALSE)</f>
        <v>0</v>
      </c>
      <c r="R157" s="16" t="str">
        <f>IFERROR(__xludf.DUMMYFUNCTION("""COMPUTED_VALUE"""),"Admin")</f>
        <v>Admin</v>
      </c>
      <c r="S157" s="16" t="str">
        <f>IFERROR(__xludf.DUMMYFUNCTION("""COMPUTED_VALUE"""),"EvolutionIQ")</f>
        <v>EvolutionIQ</v>
      </c>
      <c r="T157" s="16" t="str">
        <f>IFERROR(__xludf.DUMMYFUNCTION("""COMPUTED_VALUE"""),"Current Partner")</f>
        <v>Current Partner</v>
      </c>
      <c r="U157" s="16" t="b">
        <f>IFERROR(__xludf.DUMMYFUNCTION("""COMPUTED_VALUE"""),FALSE)</f>
        <v>0</v>
      </c>
      <c r="V157" s="16"/>
      <c r="W157" s="16"/>
      <c r="X157" s="16"/>
    </row>
    <row r="158">
      <c r="A158" s="16" t="str">
        <f>IFERROR(__xludf.DUMMYFUNCTION("""COMPUTED_VALUE"""),"Michael")</f>
        <v>Michael</v>
      </c>
      <c r="B158" s="16" t="str">
        <f>IFERROR(__xludf.DUMMYFUNCTION("""COMPUTED_VALUE"""),"Spinelli")</f>
        <v>Spinelli</v>
      </c>
      <c r="C158" s="16" t="str">
        <f>IFERROR(__xludf.DUMMYFUNCTION("""COMPUTED_VALUE"""),"Product Leader")</f>
        <v>Product Leader</v>
      </c>
      <c r="D158" s="16" t="str">
        <f>IFERROR(__xludf.DUMMYFUNCTION("""COMPUTED_VALUE"""),"EvolutionIQ")</f>
        <v>EvolutionIQ</v>
      </c>
      <c r="E158" s="16" t="str">
        <f>IFERROR(__xludf.DUMMYFUNCTION("""COMPUTED_VALUE"""),"Premier")</f>
        <v>Premier</v>
      </c>
      <c r="F158" s="16" t="str">
        <f>IFERROR(__xludf.DUMMYFUNCTION("""COMPUTED_VALUE"""),"michael.spinelli@evolutioniq.com")</f>
        <v>michael.spinelli@evolutioniq.com</v>
      </c>
      <c r="G158" s="16" t="str">
        <f>IFERROR(__xludf.DUMMYFUNCTION("""COMPUTED_VALUE"""),"Kelly Clayton")</f>
        <v>Kelly Clayton</v>
      </c>
      <c r="H158" s="16" t="str">
        <f>IFERROR(__xludf.DUMMYFUNCTION("""COMPUTED_VALUE"""),"PartnerConnect - Technology")</f>
        <v>PartnerConnect - Technology</v>
      </c>
      <c r="I158" s="16" t="str">
        <f>IFERROR(__xludf.DUMMYFUNCTION("""COMPUTED_VALUE"""),"27 West 24th Street #501")</f>
        <v>27 West 24th Street #501</v>
      </c>
      <c r="J158" s="16"/>
      <c r="K158" s="16" t="str">
        <f>IFERROR(__xludf.DUMMYFUNCTION("""COMPUTED_VALUE"""),"New York")</f>
        <v>New York</v>
      </c>
      <c r="L158" s="16" t="str">
        <f>IFERROR(__xludf.DUMMYFUNCTION("""COMPUTED_VALUE"""),"New York")</f>
        <v>New York</v>
      </c>
      <c r="M158" s="16">
        <f>IFERROR(__xludf.DUMMYFUNCTION("""COMPUTED_VALUE"""),10010.0)</f>
        <v>10010</v>
      </c>
      <c r="N158" s="16" t="str">
        <f>IFERROR(__xludf.DUMMYFUNCTION("""COMPUTED_VALUE"""),"United States")</f>
        <v>United States</v>
      </c>
      <c r="O158" s="16" t="str">
        <f>IFERROR(__xludf.DUMMYFUNCTION("""COMPUTED_VALUE"""),"High")</f>
        <v>High</v>
      </c>
      <c r="P158" s="16" t="b">
        <f>IFERROR(__xludf.DUMMYFUNCTION("""COMPUTED_VALUE"""),TRUE)</f>
        <v>1</v>
      </c>
      <c r="Q158" s="16" t="b">
        <f>IFERROR(__xludf.DUMMYFUNCTION("""COMPUTED_VALUE"""),FALSE)</f>
        <v>0</v>
      </c>
      <c r="R158" s="16" t="str">
        <f>IFERROR(__xludf.DUMMYFUNCTION("""COMPUTED_VALUE"""),"Admin, Business, Support, Technical, NPE User")</f>
        <v>Admin, Business, Support, Technical, NPE User</v>
      </c>
      <c r="S158" s="16" t="str">
        <f>IFERROR(__xludf.DUMMYFUNCTION("""COMPUTED_VALUE"""),"EvolutionIQ")</f>
        <v>EvolutionIQ</v>
      </c>
      <c r="T158" s="16" t="str">
        <f>IFERROR(__xludf.DUMMYFUNCTION("""COMPUTED_VALUE"""),"Current Partner")</f>
        <v>Current Partner</v>
      </c>
      <c r="U158" s="16" t="b">
        <f>IFERROR(__xludf.DUMMYFUNCTION("""COMPUTED_VALUE"""),TRUE)</f>
        <v>1</v>
      </c>
      <c r="V158" s="16"/>
      <c r="W158" s="16"/>
      <c r="X158" s="16"/>
    </row>
    <row r="159">
      <c r="A159" s="16" t="str">
        <f>IFERROR(__xludf.DUMMYFUNCTION("""COMPUTED_VALUE"""),"Scott")</f>
        <v>Scott</v>
      </c>
      <c r="B159" s="16" t="str">
        <f>IFERROR(__xludf.DUMMYFUNCTION("""COMPUTED_VALUE"""),"Huber")</f>
        <v>Huber</v>
      </c>
      <c r="C159" s="16"/>
      <c r="D159" s="16" t="str">
        <f>IFERROR(__xludf.DUMMYFUNCTION("""COMPUTED_VALUE"""),"ExamWorks Compliance Solutions")</f>
        <v>ExamWorks Compliance Solutions</v>
      </c>
      <c r="E159" s="16" t="str">
        <f>IFERROR(__xludf.DUMMYFUNCTION("""COMPUTED_VALUE"""),"Growth")</f>
        <v>Growth</v>
      </c>
      <c r="F159" s="16" t="str">
        <f>IFERROR(__xludf.DUMMYFUNCTION("""COMPUTED_VALUE"""),"scott.huber@examworkscompliance.com")</f>
        <v>scott.huber@examworkscompliance.com</v>
      </c>
      <c r="G159" s="16" t="str">
        <f>IFERROR(__xludf.DUMMYFUNCTION("""COMPUTED_VALUE"""),"Aaron Shaw")</f>
        <v>Aaron Shaw</v>
      </c>
      <c r="H159" s="16" t="str">
        <f>IFERROR(__xludf.DUMMYFUNCTION("""COMPUTED_VALUE"""),"PartnerConnect - Technology")</f>
        <v>PartnerConnect - Technology</v>
      </c>
      <c r="I159" s="16"/>
      <c r="J159" s="16"/>
      <c r="K159" s="16"/>
      <c r="L159" s="16"/>
      <c r="M159" s="16"/>
      <c r="N159" s="16" t="str">
        <f>IFERROR(__xludf.DUMMYFUNCTION("""COMPUTED_VALUE"""),"United States")</f>
        <v>United States</v>
      </c>
      <c r="O159" s="16" t="str">
        <f>IFERROR(__xludf.DUMMYFUNCTION("""COMPUTED_VALUE"""),"Medium")</f>
        <v>Medium</v>
      </c>
      <c r="P159" s="16" t="b">
        <f>IFERROR(__xludf.DUMMYFUNCTION("""COMPUTED_VALUE"""),TRUE)</f>
        <v>1</v>
      </c>
      <c r="Q159" s="16" t="b">
        <f>IFERROR(__xludf.DUMMYFUNCTION("""COMPUTED_VALUE"""),TRUE)</f>
        <v>1</v>
      </c>
      <c r="R159" s="16" t="str">
        <f>IFERROR(__xludf.DUMMYFUNCTION("""COMPUTED_VALUE"""),"Admin, Admin, Admin, Support, Technical, NPE User")</f>
        <v>Admin, Admin, Admin, Support, Technical, NPE User</v>
      </c>
      <c r="S159" s="16" t="str">
        <f>IFERROR(__xludf.DUMMYFUNCTION("""COMPUTED_VALUE"""),"ExamWorks")</f>
        <v>ExamWorks</v>
      </c>
      <c r="T159" s="16" t="str">
        <f>IFERROR(__xludf.DUMMYFUNCTION("""COMPUTED_VALUE"""),"Current Partner")</f>
        <v>Current Partner</v>
      </c>
      <c r="U159" s="16" t="b">
        <f>IFERROR(__xludf.DUMMYFUNCTION("""COMPUTED_VALUE"""),TRUE)</f>
        <v>1</v>
      </c>
      <c r="V159" s="16"/>
      <c r="W159" s="16"/>
      <c r="X159" s="16"/>
    </row>
    <row r="160">
      <c r="A160" s="16" t="str">
        <f>IFERROR(__xludf.DUMMYFUNCTION("""COMPUTED_VALUE"""),"Fallon")</f>
        <v>Fallon</v>
      </c>
      <c r="B160" s="16" t="str">
        <f>IFERROR(__xludf.DUMMYFUNCTION("""COMPUTED_VALUE"""),"Giovacchini")</f>
        <v>Giovacchini</v>
      </c>
      <c r="C160" s="16" t="str">
        <f>IFERROR(__xludf.DUMMYFUNCTION("""COMPUTED_VALUE"""),"Global Director of Partnerships")</f>
        <v>Global Director of Partnerships</v>
      </c>
      <c r="D160" s="27" t="str">
        <f>IFERROR(__xludf.DUMMYFUNCTION("""COMPUTED_VALUE"""),"Experience.com")</f>
        <v>Experience.com</v>
      </c>
      <c r="E160" s="16" t="str">
        <f>IFERROR(__xludf.DUMMYFUNCTION("""COMPUTED_VALUE"""),"Growth")</f>
        <v>Growth</v>
      </c>
      <c r="F160" s="16" t="str">
        <f>IFERROR(__xludf.DUMMYFUNCTION("""COMPUTED_VALUE"""),"fallon@experience.com")</f>
        <v>fallon@experience.com</v>
      </c>
      <c r="G160" s="16" t="str">
        <f>IFERROR(__xludf.DUMMYFUNCTION("""COMPUTED_VALUE"""),"Rod Gowin")</f>
        <v>Rod Gowin</v>
      </c>
      <c r="H160" s="16" t="str">
        <f>IFERROR(__xludf.DUMMYFUNCTION("""COMPUTED_VALUE"""),"PartnerConnect - Technology")</f>
        <v>PartnerConnect - Technology</v>
      </c>
      <c r="I160" s="16" t="str">
        <f>IFERROR(__xludf.DUMMYFUNCTION("""COMPUTED_VALUE"""),"2010 Crow Canyon Place, Suite 100")</f>
        <v>2010 Crow Canyon Place, Suite 100</v>
      </c>
      <c r="J160" s="16"/>
      <c r="K160" s="16" t="str">
        <f>IFERROR(__xludf.DUMMYFUNCTION("""COMPUTED_VALUE"""),"San Ramon")</f>
        <v>San Ramon</v>
      </c>
      <c r="L160" s="16" t="str">
        <f>IFERROR(__xludf.DUMMYFUNCTION("""COMPUTED_VALUE"""),"California")</f>
        <v>California</v>
      </c>
      <c r="M160" s="16">
        <f>IFERROR(__xludf.DUMMYFUNCTION("""COMPUTED_VALUE"""),94583.0)</f>
        <v>94583</v>
      </c>
      <c r="N160" s="16" t="str">
        <f>IFERROR(__xludf.DUMMYFUNCTION("""COMPUTED_VALUE"""),"United States")</f>
        <v>United States</v>
      </c>
      <c r="O160" s="16" t="str">
        <f>IFERROR(__xludf.DUMMYFUNCTION("""COMPUTED_VALUE"""),"Low")</f>
        <v>Low</v>
      </c>
      <c r="P160" s="16" t="b">
        <f>IFERROR(__xludf.DUMMYFUNCTION("""COMPUTED_VALUE"""),TRUE)</f>
        <v>1</v>
      </c>
      <c r="Q160" s="16" t="b">
        <f>IFERROR(__xludf.DUMMYFUNCTION("""COMPUTED_VALUE"""),FALSE)</f>
        <v>0</v>
      </c>
      <c r="R160" s="16" t="str">
        <f>IFERROR(__xludf.DUMMYFUNCTION("""COMPUTED_VALUE"""),"Admin, Business")</f>
        <v>Admin, Business</v>
      </c>
      <c r="S160" s="27" t="str">
        <f>IFERROR(__xludf.DUMMYFUNCTION("""COMPUTED_VALUE"""),"Experience.com")</f>
        <v>Experience.com</v>
      </c>
      <c r="T160" s="16" t="str">
        <f>IFERROR(__xludf.DUMMYFUNCTION("""COMPUTED_VALUE"""),"Current Partner")</f>
        <v>Current Partner</v>
      </c>
      <c r="U160" s="16" t="b">
        <f>IFERROR(__xludf.DUMMYFUNCTION("""COMPUTED_VALUE"""),FALSE)</f>
        <v>0</v>
      </c>
      <c r="V160" s="16"/>
      <c r="W160" s="16"/>
      <c r="X160" s="16"/>
    </row>
    <row r="161">
      <c r="A161" s="16" t="str">
        <f>IFERROR(__xludf.DUMMYFUNCTION("""COMPUTED_VALUE"""),"Heather")</f>
        <v>Heather</v>
      </c>
      <c r="B161" s="16" t="str">
        <f>IFERROR(__xludf.DUMMYFUNCTION("""COMPUTED_VALUE"""),"Day")</f>
        <v>Day</v>
      </c>
      <c r="C161" s="16"/>
      <c r="D161" s="27" t="str">
        <f>IFERROR(__xludf.DUMMYFUNCTION("""COMPUTED_VALUE"""),"Experience.com")</f>
        <v>Experience.com</v>
      </c>
      <c r="E161" s="16" t="str">
        <f>IFERROR(__xludf.DUMMYFUNCTION("""COMPUTED_VALUE"""),"Growth")</f>
        <v>Growth</v>
      </c>
      <c r="F161" s="16" t="str">
        <f>IFERROR(__xludf.DUMMYFUNCTION("""COMPUTED_VALUE"""),"heather@experience.com")</f>
        <v>heather@experience.com</v>
      </c>
      <c r="G161" s="16" t="str">
        <f>IFERROR(__xludf.DUMMYFUNCTION("""COMPUTED_VALUE"""),"Rod Gowin")</f>
        <v>Rod Gowin</v>
      </c>
      <c r="H161" s="16" t="str">
        <f>IFERROR(__xludf.DUMMYFUNCTION("""COMPUTED_VALUE"""),"PartnerConnect - Technology")</f>
        <v>PartnerConnect - Technology</v>
      </c>
      <c r="I161" s="16" t="str">
        <f>IFERROR(__xludf.DUMMYFUNCTION("""COMPUTED_VALUE"""),"12677 Alcosta Blvd. Suite 250")</f>
        <v>12677 Alcosta Blvd. Suite 250</v>
      </c>
      <c r="J161" s="16"/>
      <c r="K161" s="16" t="str">
        <f>IFERROR(__xludf.DUMMYFUNCTION("""COMPUTED_VALUE"""),"San Ramon")</f>
        <v>San Ramon</v>
      </c>
      <c r="L161" s="16" t="str">
        <f>IFERROR(__xludf.DUMMYFUNCTION("""COMPUTED_VALUE"""),"California")</f>
        <v>California</v>
      </c>
      <c r="M161" s="16">
        <f>IFERROR(__xludf.DUMMYFUNCTION("""COMPUTED_VALUE"""),94583.0)</f>
        <v>94583</v>
      </c>
      <c r="N161" s="16" t="str">
        <f>IFERROR(__xludf.DUMMYFUNCTION("""COMPUTED_VALUE"""),"United States")</f>
        <v>United States</v>
      </c>
      <c r="O161" s="16" t="str">
        <f>IFERROR(__xludf.DUMMYFUNCTION("""COMPUTED_VALUE"""),"Low")</f>
        <v>Low</v>
      </c>
      <c r="P161" s="16" t="b">
        <f>IFERROR(__xludf.DUMMYFUNCTION("""COMPUTED_VALUE"""),TRUE)</f>
        <v>1</v>
      </c>
      <c r="Q161" s="16" t="b">
        <f>IFERROR(__xludf.DUMMYFUNCTION("""COMPUTED_VALUE"""),FALSE)</f>
        <v>0</v>
      </c>
      <c r="R161" s="16" t="str">
        <f>IFERROR(__xludf.DUMMYFUNCTION("""COMPUTED_VALUE"""),"Support, Technical")</f>
        <v>Support, Technical</v>
      </c>
      <c r="S161" s="27" t="str">
        <f>IFERROR(__xludf.DUMMYFUNCTION("""COMPUTED_VALUE"""),"Experience.com")</f>
        <v>Experience.com</v>
      </c>
      <c r="T161" s="16" t="str">
        <f>IFERROR(__xludf.DUMMYFUNCTION("""COMPUTED_VALUE"""),"Current Partner")</f>
        <v>Current Partner</v>
      </c>
      <c r="U161" s="16" t="b">
        <f>IFERROR(__xludf.DUMMYFUNCTION("""COMPUTED_VALUE"""),FALSE)</f>
        <v>0</v>
      </c>
      <c r="V161" s="16"/>
      <c r="W161" s="16"/>
      <c r="X161" s="16"/>
    </row>
    <row r="162">
      <c r="A162" s="16" t="str">
        <f>IFERROR(__xludf.DUMMYFUNCTION("""COMPUTED_VALUE"""),"Lauren")</f>
        <v>Lauren</v>
      </c>
      <c r="B162" s="16" t="str">
        <f>IFERROR(__xludf.DUMMYFUNCTION("""COMPUTED_VALUE"""),"Schaefer")</f>
        <v>Schaefer</v>
      </c>
      <c r="C162" s="16" t="str">
        <f>IFERROR(__xludf.DUMMYFUNCTION("""COMPUTED_VALUE"""),"Event Manager")</f>
        <v>Event Manager</v>
      </c>
      <c r="D162" s="27" t="str">
        <f>IFERROR(__xludf.DUMMYFUNCTION("""COMPUTED_VALUE"""),"Experience.com")</f>
        <v>Experience.com</v>
      </c>
      <c r="E162" s="16" t="str">
        <f>IFERROR(__xludf.DUMMYFUNCTION("""COMPUTED_VALUE"""),"Growth")</f>
        <v>Growth</v>
      </c>
      <c r="F162" s="16" t="str">
        <f>IFERROR(__xludf.DUMMYFUNCTION("""COMPUTED_VALUE"""),"lauren.schaefer@experience.com")</f>
        <v>lauren.schaefer@experience.com</v>
      </c>
      <c r="G162" s="16" t="str">
        <f>IFERROR(__xludf.DUMMYFUNCTION("""COMPUTED_VALUE"""),"Rod Gowin")</f>
        <v>Rod Gowin</v>
      </c>
      <c r="H162" s="16" t="str">
        <f>IFERROR(__xludf.DUMMYFUNCTION("""COMPUTED_VALUE"""),"PartnerConnect - Technology")</f>
        <v>PartnerConnect - Technology</v>
      </c>
      <c r="I162" s="16" t="str">
        <f>IFERROR(__xludf.DUMMYFUNCTION("""COMPUTED_VALUE"""),"2010 Crow Canyon Place")</f>
        <v>2010 Crow Canyon Place</v>
      </c>
      <c r="J162" s="16"/>
      <c r="K162" s="16" t="str">
        <f>IFERROR(__xludf.DUMMYFUNCTION("""COMPUTED_VALUE"""),"San Ramon")</f>
        <v>San Ramon</v>
      </c>
      <c r="L162" s="16" t="str">
        <f>IFERROR(__xludf.DUMMYFUNCTION("""COMPUTED_VALUE"""),"CALIFORNIA")</f>
        <v>CALIFORNIA</v>
      </c>
      <c r="M162" s="16">
        <f>IFERROR(__xludf.DUMMYFUNCTION("""COMPUTED_VALUE"""),94583.0)</f>
        <v>94583</v>
      </c>
      <c r="N162" s="16" t="str">
        <f>IFERROR(__xludf.DUMMYFUNCTION("""COMPUTED_VALUE"""),"United States")</f>
        <v>United States</v>
      </c>
      <c r="O162" s="16" t="str">
        <f>IFERROR(__xludf.DUMMYFUNCTION("""COMPUTED_VALUE"""),"Low")</f>
        <v>Low</v>
      </c>
      <c r="P162" s="16" t="b">
        <f>IFERROR(__xludf.DUMMYFUNCTION("""COMPUTED_VALUE"""),TRUE)</f>
        <v>1</v>
      </c>
      <c r="Q162" s="16" t="b">
        <f>IFERROR(__xludf.DUMMYFUNCTION("""COMPUTED_VALUE"""),FALSE)</f>
        <v>0</v>
      </c>
      <c r="R162" s="16" t="str">
        <f>IFERROR(__xludf.DUMMYFUNCTION("""COMPUTED_VALUE"""),"Admin, Business")</f>
        <v>Admin, Business</v>
      </c>
      <c r="S162" s="27" t="str">
        <f>IFERROR(__xludf.DUMMYFUNCTION("""COMPUTED_VALUE"""),"Experience.com")</f>
        <v>Experience.com</v>
      </c>
      <c r="T162" s="16" t="str">
        <f>IFERROR(__xludf.DUMMYFUNCTION("""COMPUTED_VALUE"""),"Current Partner")</f>
        <v>Current Partner</v>
      </c>
      <c r="U162" s="16" t="b">
        <f>IFERROR(__xludf.DUMMYFUNCTION("""COMPUTED_VALUE"""),FALSE)</f>
        <v>0</v>
      </c>
      <c r="V162" s="16"/>
      <c r="W162" s="16"/>
      <c r="X162" s="16"/>
    </row>
    <row r="163">
      <c r="A163" s="16" t="str">
        <f>IFERROR(__xludf.DUMMYFUNCTION("""COMPUTED_VALUE"""),"Michael")</f>
        <v>Michael</v>
      </c>
      <c r="B163" s="16" t="str">
        <f>IFERROR(__xludf.DUMMYFUNCTION("""COMPUTED_VALUE"""),"Ammaturo")</f>
        <v>Ammaturo</v>
      </c>
      <c r="C163" s="16"/>
      <c r="D163" s="27" t="str">
        <f>IFERROR(__xludf.DUMMYFUNCTION("""COMPUTED_VALUE"""),"Experience.com")</f>
        <v>Experience.com</v>
      </c>
      <c r="E163" s="16" t="str">
        <f>IFERROR(__xludf.DUMMYFUNCTION("""COMPUTED_VALUE"""),"Growth")</f>
        <v>Growth</v>
      </c>
      <c r="F163" s="16" t="str">
        <f>IFERROR(__xludf.DUMMYFUNCTION("""COMPUTED_VALUE"""),"michael@experience.com")</f>
        <v>michael@experience.com</v>
      </c>
      <c r="G163" s="16" t="str">
        <f>IFERROR(__xludf.DUMMYFUNCTION("""COMPUTED_VALUE"""),"Rod Gowin")</f>
        <v>Rod Gowin</v>
      </c>
      <c r="H163" s="16" t="str">
        <f>IFERROR(__xludf.DUMMYFUNCTION("""COMPUTED_VALUE"""),"PartnerConnect - Technology")</f>
        <v>PartnerConnect - Technology</v>
      </c>
      <c r="I163" s="16" t="str">
        <f>IFERROR(__xludf.DUMMYFUNCTION("""COMPUTED_VALUE"""),"12677 Alcosta Blvd. Suite 250")</f>
        <v>12677 Alcosta Blvd. Suite 250</v>
      </c>
      <c r="J163" s="16"/>
      <c r="K163" s="16" t="str">
        <f>IFERROR(__xludf.DUMMYFUNCTION("""COMPUTED_VALUE"""),"San Ramon")</f>
        <v>San Ramon</v>
      </c>
      <c r="L163" s="16" t="str">
        <f>IFERROR(__xludf.DUMMYFUNCTION("""COMPUTED_VALUE"""),"California")</f>
        <v>California</v>
      </c>
      <c r="M163" s="16">
        <f>IFERROR(__xludf.DUMMYFUNCTION("""COMPUTED_VALUE"""),94583.0)</f>
        <v>94583</v>
      </c>
      <c r="N163" s="16" t="str">
        <f>IFERROR(__xludf.DUMMYFUNCTION("""COMPUTED_VALUE"""),"United States")</f>
        <v>United States</v>
      </c>
      <c r="O163" s="16" t="str">
        <f>IFERROR(__xludf.DUMMYFUNCTION("""COMPUTED_VALUE"""),"Low")</f>
        <v>Low</v>
      </c>
      <c r="P163" s="16" t="b">
        <f>IFERROR(__xludf.DUMMYFUNCTION("""COMPUTED_VALUE"""),TRUE)</f>
        <v>1</v>
      </c>
      <c r="Q163" s="16" t="b">
        <f>IFERROR(__xludf.DUMMYFUNCTION("""COMPUTED_VALUE"""),FALSE)</f>
        <v>0</v>
      </c>
      <c r="R163" s="16" t="str">
        <f>IFERROR(__xludf.DUMMYFUNCTION("""COMPUTED_VALUE"""),"")</f>
        <v/>
      </c>
      <c r="S163" s="27" t="str">
        <f>IFERROR(__xludf.DUMMYFUNCTION("""COMPUTED_VALUE"""),"Experience.com")</f>
        <v>Experience.com</v>
      </c>
      <c r="T163" s="16" t="str">
        <f>IFERROR(__xludf.DUMMYFUNCTION("""COMPUTED_VALUE"""),"Current Partner")</f>
        <v>Current Partner</v>
      </c>
      <c r="U163" s="16" t="b">
        <f>IFERROR(__xludf.DUMMYFUNCTION("""COMPUTED_VALUE"""),FALSE)</f>
        <v>0</v>
      </c>
      <c r="V163" s="16"/>
      <c r="W163" s="16"/>
      <c r="X163" s="16"/>
    </row>
    <row r="164">
      <c r="A164" s="16" t="str">
        <f>IFERROR(__xludf.DUMMYFUNCTION("""COMPUTED_VALUE"""),"Shkurta")</f>
        <v>Shkurta</v>
      </c>
      <c r="B164" s="16" t="str">
        <f>IFERROR(__xludf.DUMMYFUNCTION("""COMPUTED_VALUE"""),"SMajli")</f>
        <v>SMajli</v>
      </c>
      <c r="C164" s="16" t="str">
        <f>IFERROR(__xludf.DUMMYFUNCTION("""COMPUTED_VALUE"""),"Partner Manager")</f>
        <v>Partner Manager</v>
      </c>
      <c r="D164" s="27" t="str">
        <f>IFERROR(__xludf.DUMMYFUNCTION("""COMPUTED_VALUE"""),"Expert.ai")</f>
        <v>Expert.ai</v>
      </c>
      <c r="E164" s="16" t="str">
        <f>IFERROR(__xludf.DUMMYFUNCTION("""COMPUTED_VALUE"""),"Growth")</f>
        <v>Growth</v>
      </c>
      <c r="F164" s="16" t="str">
        <f>IFERROR(__xludf.DUMMYFUNCTION("""COMPUTED_VALUE"""),"ssmajli@expert.ai")</f>
        <v>ssmajli@expert.ai</v>
      </c>
      <c r="G164" s="16" t="str">
        <f>IFERROR(__xludf.DUMMYFUNCTION("""COMPUTED_VALUE"""),"Vivienne Hoary")</f>
        <v>Vivienne Hoary</v>
      </c>
      <c r="H164" s="16" t="str">
        <f>IFERROR(__xludf.DUMMYFUNCTION("""COMPUTED_VALUE"""),"PartnerConnect - Technology")</f>
        <v>PartnerConnect - Technology</v>
      </c>
      <c r="I164" s="16"/>
      <c r="J164" s="16"/>
      <c r="K164" s="16"/>
      <c r="L164" s="16"/>
      <c r="M164" s="16"/>
      <c r="N164" s="16" t="str">
        <f>IFERROR(__xludf.DUMMYFUNCTION("""COMPUTED_VALUE"""),"Germany")</f>
        <v>Germany</v>
      </c>
      <c r="O164" s="16" t="str">
        <f>IFERROR(__xludf.DUMMYFUNCTION("""COMPUTED_VALUE"""),"Medium")</f>
        <v>Medium</v>
      </c>
      <c r="P164" s="16" t="b">
        <f>IFERROR(__xludf.DUMMYFUNCTION("""COMPUTED_VALUE"""),TRUE)</f>
        <v>1</v>
      </c>
      <c r="Q164" s="16" t="b">
        <f>IFERROR(__xludf.DUMMYFUNCTION("""COMPUTED_VALUE"""),FALSE)</f>
        <v>0</v>
      </c>
      <c r="R164" s="16" t="str">
        <f>IFERROR(__xludf.DUMMYFUNCTION("""COMPUTED_VALUE"""),"Admin, Delivery Lead / BA, Client Partner / Partner Account Executive")</f>
        <v>Admin, Delivery Lead / BA, Client Partner / Partner Account Executive</v>
      </c>
      <c r="S164" s="16" t="str">
        <f>IFERROR(__xludf.DUMMYFUNCTION("""COMPUTED_VALUE"""),"Expert System")</f>
        <v>Expert System</v>
      </c>
      <c r="T164" s="16" t="str">
        <f>IFERROR(__xludf.DUMMYFUNCTION("""COMPUTED_VALUE"""),"Current Partner")</f>
        <v>Current Partner</v>
      </c>
      <c r="U164" s="16" t="b">
        <f>IFERROR(__xludf.DUMMYFUNCTION("""COMPUTED_VALUE"""),FALSE)</f>
        <v>0</v>
      </c>
      <c r="V164" s="16"/>
      <c r="W164" s="16"/>
      <c r="X164" s="16"/>
    </row>
    <row r="165">
      <c r="A165" s="16" t="str">
        <f>IFERROR(__xludf.DUMMYFUNCTION("""COMPUTED_VALUE"""),"Valkyrie")</f>
        <v>Valkyrie</v>
      </c>
      <c r="B165" s="16" t="str">
        <f>IFERROR(__xludf.DUMMYFUNCTION("""COMPUTED_VALUE"""),"Holmes")</f>
        <v>Holmes</v>
      </c>
      <c r="C165" s="16" t="str">
        <f>IFERROR(__xludf.DUMMYFUNCTION("""COMPUTED_VALUE"""),"Founder and CEO")</f>
        <v>Founder and CEO</v>
      </c>
      <c r="D165" s="16" t="str">
        <f>IFERROR(__xludf.DUMMYFUNCTION("""COMPUTED_VALUE"""),"Faura")</f>
        <v>Faura</v>
      </c>
      <c r="E165" s="16" t="str">
        <f>IFERROR(__xludf.DUMMYFUNCTION("""COMPUTED_VALUE"""),"Insurtech Vanguard")</f>
        <v>Insurtech Vanguard</v>
      </c>
      <c r="F165" s="16" t="str">
        <f>IFERROR(__xludf.DUMMYFUNCTION("""COMPUTED_VALUE"""),"valkyrie@faura.us")</f>
        <v>valkyrie@faura.us</v>
      </c>
      <c r="G165" s="16" t="str">
        <f>IFERROR(__xludf.DUMMYFUNCTION("""COMPUTED_VALUE"""),"Shannon Spies")</f>
        <v>Shannon Spies</v>
      </c>
      <c r="H165" s="16"/>
      <c r="I165" s="16" t="str">
        <f>IFERROR(__xludf.DUMMYFUNCTION("""COMPUTED_VALUE"""),"10376 Smokemont Ct")</f>
        <v>10376 Smokemont Ct</v>
      </c>
      <c r="J165" s="16"/>
      <c r="K165" s="16" t="str">
        <f>IFERROR(__xludf.DUMMYFUNCTION("""COMPUTED_VALUE"""),"Las Vegas")</f>
        <v>Las Vegas</v>
      </c>
      <c r="L165" s="16" t="str">
        <f>IFERROR(__xludf.DUMMYFUNCTION("""COMPUTED_VALUE"""),"Nevada")</f>
        <v>Nevada</v>
      </c>
      <c r="M165" s="16">
        <f>IFERROR(__xludf.DUMMYFUNCTION("""COMPUTED_VALUE"""),89129.0)</f>
        <v>89129</v>
      </c>
      <c r="N165" s="16" t="str">
        <f>IFERROR(__xludf.DUMMYFUNCTION("""COMPUTED_VALUE"""),"United States")</f>
        <v>United States</v>
      </c>
      <c r="O165" s="16" t="str">
        <f>IFERROR(__xludf.DUMMYFUNCTION("""COMPUTED_VALUE"""),"Fuel")</f>
        <v>Fuel</v>
      </c>
      <c r="P165" s="16" t="b">
        <f>IFERROR(__xludf.DUMMYFUNCTION("""COMPUTED_VALUE"""),TRUE)</f>
        <v>1</v>
      </c>
      <c r="Q165" s="16" t="b">
        <f>IFERROR(__xludf.DUMMYFUNCTION("""COMPUTED_VALUE"""),FALSE)</f>
        <v>0</v>
      </c>
      <c r="R165" s="16" t="str">
        <f>IFERROR(__xludf.DUMMYFUNCTION("""COMPUTED_VALUE"""),"")</f>
        <v/>
      </c>
      <c r="S165" s="16" t="str">
        <f>IFERROR(__xludf.DUMMYFUNCTION("""COMPUTED_VALUE"""),"Faura")</f>
        <v>Faura</v>
      </c>
      <c r="T165" s="16" t="str">
        <f>IFERROR(__xludf.DUMMYFUNCTION("""COMPUTED_VALUE"""),"Current Vanguard")</f>
        <v>Current Vanguard</v>
      </c>
      <c r="U165" s="16" t="b">
        <f>IFERROR(__xludf.DUMMYFUNCTION("""COMPUTED_VALUE"""),FALSE)</f>
        <v>0</v>
      </c>
      <c r="V165" s="16"/>
      <c r="W165" s="16"/>
      <c r="X165" s="16"/>
    </row>
    <row r="166">
      <c r="A166" s="16" t="str">
        <f>IFERROR(__xludf.DUMMYFUNCTION("""COMPUTED_VALUE"""),"Peter")</f>
        <v>Peter</v>
      </c>
      <c r="B166" s="16" t="str">
        <f>IFERROR(__xludf.DUMMYFUNCTION("""COMPUTED_VALUE"""),"Dun")</f>
        <v>Dun</v>
      </c>
      <c r="C166" s="16" t="str">
        <f>IFERROR(__xludf.DUMMYFUNCTION("""COMPUTED_VALUE"""),"CEO")</f>
        <v>CEO</v>
      </c>
      <c r="D166" s="16" t="str">
        <f>IFERROR(__xludf.DUMMYFUNCTION("""COMPUTED_VALUE"""),"Feathery")</f>
        <v>Feathery</v>
      </c>
      <c r="E166" s="16" t="str">
        <f>IFERROR(__xludf.DUMMYFUNCTION("""COMPUTED_VALUE"""),"Insurtech Vanguard")</f>
        <v>Insurtech Vanguard</v>
      </c>
      <c r="F166" s="16" t="str">
        <f>IFERROR(__xludf.DUMMYFUNCTION("""COMPUTED_VALUE"""),"peter@feathery.io")</f>
        <v>peter@feathery.io</v>
      </c>
      <c r="G166" s="16" t="str">
        <f>IFERROR(__xludf.DUMMYFUNCTION("""COMPUTED_VALUE"""),"Shannon Spies")</f>
        <v>Shannon Spies</v>
      </c>
      <c r="H166" s="16"/>
      <c r="I166" s="16"/>
      <c r="J166" s="16"/>
      <c r="K166" s="16"/>
      <c r="L166" s="16"/>
      <c r="M166" s="16"/>
      <c r="N166" s="16" t="str">
        <f>IFERROR(__xludf.DUMMYFUNCTION("""COMPUTED_VALUE"""),"United States")</f>
        <v>United States</v>
      </c>
      <c r="O166" s="16"/>
      <c r="P166" s="16" t="b">
        <f>IFERROR(__xludf.DUMMYFUNCTION("""COMPUTED_VALUE"""),TRUE)</f>
        <v>1</v>
      </c>
      <c r="Q166" s="16" t="b">
        <f>IFERROR(__xludf.DUMMYFUNCTION("""COMPUTED_VALUE"""),FALSE)</f>
        <v>0</v>
      </c>
      <c r="R166" s="16" t="str">
        <f>IFERROR(__xludf.DUMMYFUNCTION("""COMPUTED_VALUE"""),"Support, Technical")</f>
        <v>Support, Technical</v>
      </c>
      <c r="S166" s="16" t="str">
        <f>IFERROR(__xludf.DUMMYFUNCTION("""COMPUTED_VALUE"""),"Feathery")</f>
        <v>Feathery</v>
      </c>
      <c r="T166" s="16" t="str">
        <f>IFERROR(__xludf.DUMMYFUNCTION("""COMPUTED_VALUE"""),"Current Vanguard")</f>
        <v>Current Vanguard</v>
      </c>
      <c r="U166" s="16" t="b">
        <f>IFERROR(__xludf.DUMMYFUNCTION("""COMPUTED_VALUE"""),FALSE)</f>
        <v>0</v>
      </c>
      <c r="V166" s="16"/>
      <c r="W166" s="16"/>
      <c r="X166" s="16"/>
    </row>
    <row r="167">
      <c r="A167" s="16" t="str">
        <f>IFERROR(__xludf.DUMMYFUNCTION("""COMPUTED_VALUE"""),"Zack")</f>
        <v>Zack</v>
      </c>
      <c r="B167" s="16" t="str">
        <f>IFERROR(__xludf.DUMMYFUNCTION("""COMPUTED_VALUE"""),"Khan")</f>
        <v>Khan</v>
      </c>
      <c r="C167" s="16" t="str">
        <f>IFERROR(__xludf.DUMMYFUNCTION("""COMPUTED_VALUE"""),"Cofounder")</f>
        <v>Cofounder</v>
      </c>
      <c r="D167" s="16" t="str">
        <f>IFERROR(__xludf.DUMMYFUNCTION("""COMPUTED_VALUE"""),"Feathery")</f>
        <v>Feathery</v>
      </c>
      <c r="E167" s="16" t="str">
        <f>IFERROR(__xludf.DUMMYFUNCTION("""COMPUTED_VALUE"""),"Insurtech Vanguard")</f>
        <v>Insurtech Vanguard</v>
      </c>
      <c r="F167" s="16" t="str">
        <f>IFERROR(__xludf.DUMMYFUNCTION("""COMPUTED_VALUE"""),"zack@feathery.io")</f>
        <v>zack@feathery.io</v>
      </c>
      <c r="G167" s="16" t="str">
        <f>IFERROR(__xludf.DUMMYFUNCTION("""COMPUTED_VALUE"""),"Shannon Spies")</f>
        <v>Shannon Spies</v>
      </c>
      <c r="H167" s="16"/>
      <c r="I167" s="16" t="str">
        <f>IFERROR(__xludf.DUMMYFUNCTION("""COMPUTED_VALUE"""),"2211 Mission Street")</f>
        <v>2211 Mission Street</v>
      </c>
      <c r="J167" s="16"/>
      <c r="K167" s="16" t="str">
        <f>IFERROR(__xludf.DUMMYFUNCTION("""COMPUTED_VALUE"""),"San Francisco")</f>
        <v>San Francisco</v>
      </c>
      <c r="L167" s="16" t="str">
        <f>IFERROR(__xludf.DUMMYFUNCTION("""COMPUTED_VALUE"""),"CALIFORNIA")</f>
        <v>CALIFORNIA</v>
      </c>
      <c r="M167" s="16">
        <f>IFERROR(__xludf.DUMMYFUNCTION("""COMPUTED_VALUE"""),94110.0)</f>
        <v>94110</v>
      </c>
      <c r="N167" s="16" t="str">
        <f>IFERROR(__xludf.DUMMYFUNCTION("""COMPUTED_VALUE"""),"United States")</f>
        <v>United States</v>
      </c>
      <c r="O167" s="16"/>
      <c r="P167" s="16" t="b">
        <f>IFERROR(__xludf.DUMMYFUNCTION("""COMPUTED_VALUE"""),TRUE)</f>
        <v>1</v>
      </c>
      <c r="Q167" s="16" t="b">
        <f>IFERROR(__xludf.DUMMYFUNCTION("""COMPUTED_VALUE"""),FALSE)</f>
        <v>0</v>
      </c>
      <c r="R167" s="16" t="str">
        <f>IFERROR(__xludf.DUMMYFUNCTION("""COMPUTED_VALUE"""),"Support, Technical")</f>
        <v>Support, Technical</v>
      </c>
      <c r="S167" s="16" t="str">
        <f>IFERROR(__xludf.DUMMYFUNCTION("""COMPUTED_VALUE"""),"Feathery")</f>
        <v>Feathery</v>
      </c>
      <c r="T167" s="16" t="str">
        <f>IFERROR(__xludf.DUMMYFUNCTION("""COMPUTED_VALUE"""),"Current Vanguard")</f>
        <v>Current Vanguard</v>
      </c>
      <c r="U167" s="16" t="b">
        <f>IFERROR(__xludf.DUMMYFUNCTION("""COMPUTED_VALUE"""),FALSE)</f>
        <v>0</v>
      </c>
      <c r="V167" s="16"/>
      <c r="W167" s="16"/>
      <c r="X167" s="16"/>
    </row>
    <row r="168">
      <c r="A168" s="16" t="str">
        <f>IFERROR(__xludf.DUMMYFUNCTION("""COMPUTED_VALUE"""),"Kate")</f>
        <v>Kate</v>
      </c>
      <c r="B168" s="16" t="str">
        <f>IFERROR(__xludf.DUMMYFUNCTION("""COMPUTED_VALUE"""),"Stillwell")</f>
        <v>Stillwell</v>
      </c>
      <c r="C168" s="16" t="str">
        <f>IFERROR(__xludf.DUMMYFUNCTION("""COMPUTED_VALUE"""),"Co-founder")</f>
        <v>Co-founder</v>
      </c>
      <c r="D168" s="16" t="str">
        <f>IFERROR(__xludf.DUMMYFUNCTION("""COMPUTED_VALUE"""),"FireBreak Risk")</f>
        <v>FireBreak Risk</v>
      </c>
      <c r="E168" s="16" t="str">
        <f>IFERROR(__xludf.DUMMYFUNCTION("""COMPUTED_VALUE"""),"Insurtech Vanguard")</f>
        <v>Insurtech Vanguard</v>
      </c>
      <c r="F168" s="16" t="str">
        <f>IFERROR(__xludf.DUMMYFUNCTION("""COMPUTED_VALUE"""),"kate@firebreakrisk.com")</f>
        <v>kate@firebreakrisk.com</v>
      </c>
      <c r="G168" s="16" t="str">
        <f>IFERROR(__xludf.DUMMYFUNCTION("""COMPUTED_VALUE"""),"Shannon Spies")</f>
        <v>Shannon Spies</v>
      </c>
      <c r="H168" s="16"/>
      <c r="I168" s="16" t="str">
        <f>IFERROR(__xludf.DUMMYFUNCTION("""COMPUTED_VALUE"""),"344 Thomas L Berkley Way")</f>
        <v>344 Thomas L Berkley Way</v>
      </c>
      <c r="J168" s="16"/>
      <c r="K168" s="16" t="str">
        <f>IFERROR(__xludf.DUMMYFUNCTION("""COMPUTED_VALUE"""),"Oakland")</f>
        <v>Oakland</v>
      </c>
      <c r="L168" s="16" t="str">
        <f>IFERROR(__xludf.DUMMYFUNCTION("""COMPUTED_VALUE"""),"California")</f>
        <v>California</v>
      </c>
      <c r="M168" s="16">
        <f>IFERROR(__xludf.DUMMYFUNCTION("""COMPUTED_VALUE"""),94612.0)</f>
        <v>94612</v>
      </c>
      <c r="N168" s="16" t="str">
        <f>IFERROR(__xludf.DUMMYFUNCTION("""COMPUTED_VALUE"""),"United States")</f>
        <v>United States</v>
      </c>
      <c r="O168" s="16" t="str">
        <f>IFERROR(__xludf.DUMMYFUNCTION("""COMPUTED_VALUE"""),"Fuel")</f>
        <v>Fuel</v>
      </c>
      <c r="P168" s="16" t="b">
        <f>IFERROR(__xludf.DUMMYFUNCTION("""COMPUTED_VALUE"""),TRUE)</f>
        <v>1</v>
      </c>
      <c r="Q168" s="16" t="b">
        <f>IFERROR(__xludf.DUMMYFUNCTION("""COMPUTED_VALUE"""),FALSE)</f>
        <v>0</v>
      </c>
      <c r="R168" s="16" t="str">
        <f>IFERROR(__xludf.DUMMYFUNCTION("""COMPUTED_VALUE"""),"Admin, Business, Events, Legal / Contracts, Marketing, Professional Services / Consulting, Project / Program Management, Sales, Support, Technical, Training, Main Billing Contact, Billing Contact  LMS Training Fees, Training Coordinator")</f>
        <v>Admin, Business, Events, Legal / Contracts, Marketing, Professional Services / Consulting, Project / Program Management, Sales, Support, Technical, Training, Main Billing Contact, Billing Contact  LMS Training Fees, Training Coordinator</v>
      </c>
      <c r="S168" s="16" t="str">
        <f>IFERROR(__xludf.DUMMYFUNCTION("""COMPUTED_VALUE"""),"Firebreak Risk")</f>
        <v>Firebreak Risk</v>
      </c>
      <c r="T168" s="16" t="str">
        <f>IFERROR(__xludf.DUMMYFUNCTION("""COMPUTED_VALUE"""),"Current Vanguard")</f>
        <v>Current Vanguard</v>
      </c>
      <c r="U168" s="16" t="b">
        <f>IFERROR(__xludf.DUMMYFUNCTION("""COMPUTED_VALUE"""),FALSE)</f>
        <v>0</v>
      </c>
      <c r="V168" s="16"/>
      <c r="W168" s="16"/>
      <c r="X168" s="16"/>
    </row>
    <row r="169">
      <c r="A169" s="16" t="str">
        <f>IFERROR(__xludf.DUMMYFUNCTION("""COMPUTED_VALUE"""),"Hubert")</f>
        <v>Hubert</v>
      </c>
      <c r="B169" s="16" t="str">
        <f>IFERROR(__xludf.DUMMYFUNCTION("""COMPUTED_VALUE"""),"So")</f>
        <v>So</v>
      </c>
      <c r="C169" s="16" t="str">
        <f>IFERROR(__xludf.DUMMYFUNCTION("""COMPUTED_VALUE"""),"Vice President Finance")</f>
        <v>Vice President Finance</v>
      </c>
      <c r="D169" s="16" t="str">
        <f>IFERROR(__xludf.DUMMYFUNCTION("""COMPUTED_VALUE"""),"Fix Network")</f>
        <v>Fix Network</v>
      </c>
      <c r="E169" s="16" t="str">
        <f>IFERROR(__xludf.DUMMYFUNCTION("""COMPUTED_VALUE"""),"Growth")</f>
        <v>Growth</v>
      </c>
      <c r="F169" s="16" t="str">
        <f>IFERROR(__xludf.DUMMYFUNCTION("""COMPUTED_VALUE"""),"hso@fixnetwork.com")</f>
        <v>hso@fixnetwork.com</v>
      </c>
      <c r="G169" s="16" t="str">
        <f>IFERROR(__xludf.DUMMYFUNCTION("""COMPUTED_VALUE"""),"Aaron Shaw")</f>
        <v>Aaron Shaw</v>
      </c>
      <c r="H169" s="16" t="str">
        <f>IFERROR(__xludf.DUMMYFUNCTION("""COMPUTED_VALUE"""),"PartnerConnect - Technology")</f>
        <v>PartnerConnect - Technology</v>
      </c>
      <c r="I169" s="16" t="str">
        <f>IFERROR(__xludf.DUMMYFUNCTION("""COMPUTED_VALUE"""),"8658 Commerce Court")</f>
        <v>8658 Commerce Court</v>
      </c>
      <c r="J169" s="16"/>
      <c r="K169" s="16" t="str">
        <f>IFERROR(__xludf.DUMMYFUNCTION("""COMPUTED_VALUE"""),"Burnaby")</f>
        <v>Burnaby</v>
      </c>
      <c r="L169" s="16" t="str">
        <f>IFERROR(__xludf.DUMMYFUNCTION("""COMPUTED_VALUE"""),"BC")</f>
        <v>BC</v>
      </c>
      <c r="M169" s="16" t="str">
        <f>IFERROR(__xludf.DUMMYFUNCTION("""COMPUTED_VALUE"""),"V5A4N6")</f>
        <v>V5A4N6</v>
      </c>
      <c r="N169" s="16" t="str">
        <f>IFERROR(__xludf.DUMMYFUNCTION("""COMPUTED_VALUE"""),"Canada")</f>
        <v>Canada</v>
      </c>
      <c r="O169" s="16" t="str">
        <f>IFERROR(__xludf.DUMMYFUNCTION("""COMPUTED_VALUE"""),"Medium")</f>
        <v>Medium</v>
      </c>
      <c r="P169" s="16" t="b">
        <f>IFERROR(__xludf.DUMMYFUNCTION("""COMPUTED_VALUE"""),TRUE)</f>
        <v>1</v>
      </c>
      <c r="Q169" s="16" t="b">
        <f>IFERROR(__xludf.DUMMYFUNCTION("""COMPUTED_VALUE"""),TRUE)</f>
        <v>1</v>
      </c>
      <c r="R169" s="16" t="str">
        <f>IFERROR(__xludf.DUMMYFUNCTION("""COMPUTED_VALUE"""),"Admin, Business, Client Partner / Partner Account Executive")</f>
        <v>Admin, Business, Client Partner / Partner Account Executive</v>
      </c>
      <c r="S169" s="16" t="str">
        <f>IFERROR(__xludf.DUMMYFUNCTION("""COMPUTED_VALUE"""),"TAG Network")</f>
        <v>TAG Network</v>
      </c>
      <c r="T169" s="16" t="str">
        <f>IFERROR(__xludf.DUMMYFUNCTION("""COMPUTED_VALUE"""),"Current Partner")</f>
        <v>Current Partner</v>
      </c>
      <c r="U169" s="16" t="b">
        <f>IFERROR(__xludf.DUMMYFUNCTION("""COMPUTED_VALUE"""),FALSE)</f>
        <v>0</v>
      </c>
      <c r="V169" s="16"/>
      <c r="W169" s="16"/>
      <c r="X169" s="16"/>
    </row>
    <row r="170">
      <c r="A170" s="16" t="str">
        <f>IFERROR(__xludf.DUMMYFUNCTION("""COMPUTED_VALUE"""),"Jimmy")</f>
        <v>Jimmy</v>
      </c>
      <c r="B170" s="16" t="str">
        <f>IFERROR(__xludf.DUMMYFUNCTION("""COMPUTED_VALUE"""),"Padia")</f>
        <v>Padia</v>
      </c>
      <c r="C170" s="16" t="str">
        <f>IFERROR(__xludf.DUMMYFUNCTION("""COMPUTED_VALUE"""),"CEO &amp; Founder")</f>
        <v>CEO &amp; Founder</v>
      </c>
      <c r="D170" s="16" t="str">
        <f>IFERROR(__xludf.DUMMYFUNCTION("""COMPUTED_VALUE"""),"Floatbot, Inc.")</f>
        <v>Floatbot, Inc.</v>
      </c>
      <c r="E170" s="16" t="str">
        <f>IFERROR(__xludf.DUMMYFUNCTION("""COMPUTED_VALUE"""),"Growth")</f>
        <v>Growth</v>
      </c>
      <c r="F170" s="16" t="str">
        <f>IFERROR(__xludf.DUMMYFUNCTION("""COMPUTED_VALUE"""),"jimmy.padia@floatbot.ai")</f>
        <v>jimmy.padia@floatbot.ai</v>
      </c>
      <c r="G170" s="16" t="str">
        <f>IFERROR(__xludf.DUMMYFUNCTION("""COMPUTED_VALUE"""),"Shannon Spies")</f>
        <v>Shannon Spies</v>
      </c>
      <c r="H170" s="16" t="str">
        <f>IFERROR(__xludf.DUMMYFUNCTION("""COMPUTED_VALUE"""),"PartnerConnect - Technology")</f>
        <v>PartnerConnect - Technology</v>
      </c>
      <c r="I170" s="16" t="str">
        <f>IFERROR(__xludf.DUMMYFUNCTION("""COMPUTED_VALUE"""),"612, Picasso Ter")</f>
        <v>612, Picasso Ter</v>
      </c>
      <c r="J170" s="16"/>
      <c r="K170" s="16" t="str">
        <f>IFERROR(__xludf.DUMMYFUNCTION("""COMPUTED_VALUE"""),"Sunnyvale")</f>
        <v>Sunnyvale</v>
      </c>
      <c r="L170" s="16" t="str">
        <f>IFERROR(__xludf.DUMMYFUNCTION("""COMPUTED_VALUE"""),"California")</f>
        <v>California</v>
      </c>
      <c r="M170" s="16">
        <f>IFERROR(__xludf.DUMMYFUNCTION("""COMPUTED_VALUE"""),94087.0)</f>
        <v>94087</v>
      </c>
      <c r="N170" s="16" t="str">
        <f>IFERROR(__xludf.DUMMYFUNCTION("""COMPUTED_VALUE"""),"United States")</f>
        <v>United States</v>
      </c>
      <c r="O170" s="16" t="str">
        <f>IFERROR(__xludf.DUMMYFUNCTION("""COMPUTED_VALUE"""),"Medium")</f>
        <v>Medium</v>
      </c>
      <c r="P170" s="16" t="b">
        <f>IFERROR(__xludf.DUMMYFUNCTION("""COMPUTED_VALUE"""),TRUE)</f>
        <v>1</v>
      </c>
      <c r="Q170" s="16" t="b">
        <f>IFERROR(__xludf.DUMMYFUNCTION("""COMPUTED_VALUE"""),FALSE)</f>
        <v>0</v>
      </c>
      <c r="R170" s="16" t="str">
        <f>IFERROR(__xludf.DUMMYFUNCTION("""COMPUTED_VALUE"""),"Admin, Business, Events, Legal / Contracts, Marketing, Support, Technical, Training, NPE User, Sales Solution Architect, Delivery Lead / BA, Client Partner / Partner Account Executive")</f>
        <v>Admin, Business, Events, Legal / Contracts, Marketing, Support, Technical, Training, NPE User, Sales Solution Architect, Delivery Lead / BA, Client Partner / Partner Account Executive</v>
      </c>
      <c r="S170" s="16" t="str">
        <f>IFERROR(__xludf.DUMMYFUNCTION("""COMPUTED_VALUE"""),"Floatbot")</f>
        <v>Floatbot</v>
      </c>
      <c r="T170" s="16" t="str">
        <f>IFERROR(__xludf.DUMMYFUNCTION("""COMPUTED_VALUE"""),"Current Partner")</f>
        <v>Current Partner</v>
      </c>
      <c r="U170" s="16" t="b">
        <f>IFERROR(__xludf.DUMMYFUNCTION("""COMPUTED_VALUE"""),TRUE)</f>
        <v>1</v>
      </c>
      <c r="V170" s="16"/>
      <c r="W170" s="16"/>
      <c r="X170" s="16"/>
    </row>
    <row r="171">
      <c r="A171" s="16" t="str">
        <f>IFERROR(__xludf.DUMMYFUNCTION("""COMPUTED_VALUE"""),"Bas")</f>
        <v>Bas</v>
      </c>
      <c r="B171" s="16" t="str">
        <f>IFERROR(__xludf.DUMMYFUNCTION("""COMPUTED_VALUE"""),"de Graaf")</f>
        <v>de Graaf</v>
      </c>
      <c r="C171" s="16" t="str">
        <f>IFERROR(__xludf.DUMMYFUNCTION("""COMPUTED_VALUE"""),"Partner Manager")</f>
        <v>Partner Manager</v>
      </c>
      <c r="D171" s="16" t="str">
        <f>IFERROR(__xludf.DUMMYFUNCTION("""COMPUTED_VALUE"""),"FRISS")</f>
        <v>FRISS</v>
      </c>
      <c r="E171" s="16" t="str">
        <f>IFERROR(__xludf.DUMMYFUNCTION("""COMPUTED_VALUE"""),"Advantage")</f>
        <v>Advantage</v>
      </c>
      <c r="F171" s="16" t="str">
        <f>IFERROR(__xludf.DUMMYFUNCTION("""COMPUTED_VALUE"""),"bas.de.graaf@friss.com")</f>
        <v>bas.de.graaf@friss.com</v>
      </c>
      <c r="G171" s="16" t="str">
        <f>IFERROR(__xludf.DUMMYFUNCTION("""COMPUTED_VALUE"""),"Eric Apse")</f>
        <v>Eric Apse</v>
      </c>
      <c r="H171" s="16" t="str">
        <f>IFERROR(__xludf.DUMMYFUNCTION("""COMPUTED_VALUE"""),"PartnerConnect - Technology")</f>
        <v>PartnerConnect - Technology</v>
      </c>
      <c r="I171" s="16" t="str">
        <f>IFERROR(__xludf.DUMMYFUNCTION("""COMPUTED_VALUE"""),"Orteliuslaan 15")</f>
        <v>Orteliuslaan 15</v>
      </c>
      <c r="J171" s="16"/>
      <c r="K171" s="16" t="str">
        <f>IFERROR(__xludf.DUMMYFUNCTION("""COMPUTED_VALUE"""),"Utrecht")</f>
        <v>Utrecht</v>
      </c>
      <c r="L171" s="16" t="str">
        <f>IFERROR(__xludf.DUMMYFUNCTION("""COMPUTED_VALUE"""),"UTRECHT")</f>
        <v>UTRECHT</v>
      </c>
      <c r="M171" s="16" t="str">
        <f>IFERROR(__xludf.DUMMYFUNCTION("""COMPUTED_VALUE"""),"3538 BA")</f>
        <v>3538 BA</v>
      </c>
      <c r="N171" s="16" t="str">
        <f>IFERROR(__xludf.DUMMYFUNCTION("""COMPUTED_VALUE"""),"Netherlands")</f>
        <v>Netherlands</v>
      </c>
      <c r="O171" s="16" t="str">
        <f>IFERROR(__xludf.DUMMYFUNCTION("""COMPUTED_VALUE"""),"High")</f>
        <v>High</v>
      </c>
      <c r="P171" s="16" t="b">
        <f>IFERROR(__xludf.DUMMYFUNCTION("""COMPUTED_VALUE"""),TRUE)</f>
        <v>1</v>
      </c>
      <c r="Q171" s="16" t="b">
        <f>IFERROR(__xludf.DUMMYFUNCTION("""COMPUTED_VALUE"""),FALSE)</f>
        <v>0</v>
      </c>
      <c r="R171" s="16" t="str">
        <f>IFERROR(__xludf.DUMMYFUNCTION("""COMPUTED_VALUE"""),"Admin, Business, Marketing, Technical")</f>
        <v>Admin, Business, Marketing, Technical</v>
      </c>
      <c r="S171" s="16" t="str">
        <f>IFERROR(__xludf.DUMMYFUNCTION("""COMPUTED_VALUE"""),"Friss")</f>
        <v>Friss</v>
      </c>
      <c r="T171" s="16" t="str">
        <f>IFERROR(__xludf.DUMMYFUNCTION("""COMPUTED_VALUE"""),"Current Partner")</f>
        <v>Current Partner</v>
      </c>
      <c r="U171" s="16" t="b">
        <f>IFERROR(__xludf.DUMMYFUNCTION("""COMPUTED_VALUE"""),FALSE)</f>
        <v>0</v>
      </c>
      <c r="V171" s="16"/>
      <c r="W171" s="16"/>
      <c r="X171" s="16"/>
    </row>
    <row r="172">
      <c r="A172" s="16" t="str">
        <f>IFERROR(__xludf.DUMMYFUNCTION("""COMPUTED_VALUE"""),"Christian")</f>
        <v>Christian</v>
      </c>
      <c r="B172" s="16" t="str">
        <f>IFERROR(__xludf.DUMMYFUNCTION("""COMPUTED_VALUE"""),"van Leeuwen")</f>
        <v>van Leeuwen</v>
      </c>
      <c r="C172" s="16" t="str">
        <f>IFERROR(__xludf.DUMMYFUNCTION("""COMPUTED_VALUE"""),"CSO")</f>
        <v>CSO</v>
      </c>
      <c r="D172" s="16" t="str">
        <f>IFERROR(__xludf.DUMMYFUNCTION("""COMPUTED_VALUE"""),"FRISS")</f>
        <v>FRISS</v>
      </c>
      <c r="E172" s="16" t="str">
        <f>IFERROR(__xludf.DUMMYFUNCTION("""COMPUTED_VALUE"""),"Advantage")</f>
        <v>Advantage</v>
      </c>
      <c r="F172" s="16" t="str">
        <f>IFERROR(__xludf.DUMMYFUNCTION("""COMPUTED_VALUE"""),"christian.van.leeuwen@friss.com")</f>
        <v>christian.van.leeuwen@friss.com</v>
      </c>
      <c r="G172" s="16" t="str">
        <f>IFERROR(__xludf.DUMMYFUNCTION("""COMPUTED_VALUE"""),"Eric Apse")</f>
        <v>Eric Apse</v>
      </c>
      <c r="H172" s="16" t="str">
        <f>IFERROR(__xludf.DUMMYFUNCTION("""COMPUTED_VALUE"""),"PartnerConnect - Technology")</f>
        <v>PartnerConnect - Technology</v>
      </c>
      <c r="I172" s="16"/>
      <c r="J172" s="16"/>
      <c r="K172" s="16"/>
      <c r="L172" s="16"/>
      <c r="M172" s="16"/>
      <c r="N172" s="16" t="str">
        <f>IFERROR(__xludf.DUMMYFUNCTION("""COMPUTED_VALUE"""),"Netherlands")</f>
        <v>Netherlands</v>
      </c>
      <c r="O172" s="16" t="str">
        <f>IFERROR(__xludf.DUMMYFUNCTION("""COMPUTED_VALUE"""),"High")</f>
        <v>High</v>
      </c>
      <c r="P172" s="16" t="b">
        <f>IFERROR(__xludf.DUMMYFUNCTION("""COMPUTED_VALUE"""),TRUE)</f>
        <v>1</v>
      </c>
      <c r="Q172" s="16" t="b">
        <f>IFERROR(__xludf.DUMMYFUNCTION("""COMPUTED_VALUE"""),FALSE)</f>
        <v>0</v>
      </c>
      <c r="R172" s="16" t="str">
        <f>IFERROR(__xludf.DUMMYFUNCTION("""COMPUTED_VALUE"""),"Business, Marketing")</f>
        <v>Business, Marketing</v>
      </c>
      <c r="S172" s="16" t="str">
        <f>IFERROR(__xludf.DUMMYFUNCTION("""COMPUTED_VALUE"""),"Friss")</f>
        <v>Friss</v>
      </c>
      <c r="T172" s="16" t="str">
        <f>IFERROR(__xludf.DUMMYFUNCTION("""COMPUTED_VALUE"""),"Current Partner")</f>
        <v>Current Partner</v>
      </c>
      <c r="U172" s="16" t="b">
        <f>IFERROR(__xludf.DUMMYFUNCTION("""COMPUTED_VALUE"""),FALSE)</f>
        <v>0</v>
      </c>
      <c r="V172" s="16"/>
      <c r="W172" s="16"/>
      <c r="X172" s="16"/>
    </row>
    <row r="173">
      <c r="A173" s="16" t="str">
        <f>IFERROR(__xludf.DUMMYFUNCTION("""COMPUTED_VALUE"""),"Waldo")</f>
        <v>Waldo</v>
      </c>
      <c r="B173" s="16" t="str">
        <f>IFERROR(__xludf.DUMMYFUNCTION("""COMPUTED_VALUE"""),"Kloor")</f>
        <v>Kloor</v>
      </c>
      <c r="C173" s="16"/>
      <c r="D173" s="16" t="str">
        <f>IFERROR(__xludf.DUMMYFUNCTION("""COMPUTED_VALUE"""),"FRISS")</f>
        <v>FRISS</v>
      </c>
      <c r="E173" s="16" t="str">
        <f>IFERROR(__xludf.DUMMYFUNCTION("""COMPUTED_VALUE"""),"Advantage")</f>
        <v>Advantage</v>
      </c>
      <c r="F173" s="16" t="str">
        <f>IFERROR(__xludf.DUMMYFUNCTION("""COMPUTED_VALUE"""),"waldo.kloor@friss.com")</f>
        <v>waldo.kloor@friss.com</v>
      </c>
      <c r="G173" s="16" t="str">
        <f>IFERROR(__xludf.DUMMYFUNCTION("""COMPUTED_VALUE"""),"Eric Apse")</f>
        <v>Eric Apse</v>
      </c>
      <c r="H173" s="16" t="str">
        <f>IFERROR(__xludf.DUMMYFUNCTION("""COMPUTED_VALUE"""),"PartnerConnect - Technology")</f>
        <v>PartnerConnect - Technology</v>
      </c>
      <c r="I173" s="16" t="str">
        <f>IFERROR(__xludf.DUMMYFUNCTION("""COMPUTED_VALUE"""),"Orteliuslaan 15")</f>
        <v>Orteliuslaan 15</v>
      </c>
      <c r="J173" s="16"/>
      <c r="K173" s="16" t="str">
        <f>IFERROR(__xludf.DUMMYFUNCTION("""COMPUTED_VALUE"""),"Utrecht")</f>
        <v>Utrecht</v>
      </c>
      <c r="L173" s="16" t="str">
        <f>IFERROR(__xludf.DUMMYFUNCTION("""COMPUTED_VALUE"""),"UTRECHT")</f>
        <v>UTRECHT</v>
      </c>
      <c r="M173" s="16" t="str">
        <f>IFERROR(__xludf.DUMMYFUNCTION("""COMPUTED_VALUE"""),"3528 BA")</f>
        <v>3528 BA</v>
      </c>
      <c r="N173" s="16" t="str">
        <f>IFERROR(__xludf.DUMMYFUNCTION("""COMPUTED_VALUE"""),"Netherlands")</f>
        <v>Netherlands</v>
      </c>
      <c r="O173" s="16" t="str">
        <f>IFERROR(__xludf.DUMMYFUNCTION("""COMPUTED_VALUE"""),"High")</f>
        <v>High</v>
      </c>
      <c r="P173" s="16" t="b">
        <f>IFERROR(__xludf.DUMMYFUNCTION("""COMPUTED_VALUE"""),FALSE)</f>
        <v>0</v>
      </c>
      <c r="Q173" s="16" t="b">
        <f>IFERROR(__xludf.DUMMYFUNCTION("""COMPUTED_VALUE"""),TRUE)</f>
        <v>1</v>
      </c>
      <c r="R173" s="16" t="str">
        <f>IFERROR(__xludf.DUMMYFUNCTION("""COMPUTED_VALUE"""),"Support, Technical")</f>
        <v>Support, Technical</v>
      </c>
      <c r="S173" s="16" t="str">
        <f>IFERROR(__xludf.DUMMYFUNCTION("""COMPUTED_VALUE"""),"Friss")</f>
        <v>Friss</v>
      </c>
      <c r="T173" s="16" t="str">
        <f>IFERROR(__xludf.DUMMYFUNCTION("""COMPUTED_VALUE"""),"Current Partner")</f>
        <v>Current Partner</v>
      </c>
      <c r="U173" s="16" t="b">
        <f>IFERROR(__xludf.DUMMYFUNCTION("""COMPUTED_VALUE"""),FALSE)</f>
        <v>0</v>
      </c>
      <c r="V173" s="16"/>
      <c r="W173" s="16"/>
      <c r="X173" s="16"/>
    </row>
    <row r="174">
      <c r="A174" s="16" t="str">
        <f>IFERROR(__xludf.DUMMYFUNCTION("""COMPUTED_VALUE"""),"Naomi")</f>
        <v>Naomi</v>
      </c>
      <c r="B174" s="16" t="str">
        <f>IFERROR(__xludf.DUMMYFUNCTION("""COMPUTED_VALUE"""),"David")</f>
        <v>David</v>
      </c>
      <c r="C174" s="16" t="str">
        <f>IFERROR(__xludf.DUMMYFUNCTION("""COMPUTED_VALUE"""),"Event &amp; Community Manager")</f>
        <v>Event &amp; Community Manager</v>
      </c>
      <c r="D174" s="16" t="str">
        <f>IFERROR(__xludf.DUMMYFUNCTION("""COMPUTED_VALUE"""),"FRISS")</f>
        <v>FRISS</v>
      </c>
      <c r="E174" s="16" t="str">
        <f>IFERROR(__xludf.DUMMYFUNCTION("""COMPUTED_VALUE"""),"Advantage")</f>
        <v>Advantage</v>
      </c>
      <c r="F174" s="16" t="str">
        <f>IFERROR(__xludf.DUMMYFUNCTION("""COMPUTED_VALUE"""),"naomi.david@friss.com")</f>
        <v>naomi.david@friss.com</v>
      </c>
      <c r="G174" s="16" t="str">
        <f>IFERROR(__xludf.DUMMYFUNCTION("""COMPUTED_VALUE"""),"Eric Apse")</f>
        <v>Eric Apse</v>
      </c>
      <c r="H174" s="16" t="str">
        <f>IFERROR(__xludf.DUMMYFUNCTION("""COMPUTED_VALUE"""),"PartnerConnect - Technology")</f>
        <v>PartnerConnect - Technology</v>
      </c>
      <c r="I174" s="16"/>
      <c r="J174" s="16"/>
      <c r="K174" s="16"/>
      <c r="L174" s="16"/>
      <c r="M174" s="16"/>
      <c r="N174" s="16" t="str">
        <f>IFERROR(__xludf.DUMMYFUNCTION("""COMPUTED_VALUE"""),"Netherlands")</f>
        <v>Netherlands</v>
      </c>
      <c r="O174" s="16" t="str">
        <f>IFERROR(__xludf.DUMMYFUNCTION("""COMPUTED_VALUE"""),"High")</f>
        <v>High</v>
      </c>
      <c r="P174" s="16" t="b">
        <f>IFERROR(__xludf.DUMMYFUNCTION("""COMPUTED_VALUE"""),FALSE)</f>
        <v>0</v>
      </c>
      <c r="Q174" s="16" t="b">
        <f>IFERROR(__xludf.DUMMYFUNCTION("""COMPUTED_VALUE"""),TRUE)</f>
        <v>1</v>
      </c>
      <c r="R174" s="16" t="str">
        <f>IFERROR(__xludf.DUMMYFUNCTION("""COMPUTED_VALUE"""),"Events, Marketing")</f>
        <v>Events, Marketing</v>
      </c>
      <c r="S174" s="16" t="str">
        <f>IFERROR(__xludf.DUMMYFUNCTION("""COMPUTED_VALUE"""),"Friss")</f>
        <v>Friss</v>
      </c>
      <c r="T174" s="16" t="str">
        <f>IFERROR(__xludf.DUMMYFUNCTION("""COMPUTED_VALUE"""),"Current Partner")</f>
        <v>Current Partner</v>
      </c>
      <c r="U174" s="16" t="b">
        <f>IFERROR(__xludf.DUMMYFUNCTION("""COMPUTED_VALUE"""),FALSE)</f>
        <v>0</v>
      </c>
      <c r="V174" s="16"/>
      <c r="W174" s="16"/>
      <c r="X174" s="16"/>
    </row>
    <row r="175">
      <c r="A175" s="16" t="str">
        <f>IFERROR(__xludf.DUMMYFUNCTION("""COMPUTED_VALUE"""),"Iain")</f>
        <v>Iain</v>
      </c>
      <c r="B175" s="16" t="str">
        <f>IFERROR(__xludf.DUMMYFUNCTION("""COMPUTED_VALUE"""),"Skelton")</f>
        <v>Skelton</v>
      </c>
      <c r="C175" s="16" t="str">
        <f>IFERROR(__xludf.DUMMYFUNCTION("""COMPUTED_VALUE"""),"Global Insurance Designer")</f>
        <v>Global Insurance Designer</v>
      </c>
      <c r="D175" s="16" t="str">
        <f>IFERROR(__xludf.DUMMYFUNCTION("""COMPUTED_VALUE"""),"Genesys Cloud Services, Inc.")</f>
        <v>Genesys Cloud Services, Inc.</v>
      </c>
      <c r="E175" s="16" t="str">
        <f>IFERROR(__xludf.DUMMYFUNCTION("""COMPUTED_VALUE"""),"Growth")</f>
        <v>Growth</v>
      </c>
      <c r="F175" s="16" t="str">
        <f>IFERROR(__xludf.DUMMYFUNCTION("""COMPUTED_VALUE"""),"iain.skelton@genesys.com")</f>
        <v>iain.skelton@genesys.com</v>
      </c>
      <c r="G175" s="16" t="str">
        <f>IFERROR(__xludf.DUMMYFUNCTION("""COMPUTED_VALUE"""),"Eric Apse")</f>
        <v>Eric Apse</v>
      </c>
      <c r="H175" s="16" t="str">
        <f>IFERROR(__xludf.DUMMYFUNCTION("""COMPUTED_VALUE"""),"PartnerConnect - Technology")</f>
        <v>PartnerConnect - Technology</v>
      </c>
      <c r="I175" s="16" t="str">
        <f>IFERROR(__xludf.DUMMYFUNCTION("""COMPUTED_VALUE"""),"65 rue Camille Desmoulins")</f>
        <v>65 rue Camille Desmoulins</v>
      </c>
      <c r="J175" s="16"/>
      <c r="K175" s="16" t="str">
        <f>IFERROR(__xludf.DUMMYFUNCTION("""COMPUTED_VALUE"""),"Paris")</f>
        <v>Paris</v>
      </c>
      <c r="L175" s="16" t="str">
        <f>IFERROR(__xludf.DUMMYFUNCTION("""COMPUTED_VALUE"""),"paris")</f>
        <v>paris</v>
      </c>
      <c r="M175" s="16">
        <f>IFERROR(__xludf.DUMMYFUNCTION("""COMPUTED_VALUE"""),92130.0)</f>
        <v>92130</v>
      </c>
      <c r="N175" s="16" t="str">
        <f>IFERROR(__xludf.DUMMYFUNCTION("""COMPUTED_VALUE"""),"France")</f>
        <v>France</v>
      </c>
      <c r="O175" s="16" t="str">
        <f>IFERROR(__xludf.DUMMYFUNCTION("""COMPUTED_VALUE"""),"Medium")</f>
        <v>Medium</v>
      </c>
      <c r="P175" s="16" t="b">
        <f>IFERROR(__xludf.DUMMYFUNCTION("""COMPUTED_VALUE"""),TRUE)</f>
        <v>1</v>
      </c>
      <c r="Q175" s="16" t="b">
        <f>IFERROR(__xludf.DUMMYFUNCTION("""COMPUTED_VALUE"""),FALSE)</f>
        <v>0</v>
      </c>
      <c r="R175" s="16" t="str">
        <f>IFERROR(__xludf.DUMMYFUNCTION("""COMPUTED_VALUE"""),"Admin, Business, Support, Technical")</f>
        <v>Admin, Business, Support, Technical</v>
      </c>
      <c r="S175" s="16" t="str">
        <f>IFERROR(__xludf.DUMMYFUNCTION("""COMPUTED_VALUE"""),"Genesys")</f>
        <v>Genesys</v>
      </c>
      <c r="T175" s="16" t="str">
        <f>IFERROR(__xludf.DUMMYFUNCTION("""COMPUTED_VALUE"""),"Current Partner")</f>
        <v>Current Partner</v>
      </c>
      <c r="U175" s="16" t="b">
        <f>IFERROR(__xludf.DUMMYFUNCTION("""COMPUTED_VALUE"""),FALSE)</f>
        <v>0</v>
      </c>
      <c r="V175" s="16"/>
      <c r="W175" s="16"/>
      <c r="X175" s="16"/>
    </row>
    <row r="176">
      <c r="A176" s="16" t="str">
        <f>IFERROR(__xludf.DUMMYFUNCTION("""COMPUTED_VALUE"""),"Tony")</f>
        <v>Tony</v>
      </c>
      <c r="B176" s="16" t="str">
        <f>IFERROR(__xludf.DUMMYFUNCTION("""COMPUTED_VALUE"""),"Alonzo")</f>
        <v>Alonzo</v>
      </c>
      <c r="C176" s="16" t="str">
        <f>IFERROR(__xludf.DUMMYFUNCTION("""COMPUTED_VALUE"""),"Insurance Problem Solver")</f>
        <v>Insurance Problem Solver</v>
      </c>
      <c r="D176" s="16" t="str">
        <f>IFERROR(__xludf.DUMMYFUNCTION("""COMPUTED_VALUE"""),"Genesys Cloud Services, Inc.")</f>
        <v>Genesys Cloud Services, Inc.</v>
      </c>
      <c r="E176" s="16" t="str">
        <f>IFERROR(__xludf.DUMMYFUNCTION("""COMPUTED_VALUE"""),"Growth")</f>
        <v>Growth</v>
      </c>
      <c r="F176" s="16" t="str">
        <f>IFERROR(__xludf.DUMMYFUNCTION("""COMPUTED_VALUE"""),"tony.alonzo@genesys.com")</f>
        <v>tony.alonzo@genesys.com</v>
      </c>
      <c r="G176" s="16" t="str">
        <f>IFERROR(__xludf.DUMMYFUNCTION("""COMPUTED_VALUE"""),"Eric Apse")</f>
        <v>Eric Apse</v>
      </c>
      <c r="H176" s="16" t="str">
        <f>IFERROR(__xludf.DUMMYFUNCTION("""COMPUTED_VALUE"""),"PartnerConnect - Technology")</f>
        <v>PartnerConnect - Technology</v>
      </c>
      <c r="I176" s="16" t="str">
        <f>IFERROR(__xludf.DUMMYFUNCTION("""COMPUTED_VALUE"""),"5769 Greystone Dr")</f>
        <v>5769 Greystone Dr</v>
      </c>
      <c r="J176" s="16"/>
      <c r="K176" s="16" t="str">
        <f>IFERROR(__xludf.DUMMYFUNCTION("""COMPUTED_VALUE"""),"Spring Hill")</f>
        <v>Spring Hill</v>
      </c>
      <c r="L176" s="16" t="str">
        <f>IFERROR(__xludf.DUMMYFUNCTION("""COMPUTED_VALUE"""),"Florida")</f>
        <v>Florida</v>
      </c>
      <c r="M176" s="16">
        <f>IFERROR(__xludf.DUMMYFUNCTION("""COMPUTED_VALUE"""),34609.0)</f>
        <v>34609</v>
      </c>
      <c r="N176" s="16" t="str">
        <f>IFERROR(__xludf.DUMMYFUNCTION("""COMPUTED_VALUE"""),"United States")</f>
        <v>United States</v>
      </c>
      <c r="O176" s="16" t="str">
        <f>IFERROR(__xludf.DUMMYFUNCTION("""COMPUTED_VALUE"""),"Medium")</f>
        <v>Medium</v>
      </c>
      <c r="P176" s="16" t="b">
        <f>IFERROR(__xludf.DUMMYFUNCTION("""COMPUTED_VALUE"""),TRUE)</f>
        <v>1</v>
      </c>
      <c r="Q176" s="16" t="b">
        <f>IFERROR(__xludf.DUMMYFUNCTION("""COMPUTED_VALUE"""),TRUE)</f>
        <v>1</v>
      </c>
      <c r="R176" s="16" t="str">
        <f>IFERROR(__xludf.DUMMYFUNCTION("""COMPUTED_VALUE"""),"Admin, Business, Support, Technical")</f>
        <v>Admin, Business, Support, Technical</v>
      </c>
      <c r="S176" s="16" t="str">
        <f>IFERROR(__xludf.DUMMYFUNCTION("""COMPUTED_VALUE"""),"Genesys")</f>
        <v>Genesys</v>
      </c>
      <c r="T176" s="16" t="str">
        <f>IFERROR(__xludf.DUMMYFUNCTION("""COMPUTED_VALUE"""),"Current Partner")</f>
        <v>Current Partner</v>
      </c>
      <c r="U176" s="16" t="b">
        <f>IFERROR(__xludf.DUMMYFUNCTION("""COMPUTED_VALUE"""),FALSE)</f>
        <v>0</v>
      </c>
      <c r="V176" s="16"/>
      <c r="W176" s="16"/>
      <c r="X176" s="16"/>
    </row>
    <row r="177">
      <c r="A177" s="16" t="str">
        <f>IFERROR(__xludf.DUMMYFUNCTION("""COMPUTED_VALUE"""),"Edmond")</f>
        <v>Edmond</v>
      </c>
      <c r="B177" s="16" t="str">
        <f>IFERROR(__xludf.DUMMYFUNCTION("""COMPUTED_VALUE"""),"Schneider")</f>
        <v>Schneider</v>
      </c>
      <c r="C177" s="16"/>
      <c r="D177" s="16" t="str">
        <f>IFERROR(__xludf.DUMMYFUNCTION("""COMPUTED_VALUE"""),"GENPACT UK LTD")</f>
        <v>GENPACT UK LTD</v>
      </c>
      <c r="E177" s="16" t="str">
        <f>IFERROR(__xludf.DUMMYFUNCTION("""COMPUTED_VALUE"""),"Growth")</f>
        <v>Growth</v>
      </c>
      <c r="F177" s="16" t="str">
        <f>IFERROR(__xludf.DUMMYFUNCTION("""COMPUTED_VALUE"""),"edmond.schneider@genpact.com")</f>
        <v>edmond.schneider@genpact.com</v>
      </c>
      <c r="G177" s="16" t="str">
        <f>IFERROR(__xludf.DUMMYFUNCTION("""COMPUTED_VALUE"""),"Aaron Shaw")</f>
        <v>Aaron Shaw</v>
      </c>
      <c r="H177" s="16" t="str">
        <f>IFERROR(__xludf.DUMMYFUNCTION("""COMPUTED_VALUE"""),"PartnerConnect - Technology")</f>
        <v>PartnerConnect - Technology</v>
      </c>
      <c r="I177" s="16" t="str">
        <f>IFERROR(__xludf.DUMMYFUNCTION("""COMPUTED_VALUE"""),"5 Merchant Square, 5th Floor")</f>
        <v>5 Merchant Square, 5th Floor</v>
      </c>
      <c r="J177" s="16"/>
      <c r="K177" s="16" t="str">
        <f>IFERROR(__xludf.DUMMYFUNCTION("""COMPUTED_VALUE"""),"London")</f>
        <v>London</v>
      </c>
      <c r="L177" s="16"/>
      <c r="M177" s="16" t="str">
        <f>IFERROR(__xludf.DUMMYFUNCTION("""COMPUTED_VALUE"""),"W2 1AY")</f>
        <v>W2 1AY</v>
      </c>
      <c r="N177" s="16" t="str">
        <f>IFERROR(__xludf.DUMMYFUNCTION("""COMPUTED_VALUE"""),"United Kingdom")</f>
        <v>United Kingdom</v>
      </c>
      <c r="O177" s="16" t="str">
        <f>IFERROR(__xludf.DUMMYFUNCTION("""COMPUTED_VALUE"""),"Medium")</f>
        <v>Medium</v>
      </c>
      <c r="P177" s="16" t="b">
        <f>IFERROR(__xludf.DUMMYFUNCTION("""COMPUTED_VALUE"""),TRUE)</f>
        <v>1</v>
      </c>
      <c r="Q177" s="16" t="b">
        <f>IFERROR(__xludf.DUMMYFUNCTION("""COMPUTED_VALUE"""),TRUE)</f>
        <v>1</v>
      </c>
      <c r="R177" s="16" t="str">
        <f>IFERROR(__xludf.DUMMYFUNCTION("""COMPUTED_VALUE"""),"Admin, Business")</f>
        <v>Admin, Business</v>
      </c>
      <c r="S177" s="16" t="str">
        <f>IFERROR(__xludf.DUMMYFUNCTION("""COMPUTED_VALUE"""),"GENPACT")</f>
        <v>GENPACT</v>
      </c>
      <c r="T177" s="16" t="str">
        <f>IFERROR(__xludf.DUMMYFUNCTION("""COMPUTED_VALUE"""),"Current Partner")</f>
        <v>Current Partner</v>
      </c>
      <c r="U177" s="16" t="b">
        <f>IFERROR(__xludf.DUMMYFUNCTION("""COMPUTED_VALUE"""),FALSE)</f>
        <v>0</v>
      </c>
      <c r="V177" s="16"/>
      <c r="W177" s="16"/>
      <c r="X177" s="16"/>
    </row>
    <row r="178">
      <c r="A178" s="16" t="str">
        <f>IFERROR(__xludf.DUMMYFUNCTION("""COMPUTED_VALUE"""),"Shannon")</f>
        <v>Shannon</v>
      </c>
      <c r="B178" s="16" t="str">
        <f>IFERROR(__xludf.DUMMYFUNCTION("""COMPUTED_VALUE"""),"Travis")</f>
        <v>Travis</v>
      </c>
      <c r="C178" s="16" t="str">
        <f>IFERROR(__xludf.DUMMYFUNCTION("""COMPUTED_VALUE"""),"VP - Global Guidewire Practice Leader")</f>
        <v>VP - Global Guidewire Practice Leader</v>
      </c>
      <c r="D178" s="16" t="str">
        <f>IFERROR(__xludf.DUMMYFUNCTION("""COMPUTED_VALUE"""),"GENPACT UK LTD")</f>
        <v>GENPACT UK LTD</v>
      </c>
      <c r="E178" s="16" t="str">
        <f>IFERROR(__xludf.DUMMYFUNCTION("""COMPUTED_VALUE"""),"Growth")</f>
        <v>Growth</v>
      </c>
      <c r="F178" s="16" t="str">
        <f>IFERROR(__xludf.DUMMYFUNCTION("""COMPUTED_VALUE"""),"shannon.travis@genpact.com")</f>
        <v>shannon.travis@genpact.com</v>
      </c>
      <c r="G178" s="16" t="str">
        <f>IFERROR(__xludf.DUMMYFUNCTION("""COMPUTED_VALUE"""),"Aaron Shaw")</f>
        <v>Aaron Shaw</v>
      </c>
      <c r="H178" s="16" t="str">
        <f>IFERROR(__xludf.DUMMYFUNCTION("""COMPUTED_VALUE"""),"PartnerConnect - Technology")</f>
        <v>PartnerConnect - Technology</v>
      </c>
      <c r="I178" s="16" t="str">
        <f>IFERROR(__xludf.DUMMYFUNCTION("""COMPUTED_VALUE"""),"4877 North Wayside Drive")</f>
        <v>4877 North Wayside Drive</v>
      </c>
      <c r="J178" s="16"/>
      <c r="K178" s="16" t="str">
        <f>IFERROR(__xludf.DUMMYFUNCTION("""COMPUTED_VALUE"""),"Erie")</f>
        <v>Erie</v>
      </c>
      <c r="L178" s="16" t="str">
        <f>IFERROR(__xludf.DUMMYFUNCTION("""COMPUTED_VALUE"""),"Pennsylvania")</f>
        <v>Pennsylvania</v>
      </c>
      <c r="M178" s="16">
        <f>IFERROR(__xludf.DUMMYFUNCTION("""COMPUTED_VALUE"""),16505.0)</f>
        <v>16505</v>
      </c>
      <c r="N178" s="16" t="str">
        <f>IFERROR(__xludf.DUMMYFUNCTION("""COMPUTED_VALUE"""),"United States")</f>
        <v>United States</v>
      </c>
      <c r="O178" s="16" t="str">
        <f>IFERROR(__xludf.DUMMYFUNCTION("""COMPUTED_VALUE"""),"Medium")</f>
        <v>Medium</v>
      </c>
      <c r="P178" s="16" t="b">
        <f>IFERROR(__xludf.DUMMYFUNCTION("""COMPUTED_VALUE"""),TRUE)</f>
        <v>1</v>
      </c>
      <c r="Q178" s="16" t="b">
        <f>IFERROR(__xludf.DUMMYFUNCTION("""COMPUTED_VALUE"""),TRUE)</f>
        <v>1</v>
      </c>
      <c r="R178" s="16" t="str">
        <f>IFERROR(__xludf.DUMMYFUNCTION("""COMPUTED_VALUE"""),"Admin, Business, Technical")</f>
        <v>Admin, Business, Technical</v>
      </c>
      <c r="S178" s="16" t="str">
        <f>IFERROR(__xludf.DUMMYFUNCTION("""COMPUTED_VALUE"""),"GENPACT")</f>
        <v>GENPACT</v>
      </c>
      <c r="T178" s="16" t="str">
        <f>IFERROR(__xludf.DUMMYFUNCTION("""COMPUTED_VALUE"""),"Current Partner")</f>
        <v>Current Partner</v>
      </c>
      <c r="U178" s="16" t="b">
        <f>IFERROR(__xludf.DUMMYFUNCTION("""COMPUTED_VALUE"""),FALSE)</f>
        <v>0</v>
      </c>
      <c r="V178" s="16"/>
      <c r="W178" s="16"/>
      <c r="X178" s="16"/>
    </row>
    <row r="179">
      <c r="A179" s="16" t="str">
        <f>IFERROR(__xludf.DUMMYFUNCTION("""COMPUTED_VALUE"""),"Sivakumar")</f>
        <v>Sivakumar</v>
      </c>
      <c r="B179" s="16" t="str">
        <f>IFERROR(__xludf.DUMMYFUNCTION("""COMPUTED_VALUE"""),"Nasanakota")</f>
        <v>Nasanakota</v>
      </c>
      <c r="C179" s="16" t="str">
        <f>IFERROR(__xludf.DUMMYFUNCTION("""COMPUTED_VALUE"""),"Senior Manager - Insurance Suite Lead")</f>
        <v>Senior Manager - Insurance Suite Lead</v>
      </c>
      <c r="D179" s="16" t="str">
        <f>IFERROR(__xludf.DUMMYFUNCTION("""COMPUTED_VALUE"""),"GENPACT UK LTD")</f>
        <v>GENPACT UK LTD</v>
      </c>
      <c r="E179" s="16" t="str">
        <f>IFERROR(__xludf.DUMMYFUNCTION("""COMPUTED_VALUE"""),"Growth")</f>
        <v>Growth</v>
      </c>
      <c r="F179" s="16" t="str">
        <f>IFERROR(__xludf.DUMMYFUNCTION("""COMPUTED_VALUE"""),"sivakumarreddy.nasanakota@genpact.com")</f>
        <v>sivakumarreddy.nasanakota@genpact.com</v>
      </c>
      <c r="G179" s="16" t="str">
        <f>IFERROR(__xludf.DUMMYFUNCTION("""COMPUTED_VALUE"""),"Aaron Shaw")</f>
        <v>Aaron Shaw</v>
      </c>
      <c r="H179" s="16" t="str">
        <f>IFERROR(__xludf.DUMMYFUNCTION("""COMPUTED_VALUE"""),"PartnerConnect - Technology")</f>
        <v>PartnerConnect - Technology</v>
      </c>
      <c r="I179" s="16"/>
      <c r="J179" s="16"/>
      <c r="K179" s="16"/>
      <c r="L179" s="16"/>
      <c r="M179" s="16"/>
      <c r="N179" s="16" t="str">
        <f>IFERROR(__xludf.DUMMYFUNCTION("""COMPUTED_VALUE"""),"United States")</f>
        <v>United States</v>
      </c>
      <c r="O179" s="16" t="str">
        <f>IFERROR(__xludf.DUMMYFUNCTION("""COMPUTED_VALUE"""),"Medium")</f>
        <v>Medium</v>
      </c>
      <c r="P179" s="16" t="b">
        <f>IFERROR(__xludf.DUMMYFUNCTION("""COMPUTED_VALUE"""),TRUE)</f>
        <v>1</v>
      </c>
      <c r="Q179" s="16" t="b">
        <f>IFERROR(__xludf.DUMMYFUNCTION("""COMPUTED_VALUE"""),FALSE)</f>
        <v>0</v>
      </c>
      <c r="R179" s="16" t="str">
        <f>IFERROR(__xludf.DUMMYFUNCTION("""COMPUTED_VALUE"""),"Admin, Business, Events, Support, Technical, Training, Sales Solution Architect, Delivery Lead / BA")</f>
        <v>Admin, Business, Events, Support, Technical, Training, Sales Solution Architect, Delivery Lead / BA</v>
      </c>
      <c r="S179" s="16" t="str">
        <f>IFERROR(__xludf.DUMMYFUNCTION("""COMPUTED_VALUE"""),"GENPACT")</f>
        <v>GENPACT</v>
      </c>
      <c r="T179" s="16" t="str">
        <f>IFERROR(__xludf.DUMMYFUNCTION("""COMPUTED_VALUE"""),"Current Partner")</f>
        <v>Current Partner</v>
      </c>
      <c r="U179" s="16" t="b">
        <f>IFERROR(__xludf.DUMMYFUNCTION("""COMPUTED_VALUE"""),FALSE)</f>
        <v>0</v>
      </c>
      <c r="V179" s="16"/>
      <c r="W179" s="16"/>
      <c r="X179" s="16"/>
    </row>
    <row r="180">
      <c r="A180" s="16" t="str">
        <f>IFERROR(__xludf.DUMMYFUNCTION("""COMPUTED_VALUE"""),"Tori")</f>
        <v>Tori</v>
      </c>
      <c r="B180" s="16" t="str">
        <f>IFERROR(__xludf.DUMMYFUNCTION("""COMPUTED_VALUE"""),"Combs")</f>
        <v>Combs</v>
      </c>
      <c r="C180" s="16" t="str">
        <f>IFERROR(__xludf.DUMMYFUNCTION("""COMPUTED_VALUE"""),"Sr. Marketing Manager")</f>
        <v>Sr. Marketing Manager</v>
      </c>
      <c r="D180" s="16" t="str">
        <f>IFERROR(__xludf.DUMMYFUNCTION("""COMPUTED_VALUE"""),"GhostDraft Enterprises LLC")</f>
        <v>GhostDraft Enterprises LLC</v>
      </c>
      <c r="E180" s="16" t="str">
        <f>IFERROR(__xludf.DUMMYFUNCTION("""COMPUTED_VALUE"""),"Advantage")</f>
        <v>Advantage</v>
      </c>
      <c r="F180" s="16" t="str">
        <f>IFERROR(__xludf.DUMMYFUNCTION("""COMPUTED_VALUE"""),"tori.combs@ghostdraft.com")</f>
        <v>tori.combs@ghostdraft.com</v>
      </c>
      <c r="G180" s="16" t="str">
        <f>IFERROR(__xludf.DUMMYFUNCTION("""COMPUTED_VALUE"""),"Lisa Vingerhoet")</f>
        <v>Lisa Vingerhoet</v>
      </c>
      <c r="H180" s="16" t="str">
        <f>IFERROR(__xludf.DUMMYFUNCTION("""COMPUTED_VALUE"""),"PartnerConnect - Technology")</f>
        <v>PartnerConnect - Technology</v>
      </c>
      <c r="I180" s="16"/>
      <c r="J180" s="16"/>
      <c r="K180" s="16"/>
      <c r="L180" s="16"/>
      <c r="M180" s="16"/>
      <c r="N180" s="16" t="str">
        <f>IFERROR(__xludf.DUMMYFUNCTION("""COMPUTED_VALUE"""),"United States")</f>
        <v>United States</v>
      </c>
      <c r="O180" s="16" t="str">
        <f>IFERROR(__xludf.DUMMYFUNCTION("""COMPUTED_VALUE"""),"High")</f>
        <v>High</v>
      </c>
      <c r="P180" s="16" t="b">
        <f>IFERROR(__xludf.DUMMYFUNCTION("""COMPUTED_VALUE"""),FALSE)</f>
        <v>0</v>
      </c>
      <c r="Q180" s="16" t="b">
        <f>IFERROR(__xludf.DUMMYFUNCTION("""COMPUTED_VALUE"""),TRUE)</f>
        <v>1</v>
      </c>
      <c r="R180" s="16" t="str">
        <f>IFERROR(__xludf.DUMMYFUNCTION("""COMPUTED_VALUE"""),"Admin, Events, Marketing")</f>
        <v>Admin, Events, Marketing</v>
      </c>
      <c r="S180" s="16" t="str">
        <f>IFERROR(__xludf.DUMMYFUNCTION("""COMPUTED_VALUE"""),"GhostDraft")</f>
        <v>GhostDraft</v>
      </c>
      <c r="T180" s="16" t="str">
        <f>IFERROR(__xludf.DUMMYFUNCTION("""COMPUTED_VALUE"""),"Current Partner")</f>
        <v>Current Partner</v>
      </c>
      <c r="U180" s="16" t="b">
        <f>IFERROR(__xludf.DUMMYFUNCTION("""COMPUTED_VALUE"""),FALSE)</f>
        <v>0</v>
      </c>
      <c r="V180" s="16"/>
      <c r="W180" s="16"/>
      <c r="X180" s="16"/>
    </row>
    <row r="181">
      <c r="A181" s="16" t="str">
        <f>IFERROR(__xludf.DUMMYFUNCTION("""COMPUTED_VALUE"""),"Kim")</f>
        <v>Kim</v>
      </c>
      <c r="B181" s="16" t="str">
        <f>IFERROR(__xludf.DUMMYFUNCTION("""COMPUTED_VALUE"""),"Cook")</f>
        <v>Cook</v>
      </c>
      <c r="C181" s="16" t="str">
        <f>IFERROR(__xludf.DUMMYFUNCTION("""COMPUTED_VALUE"""),"VP, Strategic Alliances")</f>
        <v>VP, Strategic Alliances</v>
      </c>
      <c r="D181" s="16" t="str">
        <f>IFERROR(__xludf.DUMMYFUNCTION("""COMPUTED_VALUE"""),"GhostDraft Enterprises LLC")</f>
        <v>GhostDraft Enterprises LLC</v>
      </c>
      <c r="E181" s="16" t="str">
        <f>IFERROR(__xludf.DUMMYFUNCTION("""COMPUTED_VALUE"""),"Advantage")</f>
        <v>Advantage</v>
      </c>
      <c r="F181" s="16" t="str">
        <f>IFERROR(__xludf.DUMMYFUNCTION("""COMPUTED_VALUE"""),"kim.cook@ghostdraft.com")</f>
        <v>kim.cook@ghostdraft.com</v>
      </c>
      <c r="G181" s="16" t="str">
        <f>IFERROR(__xludf.DUMMYFUNCTION("""COMPUTED_VALUE"""),"Lisa Vingerhoet")</f>
        <v>Lisa Vingerhoet</v>
      </c>
      <c r="H181" s="16" t="str">
        <f>IFERROR(__xludf.DUMMYFUNCTION("""COMPUTED_VALUE"""),"PartnerConnect - Technology")</f>
        <v>PartnerConnect - Technology</v>
      </c>
      <c r="I181" s="16" t="str">
        <f>IFERROR(__xludf.DUMMYFUNCTION("""COMPUTED_VALUE"""),"301 N Market St")</f>
        <v>301 N Market St</v>
      </c>
      <c r="J181" s="16"/>
      <c r="K181" s="16" t="str">
        <f>IFERROR(__xludf.DUMMYFUNCTION("""COMPUTED_VALUE"""),"Wilmington")</f>
        <v>Wilmington</v>
      </c>
      <c r="L181" s="16" t="str">
        <f>IFERROR(__xludf.DUMMYFUNCTION("""COMPUTED_VALUE"""),"Delaware")</f>
        <v>Delaware</v>
      </c>
      <c r="M181" s="16">
        <f>IFERROR(__xludf.DUMMYFUNCTION("""COMPUTED_VALUE"""),19801.0)</f>
        <v>19801</v>
      </c>
      <c r="N181" s="16" t="str">
        <f>IFERROR(__xludf.DUMMYFUNCTION("""COMPUTED_VALUE"""),"United States")</f>
        <v>United States</v>
      </c>
      <c r="O181" s="16" t="str">
        <f>IFERROR(__xludf.DUMMYFUNCTION("""COMPUTED_VALUE"""),"High")</f>
        <v>High</v>
      </c>
      <c r="P181" s="16" t="b">
        <f>IFERROR(__xludf.DUMMYFUNCTION("""COMPUTED_VALUE"""),TRUE)</f>
        <v>1</v>
      </c>
      <c r="Q181" s="16" t="b">
        <f>IFERROR(__xludf.DUMMYFUNCTION("""COMPUTED_VALUE"""),FALSE)</f>
        <v>0</v>
      </c>
      <c r="R181" s="16" t="str">
        <f>IFERROR(__xludf.DUMMYFUNCTION("""COMPUTED_VALUE"""),"Admin, Legal / Contracts, Marketing, Support, Client Partner / Partner Account Executive")</f>
        <v>Admin, Legal / Contracts, Marketing, Support, Client Partner / Partner Account Executive</v>
      </c>
      <c r="S181" s="16" t="str">
        <f>IFERROR(__xludf.DUMMYFUNCTION("""COMPUTED_VALUE"""),"GhostDraft")</f>
        <v>GhostDraft</v>
      </c>
      <c r="T181" s="16" t="str">
        <f>IFERROR(__xludf.DUMMYFUNCTION("""COMPUTED_VALUE"""),"Current Partner")</f>
        <v>Current Partner</v>
      </c>
      <c r="U181" s="16" t="b">
        <f>IFERROR(__xludf.DUMMYFUNCTION("""COMPUTED_VALUE"""),FALSE)</f>
        <v>0</v>
      </c>
      <c r="V181" s="16"/>
      <c r="W181" s="16"/>
      <c r="X181" s="16"/>
    </row>
    <row r="182">
      <c r="A182" s="16" t="str">
        <f>IFERROR(__xludf.DUMMYFUNCTION("""COMPUTED_VALUE"""),"Sanjeev")</f>
        <v>Sanjeev</v>
      </c>
      <c r="B182" s="16" t="str">
        <f>IFERROR(__xludf.DUMMYFUNCTION("""COMPUTED_VALUE"""),"Chaudhry")</f>
        <v>Chaudhry</v>
      </c>
      <c r="C182" s="16" t="str">
        <f>IFERROR(__xludf.DUMMYFUNCTION("""COMPUTED_VALUE"""),"CEO")</f>
        <v>CEO</v>
      </c>
      <c r="D182" s="16" t="str">
        <f>IFERROR(__xludf.DUMMYFUNCTION("""COMPUTED_VALUE"""),"Gigaforce")</f>
        <v>Gigaforce</v>
      </c>
      <c r="E182" s="16" t="str">
        <f>IFERROR(__xludf.DUMMYFUNCTION("""COMPUTED_VALUE"""),"Growth")</f>
        <v>Growth</v>
      </c>
      <c r="F182" s="16" t="str">
        <f>IFERROR(__xludf.DUMMYFUNCTION("""COMPUTED_VALUE"""),"sanjeev@gigaforce.io")</f>
        <v>sanjeev@gigaforce.io</v>
      </c>
      <c r="G182" s="16" t="str">
        <f>IFERROR(__xludf.DUMMYFUNCTION("""COMPUTED_VALUE"""),"Rod Gowin")</f>
        <v>Rod Gowin</v>
      </c>
      <c r="H182" s="16" t="str">
        <f>IFERROR(__xludf.DUMMYFUNCTION("""COMPUTED_VALUE"""),"PartnerConnect - Technology")</f>
        <v>PartnerConnect - Technology</v>
      </c>
      <c r="I182" s="16" t="str">
        <f>IFERROR(__xludf.DUMMYFUNCTION("""COMPUTED_VALUE"""),"440 N Wolfe Ave")</f>
        <v>440 N Wolfe Ave</v>
      </c>
      <c r="J182" s="16"/>
      <c r="K182" s="16" t="str">
        <f>IFERROR(__xludf.DUMMYFUNCTION("""COMPUTED_VALUE"""),"Sunnyvale")</f>
        <v>Sunnyvale</v>
      </c>
      <c r="L182" s="16" t="str">
        <f>IFERROR(__xludf.DUMMYFUNCTION("""COMPUTED_VALUE"""),"California")</f>
        <v>California</v>
      </c>
      <c r="M182" s="16">
        <f>IFERROR(__xludf.DUMMYFUNCTION("""COMPUTED_VALUE"""),94087.0)</f>
        <v>94087</v>
      </c>
      <c r="N182" s="16" t="str">
        <f>IFERROR(__xludf.DUMMYFUNCTION("""COMPUTED_VALUE"""),"United States")</f>
        <v>United States</v>
      </c>
      <c r="O182" s="16" t="str">
        <f>IFERROR(__xludf.DUMMYFUNCTION("""COMPUTED_VALUE"""),"Medium")</f>
        <v>Medium</v>
      </c>
      <c r="P182" s="16" t="b">
        <f>IFERROR(__xludf.DUMMYFUNCTION("""COMPUTED_VALUE"""),TRUE)</f>
        <v>1</v>
      </c>
      <c r="Q182" s="16" t="b">
        <f>IFERROR(__xludf.DUMMYFUNCTION("""COMPUTED_VALUE"""),FALSE)</f>
        <v>0</v>
      </c>
      <c r="R182" s="16" t="str">
        <f>IFERROR(__xludf.DUMMYFUNCTION("""COMPUTED_VALUE"""),"Admin, Business, Support, NPE User")</f>
        <v>Admin, Business, Support, NPE User</v>
      </c>
      <c r="S182" s="16" t="str">
        <f>IFERROR(__xludf.DUMMYFUNCTION("""COMPUTED_VALUE"""),"Gigaforce")</f>
        <v>Gigaforce</v>
      </c>
      <c r="T182" s="16" t="str">
        <f>IFERROR(__xludf.DUMMYFUNCTION("""COMPUTED_VALUE"""),"Current Partner")</f>
        <v>Current Partner</v>
      </c>
      <c r="U182" s="16" t="b">
        <f>IFERROR(__xludf.DUMMYFUNCTION("""COMPUTED_VALUE"""),TRUE)</f>
        <v>1</v>
      </c>
      <c r="V182" s="16"/>
      <c r="W182" s="16"/>
      <c r="X182" s="16"/>
    </row>
    <row r="183">
      <c r="A183" s="16" t="str">
        <f>IFERROR(__xludf.DUMMYFUNCTION("""COMPUTED_VALUE"""),"Kevin")</f>
        <v>Kevin</v>
      </c>
      <c r="B183" s="16" t="str">
        <f>IFERROR(__xludf.DUMMYFUNCTION("""COMPUTED_VALUE"""),"May")</f>
        <v>May</v>
      </c>
      <c r="C183" s="16" t="str">
        <f>IFERROR(__xludf.DUMMYFUNCTION("""COMPUTED_VALUE"""),"Chief Product Officer")</f>
        <v>Chief Product Officer</v>
      </c>
      <c r="D183" s="16" t="str">
        <f>IFERROR(__xludf.DUMMYFUNCTION("""COMPUTED_VALUE"""),"Gigaforce")</f>
        <v>Gigaforce</v>
      </c>
      <c r="E183" s="16" t="str">
        <f>IFERROR(__xludf.DUMMYFUNCTION("""COMPUTED_VALUE"""),"Growth")</f>
        <v>Growth</v>
      </c>
      <c r="F183" s="16" t="str">
        <f>IFERROR(__xludf.DUMMYFUNCTION("""COMPUTED_VALUE"""),"kevin.may@gigaforce.io")</f>
        <v>kevin.may@gigaforce.io</v>
      </c>
      <c r="G183" s="16" t="str">
        <f>IFERROR(__xludf.DUMMYFUNCTION("""COMPUTED_VALUE"""),"Rod Gowin")</f>
        <v>Rod Gowin</v>
      </c>
      <c r="H183" s="16" t="str">
        <f>IFERROR(__xludf.DUMMYFUNCTION("""COMPUTED_VALUE"""),"PartnerConnect - Technology")</f>
        <v>PartnerConnect - Technology</v>
      </c>
      <c r="I183" s="16" t="str">
        <f>IFERROR(__xludf.DUMMYFUNCTION("""COMPUTED_VALUE"""),"1311 E. Pine Ridge Dr")</f>
        <v>1311 E. Pine Ridge Dr</v>
      </c>
      <c r="J183" s="16"/>
      <c r="K183" s="16" t="str">
        <f>IFERROR(__xludf.DUMMYFUNCTION("""COMPUTED_VALUE"""),"Polk City")</f>
        <v>Polk City</v>
      </c>
      <c r="L183" s="16" t="str">
        <f>IFERROR(__xludf.DUMMYFUNCTION("""COMPUTED_VALUE"""),"IOWA")</f>
        <v>IOWA</v>
      </c>
      <c r="M183" s="16">
        <f>IFERROR(__xludf.DUMMYFUNCTION("""COMPUTED_VALUE"""),50226.0)</f>
        <v>50226</v>
      </c>
      <c r="N183" s="16" t="str">
        <f>IFERROR(__xludf.DUMMYFUNCTION("""COMPUTED_VALUE"""),"United States")</f>
        <v>United States</v>
      </c>
      <c r="O183" s="16" t="str">
        <f>IFERROR(__xludf.DUMMYFUNCTION("""COMPUTED_VALUE"""),"Medium")</f>
        <v>Medium</v>
      </c>
      <c r="P183" s="16" t="b">
        <f>IFERROR(__xludf.DUMMYFUNCTION("""COMPUTED_VALUE"""),FALSE)</f>
        <v>0</v>
      </c>
      <c r="Q183" s="16" t="b">
        <f>IFERROR(__xludf.DUMMYFUNCTION("""COMPUTED_VALUE"""),TRUE)</f>
        <v>1</v>
      </c>
      <c r="R183" s="16" t="str">
        <f>IFERROR(__xludf.DUMMYFUNCTION("""COMPUTED_VALUE"""),"Admin, Business, Events, Marketing")</f>
        <v>Admin, Business, Events, Marketing</v>
      </c>
      <c r="S183" s="16" t="str">
        <f>IFERROR(__xludf.DUMMYFUNCTION("""COMPUTED_VALUE"""),"Gigaforce")</f>
        <v>Gigaforce</v>
      </c>
      <c r="T183" s="16" t="str">
        <f>IFERROR(__xludf.DUMMYFUNCTION("""COMPUTED_VALUE"""),"Current Partner")</f>
        <v>Current Partner</v>
      </c>
      <c r="U183" s="16" t="b">
        <f>IFERROR(__xludf.DUMMYFUNCTION("""COMPUTED_VALUE"""),FALSE)</f>
        <v>0</v>
      </c>
      <c r="V183" s="16"/>
      <c r="W183" s="16"/>
      <c r="X183" s="16"/>
    </row>
    <row r="184">
      <c r="A184" s="16" t="str">
        <f>IFERROR(__xludf.DUMMYFUNCTION("""COMPUTED_VALUE"""),"Eric")</f>
        <v>Eric</v>
      </c>
      <c r="B184" s="16" t="str">
        <f>IFERROR(__xludf.DUMMYFUNCTION("""COMPUTED_VALUE"""),"Feinberg")</f>
        <v>Feinberg</v>
      </c>
      <c r="C184" s="16" t="str">
        <f>IFERROR(__xludf.DUMMYFUNCTION("""COMPUTED_VALUE"""),"Guidewire Alliance Executive")</f>
        <v>Guidewire Alliance Executive</v>
      </c>
      <c r="D184" s="16" t="str">
        <f>IFERROR(__xludf.DUMMYFUNCTION("""COMPUTED_VALUE"""),"Google LLC")</f>
        <v>Google LLC</v>
      </c>
      <c r="E184" s="16" t="str">
        <f>IFERROR(__xludf.DUMMYFUNCTION("""COMPUTED_VALUE"""),"Growth")</f>
        <v>Growth</v>
      </c>
      <c r="F184" s="16" t="str">
        <f>IFERROR(__xludf.DUMMYFUNCTION("""COMPUTED_VALUE"""),"ejfeinberg@google.com")</f>
        <v>ejfeinberg@google.com</v>
      </c>
      <c r="G184" s="16" t="str">
        <f>IFERROR(__xludf.DUMMYFUNCTION("""COMPUTED_VALUE"""),"Paul Harper")</f>
        <v>Paul Harper</v>
      </c>
      <c r="H184" s="16" t="str">
        <f>IFERROR(__xludf.DUMMYFUNCTION("""COMPUTED_VALUE"""),"PartnerConnect - Technology")</f>
        <v>PartnerConnect - Technology</v>
      </c>
      <c r="I184" s="16" t="str">
        <f>IFERROR(__xludf.DUMMYFUNCTION("""COMPUTED_VALUE"""),"5865 S Campus Center Dr")</f>
        <v>5865 S Campus Center Dr</v>
      </c>
      <c r="J184" s="16"/>
      <c r="K184" s="16" t="str">
        <f>IFERROR(__xludf.DUMMYFUNCTION("""COMPUTED_VALUE"""),"Playa Vista")</f>
        <v>Playa Vista</v>
      </c>
      <c r="L184" s="16" t="str">
        <f>IFERROR(__xludf.DUMMYFUNCTION("""COMPUTED_VALUE"""),"California")</f>
        <v>California</v>
      </c>
      <c r="M184" s="16">
        <f>IFERROR(__xludf.DUMMYFUNCTION("""COMPUTED_VALUE"""),90094.0)</f>
        <v>90094</v>
      </c>
      <c r="N184" s="16" t="str">
        <f>IFERROR(__xludf.DUMMYFUNCTION("""COMPUTED_VALUE"""),"United States")</f>
        <v>United States</v>
      </c>
      <c r="O184" s="16" t="str">
        <f>IFERROR(__xludf.DUMMYFUNCTION("""COMPUTED_VALUE"""),"Medium")</f>
        <v>Medium</v>
      </c>
      <c r="P184" s="16" t="b">
        <f>IFERROR(__xludf.DUMMYFUNCTION("""COMPUTED_VALUE"""),TRUE)</f>
        <v>1</v>
      </c>
      <c r="Q184" s="16" t="b">
        <f>IFERROR(__xludf.DUMMYFUNCTION("""COMPUTED_VALUE"""),FALSE)</f>
        <v>0</v>
      </c>
      <c r="R184" s="16" t="str">
        <f>IFERROR(__xludf.DUMMYFUNCTION("""COMPUTED_VALUE"""),"Admin, Business")</f>
        <v>Admin, Business</v>
      </c>
      <c r="S184" s="16" t="str">
        <f>IFERROR(__xludf.DUMMYFUNCTION("""COMPUTED_VALUE"""),"Google IFS")</f>
        <v>Google IFS</v>
      </c>
      <c r="T184" s="16" t="str">
        <f>IFERROR(__xludf.DUMMYFUNCTION("""COMPUTED_VALUE"""),"Current Partner")</f>
        <v>Current Partner</v>
      </c>
      <c r="U184" s="16" t="b">
        <f>IFERROR(__xludf.DUMMYFUNCTION("""COMPUTED_VALUE"""),FALSE)</f>
        <v>0</v>
      </c>
      <c r="V184" s="16"/>
      <c r="W184" s="16"/>
      <c r="X184" s="16"/>
    </row>
    <row r="185">
      <c r="A185" s="16" t="str">
        <f>IFERROR(__xludf.DUMMYFUNCTION("""COMPUTED_VALUE"""),"Austin")</f>
        <v>Austin</v>
      </c>
      <c r="B185" s="16" t="str">
        <f>IFERROR(__xludf.DUMMYFUNCTION("""COMPUTED_VALUE"""),"Smith")</f>
        <v>Smith</v>
      </c>
      <c r="C185" s="16" t="str">
        <f>IFERROR(__xludf.DUMMYFUNCTION("""COMPUTED_VALUE"""),"Director of Strategic Partnerships")</f>
        <v>Director of Strategic Partnerships</v>
      </c>
      <c r="D185" s="16" t="str">
        <f>IFERROR(__xludf.DUMMYFUNCTION("""COMPUTED_VALUE"""),"Gradient A.I. Corp.")</f>
        <v>Gradient A.I. Corp.</v>
      </c>
      <c r="E185" s="16" t="str">
        <f>IFERROR(__xludf.DUMMYFUNCTION("""COMPUTED_VALUE"""),"Growth")</f>
        <v>Growth</v>
      </c>
      <c r="F185" s="16" t="str">
        <f>IFERROR(__xludf.DUMMYFUNCTION("""COMPUTED_VALUE"""),"austin.smith@gradientai.com")</f>
        <v>austin.smith@gradientai.com</v>
      </c>
      <c r="G185" s="16" t="str">
        <f>IFERROR(__xludf.DUMMYFUNCTION("""COMPUTED_VALUE"""),"Shannon Spies")</f>
        <v>Shannon Spies</v>
      </c>
      <c r="H185" s="16" t="str">
        <f>IFERROR(__xludf.DUMMYFUNCTION("""COMPUTED_VALUE"""),"PartnerConnect - Technology")</f>
        <v>PartnerConnect - Technology</v>
      </c>
      <c r="I185" s="16" t="str">
        <f>IFERROR(__xludf.DUMMYFUNCTION("""COMPUTED_VALUE"""),"One Marina Park Drive, Suite 305")</f>
        <v>One Marina Park Drive, Suite 305</v>
      </c>
      <c r="J185" s="16"/>
      <c r="K185" s="16" t="str">
        <f>IFERROR(__xludf.DUMMYFUNCTION("""COMPUTED_VALUE"""),"Boston")</f>
        <v>Boston</v>
      </c>
      <c r="L185" s="16" t="str">
        <f>IFERROR(__xludf.DUMMYFUNCTION("""COMPUTED_VALUE"""),"Massachusetts")</f>
        <v>Massachusetts</v>
      </c>
      <c r="M185" s="16">
        <f>IFERROR(__xludf.DUMMYFUNCTION("""COMPUTED_VALUE"""),2210.0)</f>
        <v>2210</v>
      </c>
      <c r="N185" s="16" t="str">
        <f>IFERROR(__xludf.DUMMYFUNCTION("""COMPUTED_VALUE"""),"United States")</f>
        <v>United States</v>
      </c>
      <c r="O185" s="16" t="str">
        <f>IFERROR(__xludf.DUMMYFUNCTION("""COMPUTED_VALUE"""),"Medium")</f>
        <v>Medium</v>
      </c>
      <c r="P185" s="16" t="b">
        <f>IFERROR(__xludf.DUMMYFUNCTION("""COMPUTED_VALUE"""),TRUE)</f>
        <v>1</v>
      </c>
      <c r="Q185" s="16" t="b">
        <f>IFERROR(__xludf.DUMMYFUNCTION("""COMPUTED_VALUE"""),FALSE)</f>
        <v>0</v>
      </c>
      <c r="R185" s="16" t="str">
        <f>IFERROR(__xludf.DUMMYFUNCTION("""COMPUTED_VALUE"""),"Admin, Business, Events, Legal / Contracts, Marketing, Support, Technical, Training, Main Billing Contact, Billing Contact  LMS Training Fees, NPE User, Sales Solution Architect, Delivery Lead / BA, Client Partner / Partner Account Executive")</f>
        <v>Admin, Business, Events, Legal / Contracts, Marketing, Support, Technical, Training, Main Billing Contact, Billing Contact  LMS Training Fees, NPE User, Sales Solution Architect, Delivery Lead / BA, Client Partner / Partner Account Executive</v>
      </c>
      <c r="S185" s="16" t="str">
        <f>IFERROR(__xludf.DUMMYFUNCTION("""COMPUTED_VALUE"""),"Gradient AI")</f>
        <v>Gradient AI</v>
      </c>
      <c r="T185" s="16" t="str">
        <f>IFERROR(__xludf.DUMMYFUNCTION("""COMPUTED_VALUE"""),"Current Partner")</f>
        <v>Current Partner</v>
      </c>
      <c r="U185" s="16" t="b">
        <f>IFERROR(__xludf.DUMMYFUNCTION("""COMPUTED_VALUE"""),TRUE)</f>
        <v>1</v>
      </c>
      <c r="V185" s="16"/>
      <c r="W185" s="16"/>
      <c r="X185" s="16"/>
    </row>
    <row r="186">
      <c r="A186" s="16" t="str">
        <f>IFERROR(__xludf.DUMMYFUNCTION("""COMPUTED_VALUE"""),"Steve")</f>
        <v>Steve</v>
      </c>
      <c r="B186" s="16" t="str">
        <f>IFERROR(__xludf.DUMMYFUNCTION("""COMPUTED_VALUE"""),"Maselli")</f>
        <v>Maselli</v>
      </c>
      <c r="C186" s="16" t="str">
        <f>IFERROR(__xludf.DUMMYFUNCTION("""COMPUTED_VALUE"""),"Head of Partners &amp; Alliances")</f>
        <v>Head of Partners &amp; Alliances</v>
      </c>
      <c r="D186" s="16" t="str">
        <f>IFERROR(__xludf.DUMMYFUNCTION("""COMPUTED_VALUE"""),"Gryphon Networks Corp")</f>
        <v>Gryphon Networks Corp</v>
      </c>
      <c r="E186" s="16" t="str">
        <f>IFERROR(__xludf.DUMMYFUNCTION("""COMPUTED_VALUE"""),"Growth")</f>
        <v>Growth</v>
      </c>
      <c r="F186" s="16" t="str">
        <f>IFERROR(__xludf.DUMMYFUNCTION("""COMPUTED_VALUE"""),"smaselli@gryphon.ai")</f>
        <v>smaselli@gryphon.ai</v>
      </c>
      <c r="G186" s="16" t="str">
        <f>IFERROR(__xludf.DUMMYFUNCTION("""COMPUTED_VALUE"""),"Eric Apse")</f>
        <v>Eric Apse</v>
      </c>
      <c r="H186" s="16" t="str">
        <f>IFERROR(__xludf.DUMMYFUNCTION("""COMPUTED_VALUE"""),"PartnerConnect - Technology")</f>
        <v>PartnerConnect - Technology</v>
      </c>
      <c r="I186" s="16" t="str">
        <f>IFERROR(__xludf.DUMMYFUNCTION("""COMPUTED_VALUE"""),"33 Arch Street, 17th Floor")</f>
        <v>33 Arch Street, 17th Floor</v>
      </c>
      <c r="J186" s="16"/>
      <c r="K186" s="16" t="str">
        <f>IFERROR(__xludf.DUMMYFUNCTION("""COMPUTED_VALUE"""),"Boston")</f>
        <v>Boston</v>
      </c>
      <c r="L186" s="16" t="str">
        <f>IFERROR(__xludf.DUMMYFUNCTION("""COMPUTED_VALUE"""),"Massachusetts")</f>
        <v>Massachusetts</v>
      </c>
      <c r="M186" s="16">
        <f>IFERROR(__xludf.DUMMYFUNCTION("""COMPUTED_VALUE"""),2110.0)</f>
        <v>2110</v>
      </c>
      <c r="N186" s="16" t="str">
        <f>IFERROR(__xludf.DUMMYFUNCTION("""COMPUTED_VALUE"""),"United States")</f>
        <v>United States</v>
      </c>
      <c r="O186" s="16" t="str">
        <f>IFERROR(__xludf.DUMMYFUNCTION("""COMPUTED_VALUE"""),"Medium")</f>
        <v>Medium</v>
      </c>
      <c r="P186" s="16" t="b">
        <f>IFERROR(__xludf.DUMMYFUNCTION("""COMPUTED_VALUE"""),TRUE)</f>
        <v>1</v>
      </c>
      <c r="Q186" s="16" t="b">
        <f>IFERROR(__xludf.DUMMYFUNCTION("""COMPUTED_VALUE"""),FALSE)</f>
        <v>0</v>
      </c>
      <c r="R186" s="16" t="str">
        <f>IFERROR(__xludf.DUMMYFUNCTION("""COMPUTED_VALUE"""),"Admin, Business")</f>
        <v>Admin, Business</v>
      </c>
      <c r="S186" s="16" t="str">
        <f>IFERROR(__xludf.DUMMYFUNCTION("""COMPUTED_VALUE"""),"Gryphon AI")</f>
        <v>Gryphon AI</v>
      </c>
      <c r="T186" s="16" t="str">
        <f>IFERROR(__xludf.DUMMYFUNCTION("""COMPUTED_VALUE"""),"Current Partner")</f>
        <v>Current Partner</v>
      </c>
      <c r="U186" s="16" t="b">
        <f>IFERROR(__xludf.DUMMYFUNCTION("""COMPUTED_VALUE"""),FALSE)</f>
        <v>0</v>
      </c>
      <c r="V186" s="16"/>
      <c r="W186" s="16"/>
      <c r="X186" s="16"/>
    </row>
    <row r="187">
      <c r="A187" s="16" t="str">
        <f>IFERROR(__xludf.DUMMYFUNCTION("""COMPUTED_VALUE"""),"Lisa")</f>
        <v>Lisa</v>
      </c>
      <c r="B187" s="16" t="str">
        <f>IFERROR(__xludf.DUMMYFUNCTION("""COMPUTED_VALUE"""),"O'Reilly")</f>
        <v>O'Reilly</v>
      </c>
      <c r="C187" s="16"/>
      <c r="D187" s="16" t="str">
        <f>IFERROR(__xludf.DUMMYFUNCTION("""COMPUTED_VALUE"""),"Gryphon Networks Corp")</f>
        <v>Gryphon Networks Corp</v>
      </c>
      <c r="E187" s="16" t="str">
        <f>IFERROR(__xludf.DUMMYFUNCTION("""COMPUTED_VALUE"""),"Growth")</f>
        <v>Growth</v>
      </c>
      <c r="F187" s="16" t="str">
        <f>IFERROR(__xludf.DUMMYFUNCTION("""COMPUTED_VALUE"""),"loreilly@gryphon.ai")</f>
        <v>loreilly@gryphon.ai</v>
      </c>
      <c r="G187" s="16" t="str">
        <f>IFERROR(__xludf.DUMMYFUNCTION("""COMPUTED_VALUE"""),"Eric Apse")</f>
        <v>Eric Apse</v>
      </c>
      <c r="H187" s="16" t="str">
        <f>IFERROR(__xludf.DUMMYFUNCTION("""COMPUTED_VALUE"""),"PartnerConnect - Technology")</f>
        <v>PartnerConnect - Technology</v>
      </c>
      <c r="I187" s="16" t="str">
        <f>IFERROR(__xludf.DUMMYFUNCTION("""COMPUTED_VALUE"""),"33 Arch Street, 17th Floor")</f>
        <v>33 Arch Street, 17th Floor</v>
      </c>
      <c r="J187" s="16"/>
      <c r="K187" s="16" t="str">
        <f>IFERROR(__xludf.DUMMYFUNCTION("""COMPUTED_VALUE"""),"Boston")</f>
        <v>Boston</v>
      </c>
      <c r="L187" s="16" t="str">
        <f>IFERROR(__xludf.DUMMYFUNCTION("""COMPUTED_VALUE"""),"Massachusetts")</f>
        <v>Massachusetts</v>
      </c>
      <c r="M187" s="16">
        <f>IFERROR(__xludf.DUMMYFUNCTION("""COMPUTED_VALUE"""),2110.0)</f>
        <v>2110</v>
      </c>
      <c r="N187" s="16" t="str">
        <f>IFERROR(__xludf.DUMMYFUNCTION("""COMPUTED_VALUE"""),"United States")</f>
        <v>United States</v>
      </c>
      <c r="O187" s="16" t="str">
        <f>IFERROR(__xludf.DUMMYFUNCTION("""COMPUTED_VALUE"""),"Medium")</f>
        <v>Medium</v>
      </c>
      <c r="P187" s="16" t="b">
        <f>IFERROR(__xludf.DUMMYFUNCTION("""COMPUTED_VALUE"""),TRUE)</f>
        <v>1</v>
      </c>
      <c r="Q187" s="16" t="b">
        <f>IFERROR(__xludf.DUMMYFUNCTION("""COMPUTED_VALUE"""),FALSE)</f>
        <v>0</v>
      </c>
      <c r="R187" s="16" t="str">
        <f>IFERROR(__xludf.DUMMYFUNCTION("""COMPUTED_VALUE"""),"Admin")</f>
        <v>Admin</v>
      </c>
      <c r="S187" s="16" t="str">
        <f>IFERROR(__xludf.DUMMYFUNCTION("""COMPUTED_VALUE"""),"Gryphon AI")</f>
        <v>Gryphon AI</v>
      </c>
      <c r="T187" s="16" t="str">
        <f>IFERROR(__xludf.DUMMYFUNCTION("""COMPUTED_VALUE"""),"Current Partner")</f>
        <v>Current Partner</v>
      </c>
      <c r="U187" s="16" t="b">
        <f>IFERROR(__xludf.DUMMYFUNCTION("""COMPUTED_VALUE"""),FALSE)</f>
        <v>0</v>
      </c>
      <c r="V187" s="16"/>
      <c r="W187" s="16"/>
      <c r="X187" s="16"/>
    </row>
    <row r="188">
      <c r="A188" s="16" t="str">
        <f>IFERROR(__xludf.DUMMYFUNCTION("""COMPUTED_VALUE"""),"Test")</f>
        <v>Test</v>
      </c>
      <c r="B188" s="16" t="str">
        <f>IFERROR(__xludf.DUMMYFUNCTION("""COMPUTED_VALUE"""),"User 345")</f>
        <v>User 345</v>
      </c>
      <c r="C188" s="16"/>
      <c r="D188" s="16" t="str">
        <f>IFERROR(__xludf.DUMMYFUNCTION("""COMPUTED_VALUE"""),"GWTEST UATTestingOrg Parent Org")</f>
        <v>GWTEST UATTestingOrg Parent Org</v>
      </c>
      <c r="E188" s="16" t="str">
        <f>IFERROR(__xludf.DUMMYFUNCTION("""COMPUTED_VALUE"""),"Advantage")</f>
        <v>Advantage</v>
      </c>
      <c r="F188" s="16" t="str">
        <f>IFERROR(__xludf.DUMMYFUNCTION("""COMPUTED_VALUE"""),"jgmbfye@pussport.com")</f>
        <v>jgmbfye@pussport.com</v>
      </c>
      <c r="G188" s="16" t="str">
        <f>IFERROR(__xludf.DUMMYFUNCTION("""COMPUTED_VALUE"""),"Becky Mattick")</f>
        <v>Becky Mattick</v>
      </c>
      <c r="H188" s="16" t="str">
        <f>IFERROR(__xludf.DUMMYFUNCTION("""COMPUTED_VALUE"""),"PartnerConnect - Technology")</f>
        <v>PartnerConnect - Technology</v>
      </c>
      <c r="I188" s="16"/>
      <c r="J188" s="16"/>
      <c r="K188" s="16"/>
      <c r="L188" s="16"/>
      <c r="M188" s="16"/>
      <c r="N188" s="16"/>
      <c r="O188" s="16"/>
      <c r="P188" s="16" t="b">
        <f>IFERROR(__xludf.DUMMYFUNCTION("""COMPUTED_VALUE"""),TRUE)</f>
        <v>1</v>
      </c>
      <c r="Q188" s="16" t="b">
        <f>IFERROR(__xludf.DUMMYFUNCTION("""COMPUTED_VALUE"""),FALSE)</f>
        <v>0</v>
      </c>
      <c r="R188" s="16" t="str">
        <f>IFERROR(__xludf.DUMMYFUNCTION("""COMPUTED_VALUE"""),"Admin")</f>
        <v>Admin</v>
      </c>
      <c r="S188" s="16" t="str">
        <f>IFERROR(__xludf.DUMMYFUNCTION("""COMPUTED_VALUE"""),"UATTestingOrg")</f>
        <v>UATTestingOrg</v>
      </c>
      <c r="T188" s="16" t="str">
        <f>IFERROR(__xludf.DUMMYFUNCTION("""COMPUTED_VALUE"""),"Current Partner")</f>
        <v>Current Partner</v>
      </c>
      <c r="U188" s="16" t="b">
        <f>IFERROR(__xludf.DUMMYFUNCTION("""COMPUTED_VALUE"""),FALSE)</f>
        <v>0</v>
      </c>
      <c r="V188" s="16"/>
      <c r="W188" s="16"/>
      <c r="X188" s="16"/>
    </row>
    <row r="189">
      <c r="A189" s="16" t="str">
        <f>IFERROR(__xludf.DUMMYFUNCTION("""COMPUTED_VALUE"""),"Jason")</f>
        <v>Jason</v>
      </c>
      <c r="B189" s="16" t="str">
        <f>IFERROR(__xludf.DUMMYFUNCTION("""COMPUTED_VALUE"""),"Watling")</f>
        <v>Watling</v>
      </c>
      <c r="C189" s="16" t="str">
        <f>IFERROR(__xludf.DUMMYFUNCTION("""COMPUTED_VALUE"""),"Co-founder")</f>
        <v>Co-founder</v>
      </c>
      <c r="D189" s="16" t="str">
        <f>IFERROR(__xludf.DUMMYFUNCTION("""COMPUTED_VALUE"""),"Haast")</f>
        <v>Haast</v>
      </c>
      <c r="E189" s="16" t="str">
        <f>IFERROR(__xludf.DUMMYFUNCTION("""COMPUTED_VALUE"""),"Insurtech Vanguard")</f>
        <v>Insurtech Vanguard</v>
      </c>
      <c r="F189" s="16" t="str">
        <f>IFERROR(__xludf.DUMMYFUNCTION("""COMPUTED_VALUE"""),"jason@haast.io")</f>
        <v>jason@haast.io</v>
      </c>
      <c r="G189" s="16" t="str">
        <f>IFERROR(__xludf.DUMMYFUNCTION("""COMPUTED_VALUE"""),"Shannon Spies")</f>
        <v>Shannon Spies</v>
      </c>
      <c r="H189" s="16"/>
      <c r="I189" s="16"/>
      <c r="J189" s="16"/>
      <c r="K189" s="16"/>
      <c r="L189" s="16"/>
      <c r="M189" s="16"/>
      <c r="N189" s="16" t="str">
        <f>IFERROR(__xludf.DUMMYFUNCTION("""COMPUTED_VALUE"""),"Australia")</f>
        <v>Australia</v>
      </c>
      <c r="O189" s="16"/>
      <c r="P189" s="16" t="b">
        <f>IFERROR(__xludf.DUMMYFUNCTION("""COMPUTED_VALUE"""),TRUE)</f>
        <v>1</v>
      </c>
      <c r="Q189" s="16" t="b">
        <f>IFERROR(__xludf.DUMMYFUNCTION("""COMPUTED_VALUE"""),FALSE)</f>
        <v>0</v>
      </c>
      <c r="R189" s="16" t="str">
        <f>IFERROR(__xludf.DUMMYFUNCTION("""COMPUTED_VALUE"""),"")</f>
        <v/>
      </c>
      <c r="S189" s="16" t="str">
        <f>IFERROR(__xludf.DUMMYFUNCTION("""COMPUTED_VALUE"""),"Haast")</f>
        <v>Haast</v>
      </c>
      <c r="T189" s="16" t="str">
        <f>IFERROR(__xludf.DUMMYFUNCTION("""COMPUTED_VALUE"""),"Current Vanguard")</f>
        <v>Current Vanguard</v>
      </c>
      <c r="U189" s="16" t="b">
        <f>IFERROR(__xludf.DUMMYFUNCTION("""COMPUTED_VALUE"""),FALSE)</f>
        <v>0</v>
      </c>
      <c r="V189" s="16"/>
      <c r="W189" s="16"/>
      <c r="X189" s="16"/>
    </row>
    <row r="190">
      <c r="A190" s="16" t="str">
        <f>IFERROR(__xludf.DUMMYFUNCTION("""COMPUTED_VALUE"""),"Kathryn")</f>
        <v>Kathryn</v>
      </c>
      <c r="B190" s="16" t="str">
        <f>IFERROR(__xludf.DUMMYFUNCTION("""COMPUTED_VALUE"""),"Wood")</f>
        <v>Wood</v>
      </c>
      <c r="C190" s="16" t="str">
        <f>IFERROR(__xludf.DUMMYFUNCTION("""COMPUTED_VALUE"""),"COO")</f>
        <v>COO</v>
      </c>
      <c r="D190" s="16" t="str">
        <f>IFERROR(__xludf.DUMMYFUNCTION("""COMPUTED_VALUE"""),"Handdii LLC")</f>
        <v>Handdii LLC</v>
      </c>
      <c r="E190" s="16" t="str">
        <f>IFERROR(__xludf.DUMMYFUNCTION("""COMPUTED_VALUE"""),"Growth")</f>
        <v>Growth</v>
      </c>
      <c r="F190" s="16" t="str">
        <f>IFERROR(__xludf.DUMMYFUNCTION("""COMPUTED_VALUE"""),"kathryn@handdii.com")</f>
        <v>kathryn@handdii.com</v>
      </c>
      <c r="G190" s="16" t="str">
        <f>IFERROR(__xludf.DUMMYFUNCTION("""COMPUTED_VALUE"""),"Tim Kennedy")</f>
        <v>Tim Kennedy</v>
      </c>
      <c r="H190" s="16" t="str">
        <f>IFERROR(__xludf.DUMMYFUNCTION("""COMPUTED_VALUE"""),"PartnerConnect - Technology")</f>
        <v>PartnerConnect - Technology</v>
      </c>
      <c r="I190" s="16" t="str">
        <f>IFERROR(__xludf.DUMMYFUNCTION("""COMPUTED_VALUE"""),"361 Falls Rd")</f>
        <v>361 Falls Rd</v>
      </c>
      <c r="J190" s="16"/>
      <c r="K190" s="16" t="str">
        <f>IFERROR(__xludf.DUMMYFUNCTION("""COMPUTED_VALUE"""),"Grafton")</f>
        <v>Grafton</v>
      </c>
      <c r="L190" s="16" t="str">
        <f>IFERROR(__xludf.DUMMYFUNCTION("""COMPUTED_VALUE"""),"Wisconsin")</f>
        <v>Wisconsin</v>
      </c>
      <c r="M190" s="16">
        <f>IFERROR(__xludf.DUMMYFUNCTION("""COMPUTED_VALUE"""),53024.0)</f>
        <v>53024</v>
      </c>
      <c r="N190" s="16" t="str">
        <f>IFERROR(__xludf.DUMMYFUNCTION("""COMPUTED_VALUE"""),"United States")</f>
        <v>United States</v>
      </c>
      <c r="O190" s="16" t="str">
        <f>IFERROR(__xludf.DUMMYFUNCTION("""COMPUTED_VALUE"""),"Medium")</f>
        <v>Medium</v>
      </c>
      <c r="P190" s="16" t="b">
        <f>IFERROR(__xludf.DUMMYFUNCTION("""COMPUTED_VALUE"""),TRUE)</f>
        <v>1</v>
      </c>
      <c r="Q190" s="16" t="b">
        <f>IFERROR(__xludf.DUMMYFUNCTION("""COMPUTED_VALUE"""),TRUE)</f>
        <v>1</v>
      </c>
      <c r="R190" s="16" t="str">
        <f>IFERROR(__xludf.DUMMYFUNCTION("""COMPUTED_VALUE"""),"Admin, Business, Support")</f>
        <v>Admin, Business, Support</v>
      </c>
      <c r="S190" s="16" t="str">
        <f>IFERROR(__xludf.DUMMYFUNCTION("""COMPUTED_VALUE"""),"Handdii")</f>
        <v>Handdii</v>
      </c>
      <c r="T190" s="16" t="str">
        <f>IFERROR(__xludf.DUMMYFUNCTION("""COMPUTED_VALUE"""),"Current Partner")</f>
        <v>Current Partner</v>
      </c>
      <c r="U190" s="16" t="b">
        <f>IFERROR(__xludf.DUMMYFUNCTION("""COMPUTED_VALUE"""),FALSE)</f>
        <v>0</v>
      </c>
      <c r="V190" s="16"/>
      <c r="W190" s="16"/>
      <c r="X190" s="16"/>
    </row>
    <row r="191">
      <c r="A191" s="16" t="str">
        <f>IFERROR(__xludf.DUMMYFUNCTION("""COMPUTED_VALUE"""),"Christie")</f>
        <v>Christie</v>
      </c>
      <c r="B191" s="16" t="str">
        <f>IFERROR(__xludf.DUMMYFUNCTION("""COMPUTED_VALUE"""),"Wood")</f>
        <v>Wood</v>
      </c>
      <c r="C191" s="16" t="str">
        <f>IFERROR(__xludf.DUMMYFUNCTION("""COMPUTED_VALUE"""),"CEO")</f>
        <v>CEO</v>
      </c>
      <c r="D191" s="16" t="str">
        <f>IFERROR(__xludf.DUMMYFUNCTION("""COMPUTED_VALUE"""),"Handdii LLC")</f>
        <v>Handdii LLC</v>
      </c>
      <c r="E191" s="16" t="str">
        <f>IFERROR(__xludf.DUMMYFUNCTION("""COMPUTED_VALUE"""),"Growth")</f>
        <v>Growth</v>
      </c>
      <c r="F191" s="16" t="str">
        <f>IFERROR(__xludf.DUMMYFUNCTION("""COMPUTED_VALUE"""),"christie@handdii.com")</f>
        <v>christie@handdii.com</v>
      </c>
      <c r="G191" s="16" t="str">
        <f>IFERROR(__xludf.DUMMYFUNCTION("""COMPUTED_VALUE"""),"Tim Kennedy")</f>
        <v>Tim Kennedy</v>
      </c>
      <c r="H191" s="16" t="str">
        <f>IFERROR(__xludf.DUMMYFUNCTION("""COMPUTED_VALUE"""),"PartnerConnect - Technology")</f>
        <v>PartnerConnect - Technology</v>
      </c>
      <c r="I191" s="16" t="str">
        <f>IFERROR(__xludf.DUMMYFUNCTION("""COMPUTED_VALUE"""),"361 Falls Rd")</f>
        <v>361 Falls Rd</v>
      </c>
      <c r="J191" s="16"/>
      <c r="K191" s="16" t="str">
        <f>IFERROR(__xludf.DUMMYFUNCTION("""COMPUTED_VALUE"""),"Grafton")</f>
        <v>Grafton</v>
      </c>
      <c r="L191" s="16" t="str">
        <f>IFERROR(__xludf.DUMMYFUNCTION("""COMPUTED_VALUE"""),"Wisconsin")</f>
        <v>Wisconsin</v>
      </c>
      <c r="M191" s="16">
        <f>IFERROR(__xludf.DUMMYFUNCTION("""COMPUTED_VALUE"""),53024.0)</f>
        <v>53024</v>
      </c>
      <c r="N191" s="16" t="str">
        <f>IFERROR(__xludf.DUMMYFUNCTION("""COMPUTED_VALUE"""),"United States")</f>
        <v>United States</v>
      </c>
      <c r="O191" s="16" t="str">
        <f>IFERROR(__xludf.DUMMYFUNCTION("""COMPUTED_VALUE"""),"Medium")</f>
        <v>Medium</v>
      </c>
      <c r="P191" s="16" t="b">
        <f>IFERROR(__xludf.DUMMYFUNCTION("""COMPUTED_VALUE"""),TRUE)</f>
        <v>1</v>
      </c>
      <c r="Q191" s="16" t="b">
        <f>IFERROR(__xludf.DUMMYFUNCTION("""COMPUTED_VALUE"""),TRUE)</f>
        <v>1</v>
      </c>
      <c r="R191" s="16" t="str">
        <f>IFERROR(__xludf.DUMMYFUNCTION("""COMPUTED_VALUE"""),"Admin, Business, Events, Marketing, Client Partner / Partner Account Executive")</f>
        <v>Admin, Business, Events, Marketing, Client Partner / Partner Account Executive</v>
      </c>
      <c r="S191" s="16" t="str">
        <f>IFERROR(__xludf.DUMMYFUNCTION("""COMPUTED_VALUE"""),"Handdii")</f>
        <v>Handdii</v>
      </c>
      <c r="T191" s="16" t="str">
        <f>IFERROR(__xludf.DUMMYFUNCTION("""COMPUTED_VALUE"""),"Current Partner")</f>
        <v>Current Partner</v>
      </c>
      <c r="U191" s="16" t="b">
        <f>IFERROR(__xludf.DUMMYFUNCTION("""COMPUTED_VALUE"""),FALSE)</f>
        <v>0</v>
      </c>
      <c r="V191" s="16"/>
      <c r="W191" s="16"/>
      <c r="X191" s="16"/>
    </row>
    <row r="192">
      <c r="A192" s="16" t="str">
        <f>IFERROR(__xludf.DUMMYFUNCTION("""COMPUTED_VALUE"""),"Rob")</f>
        <v>Rob</v>
      </c>
      <c r="B192" s="16" t="str">
        <f>IFERROR(__xludf.DUMMYFUNCTION("""COMPUTED_VALUE"""),"Carling")</f>
        <v>Carling</v>
      </c>
      <c r="C192" s="16" t="str">
        <f>IFERROR(__xludf.DUMMYFUNCTION("""COMPUTED_VALUE"""),"Twinn - Channel Sales Manager")</f>
        <v>Twinn - Channel Sales Manager</v>
      </c>
      <c r="D192" s="16" t="str">
        <f>IFERROR(__xludf.DUMMYFUNCTION("""COMPUTED_VALUE"""),"Haskoning UK Ltd.")</f>
        <v>Haskoning UK Ltd.</v>
      </c>
      <c r="E192" s="16" t="str">
        <f>IFERROR(__xludf.DUMMYFUNCTION("""COMPUTED_VALUE"""),"Select")</f>
        <v>Select</v>
      </c>
      <c r="F192" s="16" t="str">
        <f>IFERROR(__xludf.DUMMYFUNCTION("""COMPUTED_VALUE"""),"rob.carling@rhdhv.com")</f>
        <v>rob.carling@rhdhv.com</v>
      </c>
      <c r="G192" s="16" t="str">
        <f>IFERROR(__xludf.DUMMYFUNCTION("""COMPUTED_VALUE"""),"Fatima Aoulagha-Bannou")</f>
        <v>Fatima Aoulagha-Bannou</v>
      </c>
      <c r="H192" s="16" t="str">
        <f>IFERROR(__xludf.DUMMYFUNCTION("""COMPUTED_VALUE"""),"PartnerConnect - Technology")</f>
        <v>PartnerConnect - Technology</v>
      </c>
      <c r="I192" s="16" t="str">
        <f>IFERROR(__xludf.DUMMYFUNCTION("""COMPUTED_VALUE"""),"Telecom House,")</f>
        <v>Telecom House,</v>
      </c>
      <c r="J192" s="16"/>
      <c r="K192" s="16" t="str">
        <f>IFERROR(__xludf.DUMMYFUNCTION("""COMPUTED_VALUE"""),"Brighton")</f>
        <v>Brighton</v>
      </c>
      <c r="L192" s="16" t="str">
        <f>IFERROR(__xludf.DUMMYFUNCTION("""COMPUTED_VALUE"""),"WEST SUSSEX")</f>
        <v>WEST SUSSEX</v>
      </c>
      <c r="M192" s="16" t="str">
        <f>IFERROR(__xludf.DUMMYFUNCTION("""COMPUTED_VALUE"""),"BN1 6AF")</f>
        <v>BN1 6AF</v>
      </c>
      <c r="N192" s="16" t="str">
        <f>IFERROR(__xludf.DUMMYFUNCTION("""COMPUTED_VALUE"""),"United Kingdom")</f>
        <v>United Kingdom</v>
      </c>
      <c r="O192" s="16" t="str">
        <f>IFERROR(__xludf.DUMMYFUNCTION("""COMPUTED_VALUE"""),"Medium")</f>
        <v>Medium</v>
      </c>
      <c r="P192" s="16" t="b">
        <f>IFERROR(__xludf.DUMMYFUNCTION("""COMPUTED_VALUE"""),TRUE)</f>
        <v>1</v>
      </c>
      <c r="Q192" s="16" t="b">
        <f>IFERROR(__xludf.DUMMYFUNCTION("""COMPUTED_VALUE"""),FALSE)</f>
        <v>0</v>
      </c>
      <c r="R192" s="16" t="str">
        <f>IFERROR(__xludf.DUMMYFUNCTION("""COMPUTED_VALUE"""),"Admin, Training")</f>
        <v>Admin, Training</v>
      </c>
      <c r="S192" s="16" t="str">
        <f>IFERROR(__xludf.DUMMYFUNCTION("""COMPUTED_VALUE"""),"Twinn")</f>
        <v>Twinn</v>
      </c>
      <c r="T192" s="16" t="str">
        <f>IFERROR(__xludf.DUMMYFUNCTION("""COMPUTED_VALUE"""),"Current Partner")</f>
        <v>Current Partner</v>
      </c>
      <c r="U192" s="16" t="b">
        <f>IFERROR(__xludf.DUMMYFUNCTION("""COMPUTED_VALUE"""),FALSE)</f>
        <v>0</v>
      </c>
      <c r="V192" s="16"/>
      <c r="W192" s="16"/>
      <c r="X192" s="16"/>
    </row>
    <row r="193">
      <c r="A193" s="16" t="str">
        <f>IFERROR(__xludf.DUMMYFUNCTION("""COMPUTED_VALUE"""),"john")</f>
        <v>john</v>
      </c>
      <c r="B193" s="16" t="str">
        <f>IFERROR(__xludf.DUMMYFUNCTION("""COMPUTED_VALUE"""),"vito")</f>
        <v>vito</v>
      </c>
      <c r="C193" s="16" t="str">
        <f>IFERROR(__xludf.DUMMYFUNCTION("""COMPUTED_VALUE"""),"Sr. Director Solutions and Partnerships")</f>
        <v>Sr. Director Solutions and Partnerships</v>
      </c>
      <c r="D193" s="16" t="str">
        <f>IFERROR(__xludf.DUMMYFUNCTION("""COMPUTED_VALUE"""),"Hertz")</f>
        <v>Hertz</v>
      </c>
      <c r="E193" s="16" t="str">
        <f>IFERROR(__xludf.DUMMYFUNCTION("""COMPUTED_VALUE"""),"Growth")</f>
        <v>Growth</v>
      </c>
      <c r="F193" s="16" t="str">
        <f>IFERROR(__xludf.DUMMYFUNCTION("""COMPUTED_VALUE"""),"jvito@hertz.com")</f>
        <v>jvito@hertz.com</v>
      </c>
      <c r="G193" s="16" t="str">
        <f>IFERROR(__xludf.DUMMYFUNCTION("""COMPUTED_VALUE"""),"Eric Apse")</f>
        <v>Eric Apse</v>
      </c>
      <c r="H193" s="16" t="str">
        <f>IFERROR(__xludf.DUMMYFUNCTION("""COMPUTED_VALUE"""),"PartnerConnect - Technology")</f>
        <v>PartnerConnect - Technology</v>
      </c>
      <c r="I193" s="16" t="str">
        <f>IFERROR(__xludf.DUMMYFUNCTION("""COMPUTED_VALUE"""),"6818 Wellington Dr")</f>
        <v>6818 Wellington Dr</v>
      </c>
      <c r="J193" s="16"/>
      <c r="K193" s="16" t="str">
        <f>IFERROR(__xludf.DUMMYFUNCTION("""COMPUTED_VALUE"""),"Naples")</f>
        <v>Naples</v>
      </c>
      <c r="L193" s="16" t="str">
        <f>IFERROR(__xludf.DUMMYFUNCTION("""COMPUTED_VALUE"""),"FLORIDA")</f>
        <v>FLORIDA</v>
      </c>
      <c r="M193" s="16">
        <f>IFERROR(__xludf.DUMMYFUNCTION("""COMPUTED_VALUE"""),34109.0)</f>
        <v>34109</v>
      </c>
      <c r="N193" s="16" t="str">
        <f>IFERROR(__xludf.DUMMYFUNCTION("""COMPUTED_VALUE"""),"United States")</f>
        <v>United States</v>
      </c>
      <c r="O193" s="16" t="str">
        <f>IFERROR(__xludf.DUMMYFUNCTION("""COMPUTED_VALUE"""),"High")</f>
        <v>High</v>
      </c>
      <c r="P193" s="16" t="b">
        <f>IFERROR(__xludf.DUMMYFUNCTION("""COMPUTED_VALUE"""),TRUE)</f>
        <v>1</v>
      </c>
      <c r="Q193" s="16" t="b">
        <f>IFERROR(__xludf.DUMMYFUNCTION("""COMPUTED_VALUE"""),TRUE)</f>
        <v>1</v>
      </c>
      <c r="R193" s="16" t="str">
        <f>IFERROR(__xludf.DUMMYFUNCTION("""COMPUTED_VALUE"""),"Admin, Business, Support")</f>
        <v>Admin, Business, Support</v>
      </c>
      <c r="S193" s="16" t="str">
        <f>IFERROR(__xludf.DUMMYFUNCTION("""COMPUTED_VALUE"""),"Hertz")</f>
        <v>Hertz</v>
      </c>
      <c r="T193" s="16" t="str">
        <f>IFERROR(__xludf.DUMMYFUNCTION("""COMPUTED_VALUE"""),"Current Partner")</f>
        <v>Current Partner</v>
      </c>
      <c r="U193" s="16" t="b">
        <f>IFERROR(__xludf.DUMMYFUNCTION("""COMPUTED_VALUE"""),FALSE)</f>
        <v>0</v>
      </c>
      <c r="V193" s="16"/>
      <c r="W193" s="16"/>
      <c r="X193" s="16"/>
    </row>
    <row r="194">
      <c r="A194" s="16" t="str">
        <f>IFERROR(__xludf.DUMMYFUNCTION("""COMPUTED_VALUE"""),"Randy")</f>
        <v>Randy</v>
      </c>
      <c r="B194" s="16" t="str">
        <f>IFERROR(__xludf.DUMMYFUNCTION("""COMPUTED_VALUE"""),"Askins")</f>
        <v>Askins</v>
      </c>
      <c r="C194" s="16"/>
      <c r="D194" s="16" t="str">
        <f>IFERROR(__xludf.DUMMYFUNCTION("""COMPUTED_VALUE"""),"Hertz")</f>
        <v>Hertz</v>
      </c>
      <c r="E194" s="16" t="str">
        <f>IFERROR(__xludf.DUMMYFUNCTION("""COMPUTED_VALUE"""),"Growth")</f>
        <v>Growth</v>
      </c>
      <c r="F194" s="16" t="str">
        <f>IFERROR(__xludf.DUMMYFUNCTION("""COMPUTED_VALUE"""),"randy.askins@hertz.com")</f>
        <v>randy.askins@hertz.com</v>
      </c>
      <c r="G194" s="16" t="str">
        <f>IFERROR(__xludf.DUMMYFUNCTION("""COMPUTED_VALUE"""),"Eric Apse")</f>
        <v>Eric Apse</v>
      </c>
      <c r="H194" s="16" t="str">
        <f>IFERROR(__xludf.DUMMYFUNCTION("""COMPUTED_VALUE"""),"PartnerConnect - Technology")</f>
        <v>PartnerConnect - Technology</v>
      </c>
      <c r="I194" s="16" t="str">
        <f>IFERROR(__xludf.DUMMYFUNCTION("""COMPUTED_VALUE"""),"8501 Williams Road")</f>
        <v>8501 Williams Road</v>
      </c>
      <c r="J194" s="16"/>
      <c r="K194" s="16" t="str">
        <f>IFERROR(__xludf.DUMMYFUNCTION("""COMPUTED_VALUE"""),"Estero")</f>
        <v>Estero</v>
      </c>
      <c r="L194" s="16" t="str">
        <f>IFERROR(__xludf.DUMMYFUNCTION("""COMPUTED_VALUE"""),"Florida")</f>
        <v>Florida</v>
      </c>
      <c r="M194" s="16">
        <f>IFERROR(__xludf.DUMMYFUNCTION("""COMPUTED_VALUE"""),33928.0)</f>
        <v>33928</v>
      </c>
      <c r="N194" s="16" t="str">
        <f>IFERROR(__xludf.DUMMYFUNCTION("""COMPUTED_VALUE"""),"United States")</f>
        <v>United States</v>
      </c>
      <c r="O194" s="16" t="str">
        <f>IFERROR(__xludf.DUMMYFUNCTION("""COMPUTED_VALUE"""),"High")</f>
        <v>High</v>
      </c>
      <c r="P194" s="16" t="b">
        <f>IFERROR(__xludf.DUMMYFUNCTION("""COMPUTED_VALUE"""),TRUE)</f>
        <v>1</v>
      </c>
      <c r="Q194" s="16" t="b">
        <f>IFERROR(__xludf.DUMMYFUNCTION("""COMPUTED_VALUE"""),FALSE)</f>
        <v>0</v>
      </c>
      <c r="R194" s="16" t="str">
        <f>IFERROR(__xludf.DUMMYFUNCTION("""COMPUTED_VALUE"""),"Business, Support, Technical")</f>
        <v>Business, Support, Technical</v>
      </c>
      <c r="S194" s="16" t="str">
        <f>IFERROR(__xludf.DUMMYFUNCTION("""COMPUTED_VALUE"""),"Hertz")</f>
        <v>Hertz</v>
      </c>
      <c r="T194" s="16" t="str">
        <f>IFERROR(__xludf.DUMMYFUNCTION("""COMPUTED_VALUE"""),"Current Partner")</f>
        <v>Current Partner</v>
      </c>
      <c r="U194" s="16" t="b">
        <f>IFERROR(__xludf.DUMMYFUNCTION("""COMPUTED_VALUE"""),FALSE)</f>
        <v>0</v>
      </c>
      <c r="V194" s="16"/>
      <c r="W194" s="16"/>
      <c r="X194" s="16"/>
    </row>
    <row r="195">
      <c r="A195" s="16" t="str">
        <f>IFERROR(__xludf.DUMMYFUNCTION("""COMPUTED_VALUE"""),"Mitesh")</f>
        <v>Mitesh</v>
      </c>
      <c r="B195" s="16" t="str">
        <f>IFERROR(__xludf.DUMMYFUNCTION("""COMPUTED_VALUE"""),"Suchak")</f>
        <v>Suchak</v>
      </c>
      <c r="C195" s="16" t="str">
        <f>IFERROR(__xludf.DUMMYFUNCTION("""COMPUTED_VALUE"""),"COO &amp; Co-founder")</f>
        <v>COO &amp; Co-founder</v>
      </c>
      <c r="D195" s="16" t="str">
        <f>IFERROR(__xludf.DUMMYFUNCTION("""COMPUTED_VALUE"""),"Hi Marley")</f>
        <v>Hi Marley</v>
      </c>
      <c r="E195" s="16" t="str">
        <f>IFERROR(__xludf.DUMMYFUNCTION("""COMPUTED_VALUE"""),"Premier")</f>
        <v>Premier</v>
      </c>
      <c r="F195" s="16" t="str">
        <f>IFERROR(__xludf.DUMMYFUNCTION("""COMPUTED_VALUE"""),"mitesh@himarley.com")</f>
        <v>mitesh@himarley.com</v>
      </c>
      <c r="G195" s="16" t="str">
        <f>IFERROR(__xludf.DUMMYFUNCTION("""COMPUTED_VALUE"""),"Eric Apse")</f>
        <v>Eric Apse</v>
      </c>
      <c r="H195" s="16" t="str">
        <f>IFERROR(__xludf.DUMMYFUNCTION("""COMPUTED_VALUE"""),"PartnerConnect - Technology")</f>
        <v>PartnerConnect - Technology</v>
      </c>
      <c r="I195" s="16" t="str">
        <f>IFERROR(__xludf.DUMMYFUNCTION("""COMPUTED_VALUE"""),"77 Franklin St, 9th Floor")</f>
        <v>77 Franklin St, 9th Floor</v>
      </c>
      <c r="J195" s="16"/>
      <c r="K195" s="16" t="str">
        <f>IFERROR(__xludf.DUMMYFUNCTION("""COMPUTED_VALUE"""),"Boston")</f>
        <v>Boston</v>
      </c>
      <c r="L195" s="16" t="str">
        <f>IFERROR(__xludf.DUMMYFUNCTION("""COMPUTED_VALUE"""),"MA")</f>
        <v>MA</v>
      </c>
      <c r="M195" s="16">
        <f>IFERROR(__xludf.DUMMYFUNCTION("""COMPUTED_VALUE"""),2110.0)</f>
        <v>2110</v>
      </c>
      <c r="N195" s="16" t="str">
        <f>IFERROR(__xludf.DUMMYFUNCTION("""COMPUTED_VALUE"""),"United States")</f>
        <v>United States</v>
      </c>
      <c r="O195" s="16" t="str">
        <f>IFERROR(__xludf.DUMMYFUNCTION("""COMPUTED_VALUE"""),"High")</f>
        <v>High</v>
      </c>
      <c r="P195" s="16" t="b">
        <f>IFERROR(__xludf.DUMMYFUNCTION("""COMPUTED_VALUE"""),TRUE)</f>
        <v>1</v>
      </c>
      <c r="Q195" s="16" t="b">
        <f>IFERROR(__xludf.DUMMYFUNCTION("""COMPUTED_VALUE"""),FALSE)</f>
        <v>0</v>
      </c>
      <c r="R195" s="16" t="str">
        <f>IFERROR(__xludf.DUMMYFUNCTION("""COMPUTED_VALUE"""),"Admin, Admin, Business, Marketing")</f>
        <v>Admin, Admin, Business, Marketing</v>
      </c>
      <c r="S195" s="16" t="str">
        <f>IFERROR(__xludf.DUMMYFUNCTION("""COMPUTED_VALUE"""),"Hi Marley")</f>
        <v>Hi Marley</v>
      </c>
      <c r="T195" s="16" t="str">
        <f>IFERROR(__xludf.DUMMYFUNCTION("""COMPUTED_VALUE"""),"Current Partner")</f>
        <v>Current Partner</v>
      </c>
      <c r="U195" s="16" t="b">
        <f>IFERROR(__xludf.DUMMYFUNCTION("""COMPUTED_VALUE"""),FALSE)</f>
        <v>0</v>
      </c>
      <c r="V195" s="16"/>
      <c r="W195" s="16"/>
      <c r="X195" s="16"/>
    </row>
    <row r="196">
      <c r="A196" s="16" t="str">
        <f>IFERROR(__xludf.DUMMYFUNCTION("""COMPUTED_VALUE"""),"Amy")</f>
        <v>Amy</v>
      </c>
      <c r="B196" s="16" t="str">
        <f>IFERROR(__xludf.DUMMYFUNCTION("""COMPUTED_VALUE"""),"Finn")</f>
        <v>Finn</v>
      </c>
      <c r="C196" s="16" t="str">
        <f>IFERROR(__xludf.DUMMYFUNCTION("""COMPUTED_VALUE"""),"VP Brand &amp; Communications")</f>
        <v>VP Brand &amp; Communications</v>
      </c>
      <c r="D196" s="16" t="str">
        <f>IFERROR(__xludf.DUMMYFUNCTION("""COMPUTED_VALUE"""),"Hi Marley")</f>
        <v>Hi Marley</v>
      </c>
      <c r="E196" s="16" t="str">
        <f>IFERROR(__xludf.DUMMYFUNCTION("""COMPUTED_VALUE"""),"Premier")</f>
        <v>Premier</v>
      </c>
      <c r="F196" s="16" t="str">
        <f>IFERROR(__xludf.DUMMYFUNCTION("""COMPUTED_VALUE"""),"amy.finn@himarley.com")</f>
        <v>amy.finn@himarley.com</v>
      </c>
      <c r="G196" s="16" t="str">
        <f>IFERROR(__xludf.DUMMYFUNCTION("""COMPUTED_VALUE"""),"Eric Apse")</f>
        <v>Eric Apse</v>
      </c>
      <c r="H196" s="16" t="str">
        <f>IFERROR(__xludf.DUMMYFUNCTION("""COMPUTED_VALUE"""),"PartnerConnect - Technology")</f>
        <v>PartnerConnect - Technology</v>
      </c>
      <c r="I196" s="16"/>
      <c r="J196" s="16"/>
      <c r="K196" s="16"/>
      <c r="L196" s="16"/>
      <c r="M196" s="16"/>
      <c r="N196" s="16" t="str">
        <f>IFERROR(__xludf.DUMMYFUNCTION("""COMPUTED_VALUE"""),"United States")</f>
        <v>United States</v>
      </c>
      <c r="O196" s="16" t="str">
        <f>IFERROR(__xludf.DUMMYFUNCTION("""COMPUTED_VALUE"""),"High")</f>
        <v>High</v>
      </c>
      <c r="P196" s="16" t="b">
        <f>IFERROR(__xludf.DUMMYFUNCTION("""COMPUTED_VALUE"""),FALSE)</f>
        <v>0</v>
      </c>
      <c r="Q196" s="16" t="b">
        <f>IFERROR(__xludf.DUMMYFUNCTION("""COMPUTED_VALUE"""),TRUE)</f>
        <v>1</v>
      </c>
      <c r="R196" s="16" t="str">
        <f>IFERROR(__xludf.DUMMYFUNCTION("""COMPUTED_VALUE"""),"Admin, Business, Events, Marketing")</f>
        <v>Admin, Business, Events, Marketing</v>
      </c>
      <c r="S196" s="16" t="str">
        <f>IFERROR(__xludf.DUMMYFUNCTION("""COMPUTED_VALUE"""),"Hi Marley")</f>
        <v>Hi Marley</v>
      </c>
      <c r="T196" s="16" t="str">
        <f>IFERROR(__xludf.DUMMYFUNCTION("""COMPUTED_VALUE"""),"Current Partner")</f>
        <v>Current Partner</v>
      </c>
      <c r="U196" s="16" t="b">
        <f>IFERROR(__xludf.DUMMYFUNCTION("""COMPUTED_VALUE"""),FALSE)</f>
        <v>0</v>
      </c>
      <c r="V196" s="16"/>
      <c r="W196" s="16"/>
      <c r="X196" s="16"/>
    </row>
    <row r="197">
      <c r="A197" s="16" t="str">
        <f>IFERROR(__xludf.DUMMYFUNCTION("""COMPUTED_VALUE"""),"Christina")</f>
        <v>Christina</v>
      </c>
      <c r="B197" s="16" t="str">
        <f>IFERROR(__xludf.DUMMYFUNCTION("""COMPUTED_VALUE"""),"Politano")</f>
        <v>Politano</v>
      </c>
      <c r="C197" s="16" t="str">
        <f>IFERROR(__xludf.DUMMYFUNCTION("""COMPUTED_VALUE"""),"Social Media Manager and Designer")</f>
        <v>Social Media Manager and Designer</v>
      </c>
      <c r="D197" s="16" t="str">
        <f>IFERROR(__xludf.DUMMYFUNCTION("""COMPUTED_VALUE"""),"Hi Marley")</f>
        <v>Hi Marley</v>
      </c>
      <c r="E197" s="16" t="str">
        <f>IFERROR(__xludf.DUMMYFUNCTION("""COMPUTED_VALUE"""),"Premier")</f>
        <v>Premier</v>
      </c>
      <c r="F197" s="16" t="str">
        <f>IFERROR(__xludf.DUMMYFUNCTION("""COMPUTED_VALUE"""),"christina.politano@himarley.com")</f>
        <v>christina.politano@himarley.com</v>
      </c>
      <c r="G197" s="16" t="str">
        <f>IFERROR(__xludf.DUMMYFUNCTION("""COMPUTED_VALUE"""),"Eric Apse")</f>
        <v>Eric Apse</v>
      </c>
      <c r="H197" s="16" t="str">
        <f>IFERROR(__xludf.DUMMYFUNCTION("""COMPUTED_VALUE"""),"PartnerConnect - Technology")</f>
        <v>PartnerConnect - Technology</v>
      </c>
      <c r="I197" s="16"/>
      <c r="J197" s="16"/>
      <c r="K197" s="16"/>
      <c r="L197" s="16"/>
      <c r="M197" s="16"/>
      <c r="N197" s="16" t="str">
        <f>IFERROR(__xludf.DUMMYFUNCTION("""COMPUTED_VALUE"""),"United States")</f>
        <v>United States</v>
      </c>
      <c r="O197" s="16" t="str">
        <f>IFERROR(__xludf.DUMMYFUNCTION("""COMPUTED_VALUE"""),"High")</f>
        <v>High</v>
      </c>
      <c r="P197" s="16" t="b">
        <f>IFERROR(__xludf.DUMMYFUNCTION("""COMPUTED_VALUE"""),FALSE)</f>
        <v>0</v>
      </c>
      <c r="Q197" s="16" t="b">
        <f>IFERROR(__xludf.DUMMYFUNCTION("""COMPUTED_VALUE"""),TRUE)</f>
        <v>1</v>
      </c>
      <c r="R197" s="16" t="str">
        <f>IFERROR(__xludf.DUMMYFUNCTION("""COMPUTED_VALUE"""),"Admin")</f>
        <v>Admin</v>
      </c>
      <c r="S197" s="16" t="str">
        <f>IFERROR(__xludf.DUMMYFUNCTION("""COMPUTED_VALUE"""),"Hi Marley")</f>
        <v>Hi Marley</v>
      </c>
      <c r="T197" s="16" t="str">
        <f>IFERROR(__xludf.DUMMYFUNCTION("""COMPUTED_VALUE"""),"Current Partner")</f>
        <v>Current Partner</v>
      </c>
      <c r="U197" s="16" t="b">
        <f>IFERROR(__xludf.DUMMYFUNCTION("""COMPUTED_VALUE"""),FALSE)</f>
        <v>0</v>
      </c>
      <c r="V197" s="16"/>
      <c r="W197" s="16"/>
      <c r="X197" s="16"/>
    </row>
    <row r="198">
      <c r="A198" s="16" t="str">
        <f>IFERROR(__xludf.DUMMYFUNCTION("""COMPUTED_VALUE"""),"Jay")</f>
        <v>Jay</v>
      </c>
      <c r="B198" s="16" t="str">
        <f>IFERROR(__xludf.DUMMYFUNCTION("""COMPUTED_VALUE"""),"Guden")</f>
        <v>Guden</v>
      </c>
      <c r="C198" s="16" t="str">
        <f>IFERROR(__xludf.DUMMYFUNCTION("""COMPUTED_VALUE"""),"SVP Partnerships")</f>
        <v>SVP Partnerships</v>
      </c>
      <c r="D198" s="16" t="str">
        <f>IFERROR(__xludf.DUMMYFUNCTION("""COMPUTED_VALUE"""),"Hi Marley")</f>
        <v>Hi Marley</v>
      </c>
      <c r="E198" s="16" t="str">
        <f>IFERROR(__xludf.DUMMYFUNCTION("""COMPUTED_VALUE"""),"Premier")</f>
        <v>Premier</v>
      </c>
      <c r="F198" s="16" t="str">
        <f>IFERROR(__xludf.DUMMYFUNCTION("""COMPUTED_VALUE"""),"jay.guden@himarley.com")</f>
        <v>jay.guden@himarley.com</v>
      </c>
      <c r="G198" s="16" t="str">
        <f>IFERROR(__xludf.DUMMYFUNCTION("""COMPUTED_VALUE"""),"Eric Apse")</f>
        <v>Eric Apse</v>
      </c>
      <c r="H198" s="16" t="str">
        <f>IFERROR(__xludf.DUMMYFUNCTION("""COMPUTED_VALUE"""),"PartnerConnect - Technology")</f>
        <v>PartnerConnect - Technology</v>
      </c>
      <c r="I198" s="16" t="str">
        <f>IFERROR(__xludf.DUMMYFUNCTION("""COMPUTED_VALUE"""),"10 Post Office Square")</f>
        <v>10 Post Office Square</v>
      </c>
      <c r="J198" s="16"/>
      <c r="K198" s="16" t="str">
        <f>IFERROR(__xludf.DUMMYFUNCTION("""COMPUTED_VALUE"""),"Boston")</f>
        <v>Boston</v>
      </c>
      <c r="L198" s="16" t="str">
        <f>IFERROR(__xludf.DUMMYFUNCTION("""COMPUTED_VALUE"""),"Massachusetts")</f>
        <v>Massachusetts</v>
      </c>
      <c r="M198" s="16">
        <f>IFERROR(__xludf.DUMMYFUNCTION("""COMPUTED_VALUE"""),2109.0)</f>
        <v>2109</v>
      </c>
      <c r="N198" s="16" t="str">
        <f>IFERROR(__xludf.DUMMYFUNCTION("""COMPUTED_VALUE"""),"United States")</f>
        <v>United States</v>
      </c>
      <c r="O198" s="16" t="str">
        <f>IFERROR(__xludf.DUMMYFUNCTION("""COMPUTED_VALUE"""),"High")</f>
        <v>High</v>
      </c>
      <c r="P198" s="16" t="b">
        <f>IFERROR(__xludf.DUMMYFUNCTION("""COMPUTED_VALUE"""),TRUE)</f>
        <v>1</v>
      </c>
      <c r="Q198" s="16" t="b">
        <f>IFERROR(__xludf.DUMMYFUNCTION("""COMPUTED_VALUE"""),FALSE)</f>
        <v>0</v>
      </c>
      <c r="R198" s="16" t="str">
        <f>IFERROR(__xludf.DUMMYFUNCTION("""COMPUTED_VALUE"""),"Admin, Business, Marketing")</f>
        <v>Admin, Business, Marketing</v>
      </c>
      <c r="S198" s="16" t="str">
        <f>IFERROR(__xludf.DUMMYFUNCTION("""COMPUTED_VALUE"""),"Hi Marley")</f>
        <v>Hi Marley</v>
      </c>
      <c r="T198" s="16" t="str">
        <f>IFERROR(__xludf.DUMMYFUNCTION("""COMPUTED_VALUE"""),"Current Partner")</f>
        <v>Current Partner</v>
      </c>
      <c r="U198" s="16" t="b">
        <f>IFERROR(__xludf.DUMMYFUNCTION("""COMPUTED_VALUE"""),FALSE)</f>
        <v>0</v>
      </c>
      <c r="V198" s="16"/>
      <c r="W198" s="16"/>
      <c r="X198" s="16"/>
    </row>
    <row r="199">
      <c r="A199" s="16" t="str">
        <f>IFERROR(__xludf.DUMMYFUNCTION("""COMPUTED_VALUE"""),"Lauren")</f>
        <v>Lauren</v>
      </c>
      <c r="B199" s="16" t="str">
        <f>IFERROR(__xludf.DUMMYFUNCTION("""COMPUTED_VALUE"""),"McCollem")</f>
        <v>McCollem</v>
      </c>
      <c r="C199" s="16" t="str">
        <f>IFERROR(__xludf.DUMMYFUNCTION("""COMPUTED_VALUE"""),"COO")</f>
        <v>COO</v>
      </c>
      <c r="D199" s="16" t="str">
        <f>IFERROR(__xludf.DUMMYFUNCTION("""COMPUTED_VALUE"""),"Hi Marley")</f>
        <v>Hi Marley</v>
      </c>
      <c r="E199" s="16" t="str">
        <f>IFERROR(__xludf.DUMMYFUNCTION("""COMPUTED_VALUE"""),"Premier")</f>
        <v>Premier</v>
      </c>
      <c r="F199" s="16" t="str">
        <f>IFERROR(__xludf.DUMMYFUNCTION("""COMPUTED_VALUE"""),"lauren.mccollem@himarley.com")</f>
        <v>lauren.mccollem@himarley.com</v>
      </c>
      <c r="G199" s="16" t="str">
        <f>IFERROR(__xludf.DUMMYFUNCTION("""COMPUTED_VALUE"""),"Eric Apse")</f>
        <v>Eric Apse</v>
      </c>
      <c r="H199" s="16" t="str">
        <f>IFERROR(__xludf.DUMMYFUNCTION("""COMPUTED_VALUE"""),"PartnerConnect - Technology")</f>
        <v>PartnerConnect - Technology</v>
      </c>
      <c r="I199" s="16" t="str">
        <f>IFERROR(__xludf.DUMMYFUNCTION("""COMPUTED_VALUE"""),"10 Post Office Square")</f>
        <v>10 Post Office Square</v>
      </c>
      <c r="J199" s="16"/>
      <c r="K199" s="16" t="str">
        <f>IFERROR(__xludf.DUMMYFUNCTION("""COMPUTED_VALUE"""),"Boston")</f>
        <v>Boston</v>
      </c>
      <c r="L199" s="16" t="str">
        <f>IFERROR(__xludf.DUMMYFUNCTION("""COMPUTED_VALUE"""),"MASSACHUSETTS")</f>
        <v>MASSACHUSETTS</v>
      </c>
      <c r="M199" s="16">
        <f>IFERROR(__xludf.DUMMYFUNCTION("""COMPUTED_VALUE"""),2109.0)</f>
        <v>2109</v>
      </c>
      <c r="N199" s="16" t="str">
        <f>IFERROR(__xludf.DUMMYFUNCTION("""COMPUTED_VALUE"""),"United States")</f>
        <v>United States</v>
      </c>
      <c r="O199" s="16" t="str">
        <f>IFERROR(__xludf.DUMMYFUNCTION("""COMPUTED_VALUE"""),"High")</f>
        <v>High</v>
      </c>
      <c r="P199" s="16" t="b">
        <f>IFERROR(__xludf.DUMMYFUNCTION("""COMPUTED_VALUE"""),FALSE)</f>
        <v>0</v>
      </c>
      <c r="Q199" s="16" t="b">
        <f>IFERROR(__xludf.DUMMYFUNCTION("""COMPUTED_VALUE"""),TRUE)</f>
        <v>1</v>
      </c>
      <c r="R199" s="16" t="str">
        <f>IFERROR(__xludf.DUMMYFUNCTION("""COMPUTED_VALUE"""),"Marketing")</f>
        <v>Marketing</v>
      </c>
      <c r="S199" s="16" t="str">
        <f>IFERROR(__xludf.DUMMYFUNCTION("""COMPUTED_VALUE"""),"Hi Marley")</f>
        <v>Hi Marley</v>
      </c>
      <c r="T199" s="16" t="str">
        <f>IFERROR(__xludf.DUMMYFUNCTION("""COMPUTED_VALUE"""),"Current Partner")</f>
        <v>Current Partner</v>
      </c>
      <c r="U199" s="16" t="b">
        <f>IFERROR(__xludf.DUMMYFUNCTION("""COMPUTED_VALUE"""),FALSE)</f>
        <v>0</v>
      </c>
      <c r="V199" s="16"/>
      <c r="W199" s="16"/>
      <c r="X199" s="16"/>
    </row>
    <row r="200">
      <c r="A200" s="16" t="str">
        <f>IFERROR(__xludf.DUMMYFUNCTION("""COMPUTED_VALUE"""),"Jessica")</f>
        <v>Jessica</v>
      </c>
      <c r="B200" s="16" t="str">
        <f>IFERROR(__xludf.DUMMYFUNCTION("""COMPUTED_VALUE"""),"Keigan")</f>
        <v>Keigan</v>
      </c>
      <c r="C200" s="16" t="str">
        <f>IFERROR(__xludf.DUMMYFUNCTION("""COMPUTED_VALUE"""),"Marketing Manager, Events")</f>
        <v>Marketing Manager, Events</v>
      </c>
      <c r="D200" s="16" t="str">
        <f>IFERROR(__xludf.DUMMYFUNCTION("""COMPUTED_VALUE"""),"Hi Marley")</f>
        <v>Hi Marley</v>
      </c>
      <c r="E200" s="16" t="str">
        <f>IFERROR(__xludf.DUMMYFUNCTION("""COMPUTED_VALUE"""),"Premier")</f>
        <v>Premier</v>
      </c>
      <c r="F200" s="16" t="str">
        <f>IFERROR(__xludf.DUMMYFUNCTION("""COMPUTED_VALUE"""),"jessica.keigan@himarley.com")</f>
        <v>jessica.keigan@himarley.com</v>
      </c>
      <c r="G200" s="16" t="str">
        <f>IFERROR(__xludf.DUMMYFUNCTION("""COMPUTED_VALUE"""),"Eric Apse")</f>
        <v>Eric Apse</v>
      </c>
      <c r="H200" s="16" t="str">
        <f>IFERROR(__xludf.DUMMYFUNCTION("""COMPUTED_VALUE"""),"PartnerConnect - Technology")</f>
        <v>PartnerConnect - Technology</v>
      </c>
      <c r="I200" s="16" t="str">
        <f>IFERROR(__xludf.DUMMYFUNCTION("""COMPUTED_VALUE"""),"10 Post Office Square")</f>
        <v>10 Post Office Square</v>
      </c>
      <c r="J200" s="16"/>
      <c r="K200" s="16" t="str">
        <f>IFERROR(__xludf.DUMMYFUNCTION("""COMPUTED_VALUE"""),"Boston")</f>
        <v>Boston</v>
      </c>
      <c r="L200" s="16" t="str">
        <f>IFERROR(__xludf.DUMMYFUNCTION("""COMPUTED_VALUE"""),"Massachusetts")</f>
        <v>Massachusetts</v>
      </c>
      <c r="M200" s="16">
        <f>IFERROR(__xludf.DUMMYFUNCTION("""COMPUTED_VALUE"""),2109.0)</f>
        <v>2109</v>
      </c>
      <c r="N200" s="16" t="str">
        <f>IFERROR(__xludf.DUMMYFUNCTION("""COMPUTED_VALUE"""),"United States")</f>
        <v>United States</v>
      </c>
      <c r="O200" s="16" t="str">
        <f>IFERROR(__xludf.DUMMYFUNCTION("""COMPUTED_VALUE"""),"High")</f>
        <v>High</v>
      </c>
      <c r="P200" s="16" t="b">
        <f>IFERROR(__xludf.DUMMYFUNCTION("""COMPUTED_VALUE"""),FALSE)</f>
        <v>0</v>
      </c>
      <c r="Q200" s="16" t="b">
        <f>IFERROR(__xludf.DUMMYFUNCTION("""COMPUTED_VALUE"""),TRUE)</f>
        <v>1</v>
      </c>
      <c r="R200" s="16" t="str">
        <f>IFERROR(__xludf.DUMMYFUNCTION("""COMPUTED_VALUE"""),"Events, Marketing")</f>
        <v>Events, Marketing</v>
      </c>
      <c r="S200" s="16" t="str">
        <f>IFERROR(__xludf.DUMMYFUNCTION("""COMPUTED_VALUE"""),"Hi Marley")</f>
        <v>Hi Marley</v>
      </c>
      <c r="T200" s="16" t="str">
        <f>IFERROR(__xludf.DUMMYFUNCTION("""COMPUTED_VALUE"""),"Current Partner")</f>
        <v>Current Partner</v>
      </c>
      <c r="U200" s="16" t="b">
        <f>IFERROR(__xludf.DUMMYFUNCTION("""COMPUTED_VALUE"""),FALSE)</f>
        <v>0</v>
      </c>
      <c r="V200" s="16"/>
      <c r="W200" s="16"/>
      <c r="X200" s="16"/>
    </row>
    <row r="201">
      <c r="A201" s="16" t="str">
        <f>IFERROR(__xludf.DUMMYFUNCTION("""COMPUTED_VALUE"""),"Rick")</f>
        <v>Rick</v>
      </c>
      <c r="B201" s="16" t="str">
        <f>IFERROR(__xludf.DUMMYFUNCTION("""COMPUTED_VALUE"""),"Bushell")</f>
        <v>Bushell</v>
      </c>
      <c r="C201" s="16" t="str">
        <f>IFERROR(__xludf.DUMMYFUNCTION("""COMPUTED_VALUE"""),"CTO")</f>
        <v>CTO</v>
      </c>
      <c r="D201" s="16" t="str">
        <f>IFERROR(__xludf.DUMMYFUNCTION("""COMPUTED_VALUE"""),"HONK Technologies Inc")</f>
        <v>HONK Technologies Inc</v>
      </c>
      <c r="E201" s="16" t="str">
        <f>IFERROR(__xludf.DUMMYFUNCTION("""COMPUTED_VALUE"""),"Growth")</f>
        <v>Growth</v>
      </c>
      <c r="F201" s="16" t="str">
        <f>IFERROR(__xludf.DUMMYFUNCTION("""COMPUTED_VALUE"""),"rick@honkforhelp.com")</f>
        <v>rick@honkforhelp.com</v>
      </c>
      <c r="G201" s="16" t="str">
        <f>IFERROR(__xludf.DUMMYFUNCTION("""COMPUTED_VALUE"""),"Shannon Spies")</f>
        <v>Shannon Spies</v>
      </c>
      <c r="H201" s="16" t="str">
        <f>IFERROR(__xludf.DUMMYFUNCTION("""COMPUTED_VALUE"""),"PartnerConnect - Technology")</f>
        <v>PartnerConnect - Technology</v>
      </c>
      <c r="I201" s="16" t="str">
        <f>IFERROR(__xludf.DUMMYFUNCTION("""COMPUTED_VALUE"""),"11400 W. Olympic Blvd
")</f>
        <v>11400 W. Olympic Blvd
</v>
      </c>
      <c r="J201" s="16" t="str">
        <f>IFERROR(__xludf.DUMMYFUNCTION("""COMPUTED_VALUE"""),"Suite 200")</f>
        <v>Suite 200</v>
      </c>
      <c r="K201" s="16" t="str">
        <f>IFERROR(__xludf.DUMMYFUNCTION("""COMPUTED_VALUE"""),"Los Angeles")</f>
        <v>Los Angeles</v>
      </c>
      <c r="L201" s="16" t="str">
        <f>IFERROR(__xludf.DUMMYFUNCTION("""COMPUTED_VALUE"""),"CA")</f>
        <v>CA</v>
      </c>
      <c r="M201" s="16">
        <f>IFERROR(__xludf.DUMMYFUNCTION("""COMPUTED_VALUE"""),90064.0)</f>
        <v>90064</v>
      </c>
      <c r="N201" s="16" t="str">
        <f>IFERROR(__xludf.DUMMYFUNCTION("""COMPUTED_VALUE"""),"United States")</f>
        <v>United States</v>
      </c>
      <c r="O201" s="16" t="str">
        <f>IFERROR(__xludf.DUMMYFUNCTION("""COMPUTED_VALUE"""),"Low")</f>
        <v>Low</v>
      </c>
      <c r="P201" s="16" t="b">
        <f>IFERROR(__xludf.DUMMYFUNCTION("""COMPUTED_VALUE"""),TRUE)</f>
        <v>1</v>
      </c>
      <c r="Q201" s="16" t="b">
        <f>IFERROR(__xludf.DUMMYFUNCTION("""COMPUTED_VALUE"""),TRUE)</f>
        <v>1</v>
      </c>
      <c r="R201" s="16" t="str">
        <f>IFERROR(__xludf.DUMMYFUNCTION("""COMPUTED_VALUE"""),"Admin, Marketing, Support, Training")</f>
        <v>Admin, Marketing, Support, Training</v>
      </c>
      <c r="S201" s="16" t="str">
        <f>IFERROR(__xludf.DUMMYFUNCTION("""COMPUTED_VALUE"""),"HONK Technologies")</f>
        <v>HONK Technologies</v>
      </c>
      <c r="T201" s="16" t="str">
        <f>IFERROR(__xludf.DUMMYFUNCTION("""COMPUTED_VALUE"""),"Current Partner")</f>
        <v>Current Partner</v>
      </c>
      <c r="U201" s="16" t="b">
        <f>IFERROR(__xludf.DUMMYFUNCTION("""COMPUTED_VALUE"""),FALSE)</f>
        <v>0</v>
      </c>
      <c r="V201" s="16"/>
      <c r="W201" s="16"/>
      <c r="X201" s="16"/>
    </row>
    <row r="202">
      <c r="A202" s="16" t="str">
        <f>IFERROR(__xludf.DUMMYFUNCTION("""COMPUTED_VALUE"""),"Ilya")</f>
        <v>Ilya</v>
      </c>
      <c r="B202" s="16" t="str">
        <f>IFERROR(__xludf.DUMMYFUNCTION("""COMPUTED_VALUE"""),"Ginzburg")</f>
        <v>Ginzburg</v>
      </c>
      <c r="C202" s="16" t="str">
        <f>IFERROR(__xludf.DUMMYFUNCTION("""COMPUTED_VALUE"""),"Strategic Partnerships Senior Manager")</f>
        <v>Strategic Partnerships Senior Manager</v>
      </c>
      <c r="D202" s="16" t="str">
        <f>IFERROR(__xludf.DUMMYFUNCTION("""COMPUTED_VALUE"""),"HOVER")</f>
        <v>HOVER</v>
      </c>
      <c r="E202" s="16" t="str">
        <f>IFERROR(__xludf.DUMMYFUNCTION("""COMPUTED_VALUE"""),"Growth")</f>
        <v>Growth</v>
      </c>
      <c r="F202" s="16" t="str">
        <f>IFERROR(__xludf.DUMMYFUNCTION("""COMPUTED_VALUE"""),"ilya.ginzburg@hover.to")</f>
        <v>ilya.ginzburg@hover.to</v>
      </c>
      <c r="G202" s="16" t="str">
        <f>IFERROR(__xludf.DUMMYFUNCTION("""COMPUTED_VALUE"""),"Aaron Shaw")</f>
        <v>Aaron Shaw</v>
      </c>
      <c r="H202" s="16" t="str">
        <f>IFERROR(__xludf.DUMMYFUNCTION("""COMPUTED_VALUE"""),"PartnerConnect - Technology")</f>
        <v>PartnerConnect - Technology</v>
      </c>
      <c r="I202" s="16" t="str">
        <f>IFERROR(__xludf.DUMMYFUNCTION("""COMPUTED_VALUE"""),"225 Bush Street")</f>
        <v>225 Bush Street</v>
      </c>
      <c r="J202" s="16"/>
      <c r="K202" s="16" t="str">
        <f>IFERROR(__xludf.DUMMYFUNCTION("""COMPUTED_VALUE"""),"San Francisco")</f>
        <v>San Francisco</v>
      </c>
      <c r="L202" s="16" t="str">
        <f>IFERROR(__xludf.DUMMYFUNCTION("""COMPUTED_VALUE"""),"California")</f>
        <v>California</v>
      </c>
      <c r="M202" s="16">
        <f>IFERROR(__xludf.DUMMYFUNCTION("""COMPUTED_VALUE"""),94104.0)</f>
        <v>94104</v>
      </c>
      <c r="N202" s="16" t="str">
        <f>IFERROR(__xludf.DUMMYFUNCTION("""COMPUTED_VALUE"""),"United States")</f>
        <v>United States</v>
      </c>
      <c r="O202" s="16" t="str">
        <f>IFERROR(__xludf.DUMMYFUNCTION("""COMPUTED_VALUE"""),"Low")</f>
        <v>Low</v>
      </c>
      <c r="P202" s="16" t="b">
        <f>IFERROR(__xludf.DUMMYFUNCTION("""COMPUTED_VALUE"""),TRUE)</f>
        <v>1</v>
      </c>
      <c r="Q202" s="16" t="b">
        <f>IFERROR(__xludf.DUMMYFUNCTION("""COMPUTED_VALUE"""),FALSE)</f>
        <v>0</v>
      </c>
      <c r="R202" s="16" t="str">
        <f>IFERROR(__xludf.DUMMYFUNCTION("""COMPUTED_VALUE"""),"Admin, Business, Events, Marketing")</f>
        <v>Admin, Business, Events, Marketing</v>
      </c>
      <c r="S202" s="16" t="str">
        <f>IFERROR(__xludf.DUMMYFUNCTION("""COMPUTED_VALUE"""),"Hover")</f>
        <v>Hover</v>
      </c>
      <c r="T202" s="16" t="str">
        <f>IFERROR(__xludf.DUMMYFUNCTION("""COMPUTED_VALUE"""),"Current Partner")</f>
        <v>Current Partner</v>
      </c>
      <c r="U202" s="16" t="b">
        <f>IFERROR(__xludf.DUMMYFUNCTION("""COMPUTED_VALUE"""),FALSE)</f>
        <v>0</v>
      </c>
      <c r="V202" s="16"/>
      <c r="W202" s="16"/>
      <c r="X202" s="16"/>
    </row>
    <row r="203">
      <c r="A203" s="16" t="str">
        <f>IFERROR(__xludf.DUMMYFUNCTION("""COMPUTED_VALUE"""),"Nicholas")</f>
        <v>Nicholas</v>
      </c>
      <c r="B203" s="16" t="str">
        <f>IFERROR(__xludf.DUMMYFUNCTION("""COMPUTED_VALUE"""),"Yee")</f>
        <v>Yee</v>
      </c>
      <c r="C203" s="16" t="str">
        <f>IFERROR(__xludf.DUMMYFUNCTION("""COMPUTED_VALUE"""),"Chief Technology Officer")</f>
        <v>Chief Technology Officer</v>
      </c>
      <c r="D203" s="16" t="str">
        <f>IFERROR(__xludf.DUMMYFUNCTION("""COMPUTED_VALUE"""),"Hubio")</f>
        <v>Hubio</v>
      </c>
      <c r="E203" s="16" t="str">
        <f>IFERROR(__xludf.DUMMYFUNCTION("""COMPUTED_VALUE"""),"Growth")</f>
        <v>Growth</v>
      </c>
      <c r="F203" s="16" t="str">
        <f>IFERROR(__xludf.DUMMYFUNCTION("""COMPUTED_VALUE"""),"nicholas.yee@hubio.ca")</f>
        <v>nicholas.yee@hubio.ca</v>
      </c>
      <c r="G203" s="16" t="str">
        <f>IFERROR(__xludf.DUMMYFUNCTION("""COMPUTED_VALUE"""),"Gregg Rabenold")</f>
        <v>Gregg Rabenold</v>
      </c>
      <c r="H203" s="16" t="str">
        <f>IFERROR(__xludf.DUMMYFUNCTION("""COMPUTED_VALUE"""),"PartnerConnect - Technology")</f>
        <v>PartnerConnect - Technology</v>
      </c>
      <c r="I203" s="16" t="str">
        <f>IFERROR(__xludf.DUMMYFUNCTION("""COMPUTED_VALUE"""),"20 Victoria Street")</f>
        <v>20 Victoria Street</v>
      </c>
      <c r="J203" s="16"/>
      <c r="K203" s="16" t="str">
        <f>IFERROR(__xludf.DUMMYFUNCTION("""COMPUTED_VALUE"""),"Toronto")</f>
        <v>Toronto</v>
      </c>
      <c r="L203" s="16" t="str">
        <f>IFERROR(__xludf.DUMMYFUNCTION("""COMPUTED_VALUE"""),"ONTARIO")</f>
        <v>ONTARIO</v>
      </c>
      <c r="M203" s="16" t="str">
        <f>IFERROR(__xludf.DUMMYFUNCTION("""COMPUTED_VALUE"""),"M5C2N8")</f>
        <v>M5C2N8</v>
      </c>
      <c r="N203" s="16" t="str">
        <f>IFERROR(__xludf.DUMMYFUNCTION("""COMPUTED_VALUE"""),"Canada")</f>
        <v>Canada</v>
      </c>
      <c r="O203" s="16" t="str">
        <f>IFERROR(__xludf.DUMMYFUNCTION("""COMPUTED_VALUE"""),"Medium")</f>
        <v>Medium</v>
      </c>
      <c r="P203" s="16" t="b">
        <f>IFERROR(__xludf.DUMMYFUNCTION("""COMPUTED_VALUE"""),TRUE)</f>
        <v>1</v>
      </c>
      <c r="Q203" s="16" t="b">
        <f>IFERROR(__xludf.DUMMYFUNCTION("""COMPUTED_VALUE"""),FALSE)</f>
        <v>0</v>
      </c>
      <c r="R203" s="16" t="str">
        <f>IFERROR(__xludf.DUMMYFUNCTION("""COMPUTED_VALUE"""),"Admin, Business, Marketing, Support, Technical, Delivery Lead / BA")</f>
        <v>Admin, Business, Marketing, Support, Technical, Delivery Lead / BA</v>
      </c>
      <c r="S203" s="16" t="str">
        <f>IFERROR(__xludf.DUMMYFUNCTION("""COMPUTED_VALUE"""),"Hubio")</f>
        <v>Hubio</v>
      </c>
      <c r="T203" s="16" t="str">
        <f>IFERROR(__xludf.DUMMYFUNCTION("""COMPUTED_VALUE"""),"Current Partner")</f>
        <v>Current Partner</v>
      </c>
      <c r="U203" s="16" t="b">
        <f>IFERROR(__xludf.DUMMYFUNCTION("""COMPUTED_VALUE"""),FALSE)</f>
        <v>0</v>
      </c>
      <c r="V203" s="16"/>
      <c r="W203" s="16"/>
      <c r="X203" s="16"/>
    </row>
    <row r="204">
      <c r="A204" s="16" t="str">
        <f>IFERROR(__xludf.DUMMYFUNCTION("""COMPUTED_VALUE"""),"Philip")</f>
        <v>Philip</v>
      </c>
      <c r="B204" s="16" t="str">
        <f>IFERROR(__xludf.DUMMYFUNCTION("""COMPUTED_VALUE"""),"Henville")</f>
        <v>Henville</v>
      </c>
      <c r="C204" s="16" t="str">
        <f>IFERROR(__xludf.DUMMYFUNCTION("""COMPUTED_VALUE"""),"President and CEO")</f>
        <v>President and CEO</v>
      </c>
      <c r="D204" s="16" t="str">
        <f>IFERROR(__xludf.DUMMYFUNCTION("""COMPUTED_VALUE"""),"Hubio")</f>
        <v>Hubio</v>
      </c>
      <c r="E204" s="16" t="str">
        <f>IFERROR(__xludf.DUMMYFUNCTION("""COMPUTED_VALUE"""),"Growth")</f>
        <v>Growth</v>
      </c>
      <c r="F204" s="16" t="str">
        <f>IFERROR(__xludf.DUMMYFUNCTION("""COMPUTED_VALUE"""),"philip.henville@hubio.com")</f>
        <v>philip.henville@hubio.com</v>
      </c>
      <c r="G204" s="16" t="str">
        <f>IFERROR(__xludf.DUMMYFUNCTION("""COMPUTED_VALUE"""),"Gregg Rabenold")</f>
        <v>Gregg Rabenold</v>
      </c>
      <c r="H204" s="16" t="str">
        <f>IFERROR(__xludf.DUMMYFUNCTION("""COMPUTED_VALUE"""),"PartnerConnect - Technology")</f>
        <v>PartnerConnect - Technology</v>
      </c>
      <c r="I204" s="16" t="str">
        <f>IFERROR(__xludf.DUMMYFUNCTION("""COMPUTED_VALUE"""),"900-90 Adelaide St W")</f>
        <v>900-90 Adelaide St W</v>
      </c>
      <c r="J204" s="16"/>
      <c r="K204" s="16" t="str">
        <f>IFERROR(__xludf.DUMMYFUNCTION("""COMPUTED_VALUE"""),"Toronto")</f>
        <v>Toronto</v>
      </c>
      <c r="L204" s="16" t="str">
        <f>IFERROR(__xludf.DUMMYFUNCTION("""COMPUTED_VALUE"""),"ONTARIO")</f>
        <v>ONTARIO</v>
      </c>
      <c r="M204" s="16" t="str">
        <f>IFERROR(__xludf.DUMMYFUNCTION("""COMPUTED_VALUE"""),"M5H3V9")</f>
        <v>M5H3V9</v>
      </c>
      <c r="N204" s="16" t="str">
        <f>IFERROR(__xludf.DUMMYFUNCTION("""COMPUTED_VALUE"""),"Canada")</f>
        <v>Canada</v>
      </c>
      <c r="O204" s="16" t="str">
        <f>IFERROR(__xludf.DUMMYFUNCTION("""COMPUTED_VALUE"""),"Medium")</f>
        <v>Medium</v>
      </c>
      <c r="P204" s="16" t="b">
        <f>IFERROR(__xludf.DUMMYFUNCTION("""COMPUTED_VALUE"""),TRUE)</f>
        <v>1</v>
      </c>
      <c r="Q204" s="16" t="b">
        <f>IFERROR(__xludf.DUMMYFUNCTION("""COMPUTED_VALUE"""),FALSE)</f>
        <v>0</v>
      </c>
      <c r="R204" s="16" t="str">
        <f>IFERROR(__xludf.DUMMYFUNCTION("""COMPUTED_VALUE"""),"Business")</f>
        <v>Business</v>
      </c>
      <c r="S204" s="16" t="str">
        <f>IFERROR(__xludf.DUMMYFUNCTION("""COMPUTED_VALUE"""),"Hubio")</f>
        <v>Hubio</v>
      </c>
      <c r="T204" s="16" t="str">
        <f>IFERROR(__xludf.DUMMYFUNCTION("""COMPUTED_VALUE"""),"Current Partner")</f>
        <v>Current Partner</v>
      </c>
      <c r="U204" s="16" t="b">
        <f>IFERROR(__xludf.DUMMYFUNCTION("""COMPUTED_VALUE"""),FALSE)</f>
        <v>0</v>
      </c>
      <c r="V204" s="16"/>
      <c r="W204" s="16"/>
      <c r="X204" s="16"/>
    </row>
    <row r="205">
      <c r="A205" s="16" t="str">
        <f>IFERROR(__xludf.DUMMYFUNCTION("""COMPUTED_VALUE"""),"Silvia")</f>
        <v>Silvia</v>
      </c>
      <c r="B205" s="16" t="str">
        <f>IFERROR(__xludf.DUMMYFUNCTION("""COMPUTED_VALUE"""),"Zhang Jin")</f>
        <v>Zhang Jin</v>
      </c>
      <c r="C205" s="16" t="str">
        <f>IFERROR(__xludf.DUMMYFUNCTION("""COMPUTED_VALUE"""),"Director, Product Management")</f>
        <v>Director, Product Management</v>
      </c>
      <c r="D205" s="16" t="str">
        <f>IFERROR(__xludf.DUMMYFUNCTION("""COMPUTED_VALUE"""),"Hubio")</f>
        <v>Hubio</v>
      </c>
      <c r="E205" s="16" t="str">
        <f>IFERROR(__xludf.DUMMYFUNCTION("""COMPUTED_VALUE"""),"Growth")</f>
        <v>Growth</v>
      </c>
      <c r="F205" s="16" t="str">
        <f>IFERROR(__xludf.DUMMYFUNCTION("""COMPUTED_VALUE"""),"silvia.zhangjin@hubio.com")</f>
        <v>silvia.zhangjin@hubio.com</v>
      </c>
      <c r="G205" s="16" t="str">
        <f>IFERROR(__xludf.DUMMYFUNCTION("""COMPUTED_VALUE"""),"Gregg Rabenold")</f>
        <v>Gregg Rabenold</v>
      </c>
      <c r="H205" s="16" t="str">
        <f>IFERROR(__xludf.DUMMYFUNCTION("""COMPUTED_VALUE"""),"PartnerConnect - Technology")</f>
        <v>PartnerConnect - Technology</v>
      </c>
      <c r="I205" s="16" t="str">
        <f>IFERROR(__xludf.DUMMYFUNCTION("""COMPUTED_VALUE"""),"900-90 Adelaide St W")</f>
        <v>900-90 Adelaide St W</v>
      </c>
      <c r="J205" s="16"/>
      <c r="K205" s="16" t="str">
        <f>IFERROR(__xludf.DUMMYFUNCTION("""COMPUTED_VALUE"""),"Toronto")</f>
        <v>Toronto</v>
      </c>
      <c r="L205" s="16" t="str">
        <f>IFERROR(__xludf.DUMMYFUNCTION("""COMPUTED_VALUE"""),"Ontario")</f>
        <v>Ontario</v>
      </c>
      <c r="M205" s="16" t="str">
        <f>IFERROR(__xludf.DUMMYFUNCTION("""COMPUTED_VALUE"""),"M5H 3V9")</f>
        <v>M5H 3V9</v>
      </c>
      <c r="N205" s="16" t="str">
        <f>IFERROR(__xludf.DUMMYFUNCTION("""COMPUTED_VALUE"""),"Canada")</f>
        <v>Canada</v>
      </c>
      <c r="O205" s="16" t="str">
        <f>IFERROR(__xludf.DUMMYFUNCTION("""COMPUTED_VALUE"""),"Medium")</f>
        <v>Medium</v>
      </c>
      <c r="P205" s="16" t="b">
        <f>IFERROR(__xludf.DUMMYFUNCTION("""COMPUTED_VALUE"""),TRUE)</f>
        <v>1</v>
      </c>
      <c r="Q205" s="16" t="b">
        <f>IFERROR(__xludf.DUMMYFUNCTION("""COMPUTED_VALUE"""),FALSE)</f>
        <v>0</v>
      </c>
      <c r="R205" s="16" t="str">
        <f>IFERROR(__xludf.DUMMYFUNCTION("""COMPUTED_VALUE"""),"Support, Technical")</f>
        <v>Support, Technical</v>
      </c>
      <c r="S205" s="16" t="str">
        <f>IFERROR(__xludf.DUMMYFUNCTION("""COMPUTED_VALUE"""),"Hubio")</f>
        <v>Hubio</v>
      </c>
      <c r="T205" s="16" t="str">
        <f>IFERROR(__xludf.DUMMYFUNCTION("""COMPUTED_VALUE"""),"Current Partner")</f>
        <v>Current Partner</v>
      </c>
      <c r="U205" s="16" t="b">
        <f>IFERROR(__xludf.DUMMYFUNCTION("""COMPUTED_VALUE"""),FALSE)</f>
        <v>0</v>
      </c>
      <c r="V205" s="16"/>
      <c r="W205" s="16"/>
      <c r="X205" s="16"/>
    </row>
    <row r="206">
      <c r="A206" s="16" t="str">
        <f>IFERROR(__xludf.DUMMYFUNCTION("""COMPUTED_VALUE"""),"Francoise")</f>
        <v>Francoise</v>
      </c>
      <c r="B206" s="16" t="str">
        <f>IFERROR(__xludf.DUMMYFUNCTION("""COMPUTED_VALUE"""),"Gelbard")</f>
        <v>Gelbard</v>
      </c>
      <c r="C206" s="16" t="str">
        <f>IFERROR(__xludf.DUMMYFUNCTION("""COMPUTED_VALUE"""),"Co-Founder")</f>
        <v>Co-Founder</v>
      </c>
      <c r="D206" s="16" t="str">
        <f>IFERROR(__xludf.DUMMYFUNCTION("""COMPUTED_VALUE"""),"Humanable")</f>
        <v>Humanable</v>
      </c>
      <c r="E206" s="16" t="str">
        <f>IFERROR(__xludf.DUMMYFUNCTION("""COMPUTED_VALUE"""),"Insurtech Vanguard")</f>
        <v>Insurtech Vanguard</v>
      </c>
      <c r="F206" s="16" t="str">
        <f>IFERROR(__xludf.DUMMYFUNCTION("""COMPUTED_VALUE"""),"francoise@humanablecx.com")</f>
        <v>francoise@humanablecx.com</v>
      </c>
      <c r="G206" s="16" t="str">
        <f>IFERROR(__xludf.DUMMYFUNCTION("""COMPUTED_VALUE"""),"Shannon Spies")</f>
        <v>Shannon Spies</v>
      </c>
      <c r="H206" s="16"/>
      <c r="I206" s="16"/>
      <c r="J206" s="16"/>
      <c r="K206" s="16"/>
      <c r="L206" s="16"/>
      <c r="M206" s="16"/>
      <c r="N206" s="16" t="str">
        <f>IFERROR(__xludf.DUMMYFUNCTION("""COMPUTED_VALUE"""),"Australia")</f>
        <v>Australia</v>
      </c>
      <c r="O206" s="16"/>
      <c r="P206" s="16" t="b">
        <f>IFERROR(__xludf.DUMMYFUNCTION("""COMPUTED_VALUE"""),TRUE)</f>
        <v>1</v>
      </c>
      <c r="Q206" s="16" t="b">
        <f>IFERROR(__xludf.DUMMYFUNCTION("""COMPUTED_VALUE"""),FALSE)</f>
        <v>0</v>
      </c>
      <c r="R206" s="16" t="str">
        <f>IFERROR(__xludf.DUMMYFUNCTION("""COMPUTED_VALUE"""),"")</f>
        <v/>
      </c>
      <c r="S206" s="16" t="str">
        <f>IFERROR(__xludf.DUMMYFUNCTION("""COMPUTED_VALUE"""),"Humanable")</f>
        <v>Humanable</v>
      </c>
      <c r="T206" s="16" t="str">
        <f>IFERROR(__xludf.DUMMYFUNCTION("""COMPUTED_VALUE"""),"Current Vanguard")</f>
        <v>Current Vanguard</v>
      </c>
      <c r="U206" s="16" t="b">
        <f>IFERROR(__xludf.DUMMYFUNCTION("""COMPUTED_VALUE"""),FALSE)</f>
        <v>0</v>
      </c>
      <c r="V206" s="16"/>
      <c r="W206" s="16"/>
      <c r="X206" s="16"/>
    </row>
    <row r="207">
      <c r="A207" s="16" t="str">
        <f>IFERROR(__xludf.DUMMYFUNCTION("""COMPUTED_VALUE"""),"Cara")</f>
        <v>Cara</v>
      </c>
      <c r="B207" s="16" t="str">
        <f>IFERROR(__xludf.DUMMYFUNCTION("""COMPUTED_VALUE"""),"McFarlane")</f>
        <v>McFarlane</v>
      </c>
      <c r="C207" s="16" t="str">
        <f>IFERROR(__xludf.DUMMYFUNCTION("""COMPUTED_VALUE"""),"Global Portfolio Marketing Manager")</f>
        <v>Global Portfolio Marketing Manager</v>
      </c>
      <c r="D207" s="16" t="str">
        <f>IFERROR(__xludf.DUMMYFUNCTION("""COMPUTED_VALUE"""),"Hyland Software, Inc.")</f>
        <v>Hyland Software, Inc.</v>
      </c>
      <c r="E207" s="16" t="str">
        <f>IFERROR(__xludf.DUMMYFUNCTION("""COMPUTED_VALUE"""),"Premier")</f>
        <v>Premier</v>
      </c>
      <c r="F207" s="16" t="str">
        <f>IFERROR(__xludf.DUMMYFUNCTION("""COMPUTED_VALUE"""),"cara.mcfarlane@onbase.com")</f>
        <v>cara.mcfarlane@onbase.com</v>
      </c>
      <c r="G207" s="16" t="str">
        <f>IFERROR(__xludf.DUMMYFUNCTION("""COMPUTED_VALUE"""),"Rod Gowin")</f>
        <v>Rod Gowin</v>
      </c>
      <c r="H207" s="16" t="str">
        <f>IFERROR(__xludf.DUMMYFUNCTION("""COMPUTED_VALUE"""),"PartnerConnect - Technology")</f>
        <v>PartnerConnect - Technology</v>
      </c>
      <c r="I207" s="16" t="str">
        <f>IFERROR(__xludf.DUMMYFUNCTION("""COMPUTED_VALUE"""),"Hyland Software
")</f>
        <v>Hyland Software
</v>
      </c>
      <c r="J207" s="16" t="str">
        <f>IFERROR(__xludf.DUMMYFUNCTION("""COMPUTED_VALUE"""),"28500 Clemens Road")</f>
        <v>28500 Clemens Road</v>
      </c>
      <c r="K207" s="16" t="str">
        <f>IFERROR(__xludf.DUMMYFUNCTION("""COMPUTED_VALUE"""),"Westlake")</f>
        <v>Westlake</v>
      </c>
      <c r="L207" s="16" t="str">
        <f>IFERROR(__xludf.DUMMYFUNCTION("""COMPUTED_VALUE"""),"Ohio")</f>
        <v>Ohio</v>
      </c>
      <c r="M207" s="16">
        <f>IFERROR(__xludf.DUMMYFUNCTION("""COMPUTED_VALUE"""),44145.0)</f>
        <v>44145</v>
      </c>
      <c r="N207" s="16" t="str">
        <f>IFERROR(__xludf.DUMMYFUNCTION("""COMPUTED_VALUE"""),"United States")</f>
        <v>United States</v>
      </c>
      <c r="O207" s="16" t="str">
        <f>IFERROR(__xludf.DUMMYFUNCTION("""COMPUTED_VALUE"""),"Medium")</f>
        <v>Medium</v>
      </c>
      <c r="P207" s="16" t="b">
        <f>IFERROR(__xludf.DUMMYFUNCTION("""COMPUTED_VALUE"""),FALSE)</f>
        <v>0</v>
      </c>
      <c r="Q207" s="16" t="b">
        <f>IFERROR(__xludf.DUMMYFUNCTION("""COMPUTED_VALUE"""),TRUE)</f>
        <v>1</v>
      </c>
      <c r="R207" s="16" t="str">
        <f>IFERROR(__xludf.DUMMYFUNCTION("""COMPUTED_VALUE"""),"Business, Events, Marketing")</f>
        <v>Business, Events, Marketing</v>
      </c>
      <c r="S207" s="16" t="str">
        <f>IFERROR(__xludf.DUMMYFUNCTION("""COMPUTED_VALUE"""),"Hyland")</f>
        <v>Hyland</v>
      </c>
      <c r="T207" s="16" t="str">
        <f>IFERROR(__xludf.DUMMYFUNCTION("""COMPUTED_VALUE"""),"Current Partner")</f>
        <v>Current Partner</v>
      </c>
      <c r="U207" s="16" t="b">
        <f>IFERROR(__xludf.DUMMYFUNCTION("""COMPUTED_VALUE"""),FALSE)</f>
        <v>0</v>
      </c>
      <c r="V207" s="16"/>
      <c r="W207" s="16"/>
      <c r="X207" s="16"/>
    </row>
    <row r="208">
      <c r="A208" s="16" t="str">
        <f>IFERROR(__xludf.DUMMYFUNCTION("""COMPUTED_VALUE"""),"Karen")</f>
        <v>Karen</v>
      </c>
      <c r="B208" s="16" t="str">
        <f>IFERROR(__xludf.DUMMYFUNCTION("""COMPUTED_VALUE"""),"Thomas")</f>
        <v>Thomas</v>
      </c>
      <c r="C208" s="16" t="str">
        <f>IFERROR(__xludf.DUMMYFUNCTION("""COMPUTED_VALUE"""),"Alliance Manager")</f>
        <v>Alliance Manager</v>
      </c>
      <c r="D208" s="16" t="str">
        <f>IFERROR(__xludf.DUMMYFUNCTION("""COMPUTED_VALUE"""),"Hyland Software, Inc.")</f>
        <v>Hyland Software, Inc.</v>
      </c>
      <c r="E208" s="16" t="str">
        <f>IFERROR(__xludf.DUMMYFUNCTION("""COMPUTED_VALUE"""),"Premier")</f>
        <v>Premier</v>
      </c>
      <c r="F208" s="16" t="str">
        <f>IFERROR(__xludf.DUMMYFUNCTION("""COMPUTED_VALUE"""),"karen.thomas@hyland.com")</f>
        <v>karen.thomas@hyland.com</v>
      </c>
      <c r="G208" s="16" t="str">
        <f>IFERROR(__xludf.DUMMYFUNCTION("""COMPUTED_VALUE"""),"Rod Gowin")</f>
        <v>Rod Gowin</v>
      </c>
      <c r="H208" s="16" t="str">
        <f>IFERROR(__xludf.DUMMYFUNCTION("""COMPUTED_VALUE"""),"PartnerConnect - Technology")</f>
        <v>PartnerConnect - Technology</v>
      </c>
      <c r="I208" s="16" t="str">
        <f>IFERROR(__xludf.DUMMYFUNCTION("""COMPUTED_VALUE"""),"28500 Clemens Road")</f>
        <v>28500 Clemens Road</v>
      </c>
      <c r="J208" s="16"/>
      <c r="K208" s="16" t="str">
        <f>IFERROR(__xludf.DUMMYFUNCTION("""COMPUTED_VALUE"""),"Westlake")</f>
        <v>Westlake</v>
      </c>
      <c r="L208" s="16" t="str">
        <f>IFERROR(__xludf.DUMMYFUNCTION("""COMPUTED_VALUE"""),"Ohio")</f>
        <v>Ohio</v>
      </c>
      <c r="M208" s="16">
        <f>IFERROR(__xludf.DUMMYFUNCTION("""COMPUTED_VALUE"""),44145.0)</f>
        <v>44145</v>
      </c>
      <c r="N208" s="16" t="str">
        <f>IFERROR(__xludf.DUMMYFUNCTION("""COMPUTED_VALUE"""),"United States")</f>
        <v>United States</v>
      </c>
      <c r="O208" s="16" t="str">
        <f>IFERROR(__xludf.DUMMYFUNCTION("""COMPUTED_VALUE"""),"Medium")</f>
        <v>Medium</v>
      </c>
      <c r="P208" s="16" t="b">
        <f>IFERROR(__xludf.DUMMYFUNCTION("""COMPUTED_VALUE"""),TRUE)</f>
        <v>1</v>
      </c>
      <c r="Q208" s="16" t="b">
        <f>IFERROR(__xludf.DUMMYFUNCTION("""COMPUTED_VALUE"""),FALSE)</f>
        <v>0</v>
      </c>
      <c r="R208" s="16" t="str">
        <f>IFERROR(__xludf.DUMMYFUNCTION("""COMPUTED_VALUE"""),"Admin, Business, Support")</f>
        <v>Admin, Business, Support</v>
      </c>
      <c r="S208" s="16" t="str">
        <f>IFERROR(__xludf.DUMMYFUNCTION("""COMPUTED_VALUE"""),"Hyland")</f>
        <v>Hyland</v>
      </c>
      <c r="T208" s="16" t="str">
        <f>IFERROR(__xludf.DUMMYFUNCTION("""COMPUTED_VALUE"""),"Current Partner")</f>
        <v>Current Partner</v>
      </c>
      <c r="U208" s="16" t="b">
        <f>IFERROR(__xludf.DUMMYFUNCTION("""COMPUTED_VALUE"""),FALSE)</f>
        <v>0</v>
      </c>
      <c r="V208" s="16"/>
      <c r="W208" s="16"/>
      <c r="X208" s="16"/>
    </row>
    <row r="209">
      <c r="A209" s="16" t="str">
        <f>IFERROR(__xludf.DUMMYFUNCTION("""COMPUTED_VALUE"""),"Jimmie")</f>
        <v>Jimmie</v>
      </c>
      <c r="B209" s="16" t="str">
        <f>IFERROR(__xludf.DUMMYFUNCTION("""COMPUTED_VALUE"""),"Corrigan")</f>
        <v>Corrigan</v>
      </c>
      <c r="C209" s="16" t="str">
        <f>IFERROR(__xludf.DUMMYFUNCTION("""COMPUTED_VALUE"""),"Global Programs, Insurance")</f>
        <v>Global Programs, Insurance</v>
      </c>
      <c r="D209" s="16" t="str">
        <f>IFERROR(__xludf.DUMMYFUNCTION("""COMPUTED_VALUE"""),"Hyland Software, Inc.")</f>
        <v>Hyland Software, Inc.</v>
      </c>
      <c r="E209" s="16" t="str">
        <f>IFERROR(__xludf.DUMMYFUNCTION("""COMPUTED_VALUE"""),"Premier")</f>
        <v>Premier</v>
      </c>
      <c r="F209" s="16" t="str">
        <f>IFERROR(__xludf.DUMMYFUNCTION("""COMPUTED_VALUE"""),"jimmie.corrigan@hyland.com")</f>
        <v>jimmie.corrigan@hyland.com</v>
      </c>
      <c r="G209" s="16" t="str">
        <f>IFERROR(__xludf.DUMMYFUNCTION("""COMPUTED_VALUE"""),"Rod Gowin")</f>
        <v>Rod Gowin</v>
      </c>
      <c r="H209" s="16" t="str">
        <f>IFERROR(__xludf.DUMMYFUNCTION("""COMPUTED_VALUE"""),"PartnerConnect - Technology")</f>
        <v>PartnerConnect - Technology</v>
      </c>
      <c r="I209" s="16" t="str">
        <f>IFERROR(__xludf.DUMMYFUNCTION("""COMPUTED_VALUE"""),"28105 Clemens Road")</f>
        <v>28105 Clemens Road</v>
      </c>
      <c r="J209" s="16"/>
      <c r="K209" s="16" t="str">
        <f>IFERROR(__xludf.DUMMYFUNCTION("""COMPUTED_VALUE"""),"Westlake")</f>
        <v>Westlake</v>
      </c>
      <c r="L209" s="16" t="str">
        <f>IFERROR(__xludf.DUMMYFUNCTION("""COMPUTED_VALUE"""),"Ohio")</f>
        <v>Ohio</v>
      </c>
      <c r="M209" s="16">
        <f>IFERROR(__xludf.DUMMYFUNCTION("""COMPUTED_VALUE"""),44145.0)</f>
        <v>44145</v>
      </c>
      <c r="N209" s="16" t="str">
        <f>IFERROR(__xludf.DUMMYFUNCTION("""COMPUTED_VALUE"""),"United States")</f>
        <v>United States</v>
      </c>
      <c r="O209" s="16" t="str">
        <f>IFERROR(__xludf.DUMMYFUNCTION("""COMPUTED_VALUE"""),"Medium")</f>
        <v>Medium</v>
      </c>
      <c r="P209" s="16" t="b">
        <f>IFERROR(__xludf.DUMMYFUNCTION("""COMPUTED_VALUE"""),FALSE)</f>
        <v>0</v>
      </c>
      <c r="Q209" s="16" t="b">
        <f>IFERROR(__xludf.DUMMYFUNCTION("""COMPUTED_VALUE"""),TRUE)</f>
        <v>1</v>
      </c>
      <c r="R209" s="16" t="str">
        <f>IFERROR(__xludf.DUMMYFUNCTION("""COMPUTED_VALUE"""),"Marketing")</f>
        <v>Marketing</v>
      </c>
      <c r="S209" s="16" t="str">
        <f>IFERROR(__xludf.DUMMYFUNCTION("""COMPUTED_VALUE"""),"Hyland")</f>
        <v>Hyland</v>
      </c>
      <c r="T209" s="16" t="str">
        <f>IFERROR(__xludf.DUMMYFUNCTION("""COMPUTED_VALUE"""),"Current Partner")</f>
        <v>Current Partner</v>
      </c>
      <c r="U209" s="16" t="b">
        <f>IFERROR(__xludf.DUMMYFUNCTION("""COMPUTED_VALUE"""),FALSE)</f>
        <v>0</v>
      </c>
      <c r="V209" s="16"/>
      <c r="W209" s="16"/>
      <c r="X209" s="16"/>
    </row>
    <row r="210">
      <c r="A210" s="16" t="str">
        <f>IFERROR(__xludf.DUMMYFUNCTION("""COMPUTED_VALUE"""),"Patrick")</f>
        <v>Patrick</v>
      </c>
      <c r="B210" s="16" t="str">
        <f>IFERROR(__xludf.DUMMYFUNCTION("""COMPUTED_VALUE"""),"Quintos")</f>
        <v>Quintos</v>
      </c>
      <c r="C210" s="16" t="str">
        <f>IFERROR(__xludf.DUMMYFUNCTION("""COMPUTED_VALUE"""),"Director of Partnerships")</f>
        <v>Director of Partnerships</v>
      </c>
      <c r="D210" s="16" t="str">
        <f>IFERROR(__xludf.DUMMYFUNCTION("""COMPUTED_VALUE"""),"Hyperexponential Ltd")</f>
        <v>Hyperexponential Ltd</v>
      </c>
      <c r="E210" s="16" t="str">
        <f>IFERROR(__xludf.DUMMYFUNCTION("""COMPUTED_VALUE"""),"Growth")</f>
        <v>Growth</v>
      </c>
      <c r="F210" s="16" t="str">
        <f>IFERROR(__xludf.DUMMYFUNCTION("""COMPUTED_VALUE"""),"patrick.quintos@hyperexponential.com")</f>
        <v>patrick.quintos@hyperexponential.com</v>
      </c>
      <c r="G210" s="16" t="str">
        <f>IFERROR(__xludf.DUMMYFUNCTION("""COMPUTED_VALUE"""),"Tim Kennedy")</f>
        <v>Tim Kennedy</v>
      </c>
      <c r="H210" s="16" t="str">
        <f>IFERROR(__xludf.DUMMYFUNCTION("""COMPUTED_VALUE"""),"PartnerConnect - Technology")</f>
        <v>PartnerConnect - Technology</v>
      </c>
      <c r="I210" s="16" t="str">
        <f>IFERROR(__xludf.DUMMYFUNCTION("""COMPUTED_VALUE"""),"418 Broadway, #5367")</f>
        <v>418 Broadway, #5367</v>
      </c>
      <c r="J210" s="16"/>
      <c r="K210" s="16" t="str">
        <f>IFERROR(__xludf.DUMMYFUNCTION("""COMPUTED_VALUE"""),"Albany")</f>
        <v>Albany</v>
      </c>
      <c r="L210" s="16" t="str">
        <f>IFERROR(__xludf.DUMMYFUNCTION("""COMPUTED_VALUE"""),"New York")</f>
        <v>New York</v>
      </c>
      <c r="M210" s="16">
        <f>IFERROR(__xludf.DUMMYFUNCTION("""COMPUTED_VALUE"""),12207.0)</f>
        <v>12207</v>
      </c>
      <c r="N210" s="16" t="str">
        <f>IFERROR(__xludf.DUMMYFUNCTION("""COMPUTED_VALUE"""),"United States Minor Outlying Islands")</f>
        <v>United States Minor Outlying Islands</v>
      </c>
      <c r="O210" s="16" t="str">
        <f>IFERROR(__xludf.DUMMYFUNCTION("""COMPUTED_VALUE"""),"High")</f>
        <v>High</v>
      </c>
      <c r="P210" s="16" t="b">
        <f>IFERROR(__xludf.DUMMYFUNCTION("""COMPUTED_VALUE"""),TRUE)</f>
        <v>1</v>
      </c>
      <c r="Q210" s="16" t="b">
        <f>IFERROR(__xludf.DUMMYFUNCTION("""COMPUTED_VALUE"""),TRUE)</f>
        <v>1</v>
      </c>
      <c r="R210" s="16" t="str">
        <f>IFERROR(__xludf.DUMMYFUNCTION("""COMPUTED_VALUE"""),"Admin, Business, Support, NPE User, Delivery Lead / BA")</f>
        <v>Admin, Business, Support, NPE User, Delivery Lead / BA</v>
      </c>
      <c r="S210" s="16" t="str">
        <f>IFERROR(__xludf.DUMMYFUNCTION("""COMPUTED_VALUE"""),"Hyperexponential")</f>
        <v>Hyperexponential</v>
      </c>
      <c r="T210" s="16" t="str">
        <f>IFERROR(__xludf.DUMMYFUNCTION("""COMPUTED_VALUE"""),"Current Partner")</f>
        <v>Current Partner</v>
      </c>
      <c r="U210" s="16" t="b">
        <f>IFERROR(__xludf.DUMMYFUNCTION("""COMPUTED_VALUE"""),TRUE)</f>
        <v>1</v>
      </c>
      <c r="V210" s="16"/>
      <c r="W210" s="16"/>
      <c r="X210" s="16"/>
    </row>
    <row r="211">
      <c r="A211" s="16" t="str">
        <f>IFERROR(__xludf.DUMMYFUNCTION("""COMPUTED_VALUE"""),"Ellie")</f>
        <v>Ellie</v>
      </c>
      <c r="B211" s="16" t="str">
        <f>IFERROR(__xludf.DUMMYFUNCTION("""COMPUTED_VALUE"""),"Mercer")</f>
        <v>Mercer</v>
      </c>
      <c r="C211" s="16" t="str">
        <f>IFERROR(__xludf.DUMMYFUNCTION("""COMPUTED_VALUE"""),"Field &amp; Partner Marketing Manager")</f>
        <v>Field &amp; Partner Marketing Manager</v>
      </c>
      <c r="D211" s="16" t="str">
        <f>IFERROR(__xludf.DUMMYFUNCTION("""COMPUTED_VALUE"""),"Hyperexponential Ltd")</f>
        <v>Hyperexponential Ltd</v>
      </c>
      <c r="E211" s="16" t="str">
        <f>IFERROR(__xludf.DUMMYFUNCTION("""COMPUTED_VALUE"""),"Growth")</f>
        <v>Growth</v>
      </c>
      <c r="F211" s="16" t="str">
        <f>IFERROR(__xludf.DUMMYFUNCTION("""COMPUTED_VALUE"""),"ellie.mercer@hyperexponential.com")</f>
        <v>ellie.mercer@hyperexponential.com</v>
      </c>
      <c r="G211" s="16" t="str">
        <f>IFERROR(__xludf.DUMMYFUNCTION("""COMPUTED_VALUE"""),"Tim Kennedy")</f>
        <v>Tim Kennedy</v>
      </c>
      <c r="H211" s="16" t="str">
        <f>IFERROR(__xludf.DUMMYFUNCTION("""COMPUTED_VALUE"""),"PartnerConnect - Technology")</f>
        <v>PartnerConnect - Technology</v>
      </c>
      <c r="I211" s="16" t="str">
        <f>IFERROR(__xludf.DUMMYFUNCTION("""COMPUTED_VALUE"""),"418 Broadway, #5367")</f>
        <v>418 Broadway, #5367</v>
      </c>
      <c r="J211" s="16"/>
      <c r="K211" s="16" t="str">
        <f>IFERROR(__xludf.DUMMYFUNCTION("""COMPUTED_VALUE"""),"Albany")</f>
        <v>Albany</v>
      </c>
      <c r="L211" s="16" t="str">
        <f>IFERROR(__xludf.DUMMYFUNCTION("""COMPUTED_VALUE"""),"New York")</f>
        <v>New York</v>
      </c>
      <c r="M211" s="16">
        <f>IFERROR(__xludf.DUMMYFUNCTION("""COMPUTED_VALUE"""),12207.0)</f>
        <v>12207</v>
      </c>
      <c r="N211" s="16" t="str">
        <f>IFERROR(__xludf.DUMMYFUNCTION("""COMPUTED_VALUE"""),"United States Minor Outlying Islands")</f>
        <v>United States Minor Outlying Islands</v>
      </c>
      <c r="O211" s="16" t="str">
        <f>IFERROR(__xludf.DUMMYFUNCTION("""COMPUTED_VALUE"""),"High")</f>
        <v>High</v>
      </c>
      <c r="P211" s="16" t="b">
        <f>IFERROR(__xludf.DUMMYFUNCTION("""COMPUTED_VALUE"""),FALSE)</f>
        <v>0</v>
      </c>
      <c r="Q211" s="16" t="b">
        <f>IFERROR(__xludf.DUMMYFUNCTION("""COMPUTED_VALUE"""),TRUE)</f>
        <v>1</v>
      </c>
      <c r="R211" s="16" t="str">
        <f>IFERROR(__xludf.DUMMYFUNCTION("""COMPUTED_VALUE"""),"")</f>
        <v/>
      </c>
      <c r="S211" s="16" t="str">
        <f>IFERROR(__xludf.DUMMYFUNCTION("""COMPUTED_VALUE"""),"Hyperexponential")</f>
        <v>Hyperexponential</v>
      </c>
      <c r="T211" s="16" t="str">
        <f>IFERROR(__xludf.DUMMYFUNCTION("""COMPUTED_VALUE"""),"Current Partner")</f>
        <v>Current Partner</v>
      </c>
      <c r="U211" s="16" t="b">
        <f>IFERROR(__xludf.DUMMYFUNCTION("""COMPUTED_VALUE"""),FALSE)</f>
        <v>0</v>
      </c>
      <c r="V211" s="16"/>
      <c r="W211" s="16"/>
      <c r="X211" s="16"/>
    </row>
    <row r="212">
      <c r="A212" s="16" t="str">
        <f>IFERROR(__xludf.DUMMYFUNCTION("""COMPUTED_VALUE"""),"Michael A")</f>
        <v>Michael A</v>
      </c>
      <c r="B212" s="16" t="str">
        <f>IFERROR(__xludf.DUMMYFUNCTION("""COMPUTED_VALUE"""),"Ortega")</f>
        <v>Ortega</v>
      </c>
      <c r="C212" s="16" t="str">
        <f>IFERROR(__xludf.DUMMYFUNCTION("""COMPUTED_VALUE"""),"Sr Director Application Development")</f>
        <v>Sr Director Application Development</v>
      </c>
      <c r="D212" s="16" t="str">
        <f>IFERROR(__xludf.DUMMYFUNCTION("""COMPUTED_VALUE"""),"IAA")</f>
        <v>IAA</v>
      </c>
      <c r="E212" s="16" t="str">
        <f>IFERROR(__xludf.DUMMYFUNCTION("""COMPUTED_VALUE"""),"Growth")</f>
        <v>Growth</v>
      </c>
      <c r="F212" s="16" t="str">
        <f>IFERROR(__xludf.DUMMYFUNCTION("""COMPUTED_VALUE"""),"mortega@iaai.com")</f>
        <v>mortega@iaai.com</v>
      </c>
      <c r="G212" s="16" t="str">
        <f>IFERROR(__xludf.DUMMYFUNCTION("""COMPUTED_VALUE"""),"Aaron Shaw")</f>
        <v>Aaron Shaw</v>
      </c>
      <c r="H212" s="16" t="str">
        <f>IFERROR(__xludf.DUMMYFUNCTION("""COMPUTED_VALUE"""),"PartnerConnect - Technology")</f>
        <v>PartnerConnect - Technology</v>
      </c>
      <c r="I212" s="16"/>
      <c r="J212" s="16"/>
      <c r="K212" s="16"/>
      <c r="L212" s="16"/>
      <c r="M212" s="16"/>
      <c r="N212" s="16" t="str">
        <f>IFERROR(__xludf.DUMMYFUNCTION("""COMPUTED_VALUE"""),"United States")</f>
        <v>United States</v>
      </c>
      <c r="O212" s="16" t="str">
        <f>IFERROR(__xludf.DUMMYFUNCTION("""COMPUTED_VALUE"""),"Medium")</f>
        <v>Medium</v>
      </c>
      <c r="P212" s="16" t="b">
        <f>IFERROR(__xludf.DUMMYFUNCTION("""COMPUTED_VALUE"""),TRUE)</f>
        <v>1</v>
      </c>
      <c r="Q212" s="16" t="b">
        <f>IFERROR(__xludf.DUMMYFUNCTION("""COMPUTED_VALUE"""),TRUE)</f>
        <v>1</v>
      </c>
      <c r="R212" s="16" t="str">
        <f>IFERROR(__xludf.DUMMYFUNCTION("""COMPUTED_VALUE"""),"Admin, Business, Marketing, Support, Technical, NPE User")</f>
        <v>Admin, Business, Marketing, Support, Technical, NPE User</v>
      </c>
      <c r="S212" s="16" t="str">
        <f>IFERROR(__xludf.DUMMYFUNCTION("""COMPUTED_VALUE"""),"IAA")</f>
        <v>IAA</v>
      </c>
      <c r="T212" s="16" t="str">
        <f>IFERROR(__xludf.DUMMYFUNCTION("""COMPUTED_VALUE"""),"Current Partner")</f>
        <v>Current Partner</v>
      </c>
      <c r="U212" s="16" t="b">
        <f>IFERROR(__xludf.DUMMYFUNCTION("""COMPUTED_VALUE"""),TRUE)</f>
        <v>1</v>
      </c>
      <c r="V212" s="16"/>
      <c r="W212" s="16"/>
      <c r="X212" s="16"/>
    </row>
    <row r="213">
      <c r="A213" s="16" t="str">
        <f>IFERROR(__xludf.DUMMYFUNCTION("""COMPUTED_VALUE"""),"Anita")</f>
        <v>Anita</v>
      </c>
      <c r="B213" s="16" t="str">
        <f>IFERROR(__xludf.DUMMYFUNCTION("""COMPUTED_VALUE"""),"Carlos-Reyes")</f>
        <v>Carlos-Reyes</v>
      </c>
      <c r="C213" s="16"/>
      <c r="D213" s="16" t="str">
        <f>IFERROR(__xludf.DUMMYFUNCTION("""COMPUTED_VALUE"""),"IAA")</f>
        <v>IAA</v>
      </c>
      <c r="E213" s="16" t="str">
        <f>IFERROR(__xludf.DUMMYFUNCTION("""COMPUTED_VALUE"""),"Growth")</f>
        <v>Growth</v>
      </c>
      <c r="F213" s="16" t="str">
        <f>IFERROR(__xludf.DUMMYFUNCTION("""COMPUTED_VALUE"""),"acarlos-reyes@iaai.com")</f>
        <v>acarlos-reyes@iaai.com</v>
      </c>
      <c r="G213" s="16" t="str">
        <f>IFERROR(__xludf.DUMMYFUNCTION("""COMPUTED_VALUE"""),"Aaron Shaw")</f>
        <v>Aaron Shaw</v>
      </c>
      <c r="H213" s="16" t="str">
        <f>IFERROR(__xludf.DUMMYFUNCTION("""COMPUTED_VALUE"""),"PartnerConnect - Technology")</f>
        <v>PartnerConnect - Technology</v>
      </c>
      <c r="I213" s="16" t="str">
        <f>IFERROR(__xludf.DUMMYFUNCTION("""COMPUTED_VALUE"""),"Two Westbrook Corporate Center")</f>
        <v>Two Westbrook Corporate Center</v>
      </c>
      <c r="J213" s="16"/>
      <c r="K213" s="16" t="str">
        <f>IFERROR(__xludf.DUMMYFUNCTION("""COMPUTED_VALUE"""),"Westchester")</f>
        <v>Westchester</v>
      </c>
      <c r="L213" s="16" t="str">
        <f>IFERROR(__xludf.DUMMYFUNCTION("""COMPUTED_VALUE"""),"Illinois")</f>
        <v>Illinois</v>
      </c>
      <c r="M213" s="16">
        <f>IFERROR(__xludf.DUMMYFUNCTION("""COMPUTED_VALUE"""),60154.0)</f>
        <v>60154</v>
      </c>
      <c r="N213" s="16" t="str">
        <f>IFERROR(__xludf.DUMMYFUNCTION("""COMPUTED_VALUE"""),"United States")</f>
        <v>United States</v>
      </c>
      <c r="O213" s="16" t="str">
        <f>IFERROR(__xludf.DUMMYFUNCTION("""COMPUTED_VALUE"""),"Medium")</f>
        <v>Medium</v>
      </c>
      <c r="P213" s="16" t="b">
        <f>IFERROR(__xludf.DUMMYFUNCTION("""COMPUTED_VALUE"""),FALSE)</f>
        <v>0</v>
      </c>
      <c r="Q213" s="16" t="b">
        <f>IFERROR(__xludf.DUMMYFUNCTION("""COMPUTED_VALUE"""),TRUE)</f>
        <v>1</v>
      </c>
      <c r="R213" s="16" t="str">
        <f>IFERROR(__xludf.DUMMYFUNCTION("""COMPUTED_VALUE"""),"Business, Events, Marketing")</f>
        <v>Business, Events, Marketing</v>
      </c>
      <c r="S213" s="16" t="str">
        <f>IFERROR(__xludf.DUMMYFUNCTION("""COMPUTED_VALUE"""),"IAA")</f>
        <v>IAA</v>
      </c>
      <c r="T213" s="16" t="str">
        <f>IFERROR(__xludf.DUMMYFUNCTION("""COMPUTED_VALUE"""),"Current Partner")</f>
        <v>Current Partner</v>
      </c>
      <c r="U213" s="16" t="b">
        <f>IFERROR(__xludf.DUMMYFUNCTION("""COMPUTED_VALUE"""),FALSE)</f>
        <v>0</v>
      </c>
      <c r="V213" s="16"/>
      <c r="W213" s="16"/>
      <c r="X213" s="16"/>
    </row>
    <row r="214">
      <c r="A214" s="16" t="str">
        <f>IFERROR(__xludf.DUMMYFUNCTION("""COMPUTED_VALUE"""),"Paul")</f>
        <v>Paul</v>
      </c>
      <c r="B214" s="16" t="str">
        <f>IFERROR(__xludf.DUMMYFUNCTION("""COMPUTED_VALUE"""),"Barron")</f>
        <v>Barron</v>
      </c>
      <c r="C214" s="16" t="str">
        <f>IFERROR(__xludf.DUMMYFUNCTION("""COMPUTED_VALUE"""),"Global Head of Partnerships")</f>
        <v>Global Head of Partnerships</v>
      </c>
      <c r="D214" s="16" t="str">
        <f>IFERROR(__xludf.DUMMYFUNCTION("""COMPUTED_VALUE"""),"Iceye Oy")</f>
        <v>Iceye Oy</v>
      </c>
      <c r="E214" s="16" t="str">
        <f>IFERROR(__xludf.DUMMYFUNCTION("""COMPUTED_VALUE"""),"Growth")</f>
        <v>Growth</v>
      </c>
      <c r="F214" s="16" t="str">
        <f>IFERROR(__xludf.DUMMYFUNCTION("""COMPUTED_VALUE"""),"paul.barron@iceye.com")</f>
        <v>paul.barron@iceye.com</v>
      </c>
      <c r="G214" s="16" t="str">
        <f>IFERROR(__xludf.DUMMYFUNCTION("""COMPUTED_VALUE"""),"Vivienne Hoary")</f>
        <v>Vivienne Hoary</v>
      </c>
      <c r="H214" s="16" t="str">
        <f>IFERROR(__xludf.DUMMYFUNCTION("""COMPUTED_VALUE"""),"PartnerConnect - Technology")</f>
        <v>PartnerConnect - Technology</v>
      </c>
      <c r="I214" s="16"/>
      <c r="J214" s="16"/>
      <c r="K214" s="16"/>
      <c r="L214" s="16"/>
      <c r="M214" s="16"/>
      <c r="N214" s="16" t="str">
        <f>IFERROR(__xludf.DUMMYFUNCTION("""COMPUTED_VALUE"""),"United Kingdom")</f>
        <v>United Kingdom</v>
      </c>
      <c r="O214" s="16" t="str">
        <f>IFERROR(__xludf.DUMMYFUNCTION("""COMPUTED_VALUE"""),"Medium")</f>
        <v>Medium</v>
      </c>
      <c r="P214" s="16" t="b">
        <f>IFERROR(__xludf.DUMMYFUNCTION("""COMPUTED_VALUE"""),TRUE)</f>
        <v>1</v>
      </c>
      <c r="Q214" s="16" t="b">
        <f>IFERROR(__xludf.DUMMYFUNCTION("""COMPUTED_VALUE"""),FALSE)</f>
        <v>0</v>
      </c>
      <c r="R214" s="16" t="str">
        <f>IFERROR(__xludf.DUMMYFUNCTION("""COMPUTED_VALUE"""),"")</f>
        <v/>
      </c>
      <c r="S214" s="16" t="str">
        <f>IFERROR(__xludf.DUMMYFUNCTION("""COMPUTED_VALUE"""),"Iceye Oy")</f>
        <v>Iceye Oy</v>
      </c>
      <c r="T214" s="16" t="str">
        <f>IFERROR(__xludf.DUMMYFUNCTION("""COMPUTED_VALUE"""),"Current Partner")</f>
        <v>Current Partner</v>
      </c>
      <c r="U214" s="16" t="b">
        <f>IFERROR(__xludf.DUMMYFUNCTION("""COMPUTED_VALUE"""),FALSE)</f>
        <v>0</v>
      </c>
      <c r="V214" s="16"/>
      <c r="W214" s="16"/>
      <c r="X214" s="16"/>
    </row>
    <row r="215">
      <c r="A215" s="16" t="str">
        <f>IFERROR(__xludf.DUMMYFUNCTION("""COMPUTED_VALUE"""),"Brian")</f>
        <v>Brian</v>
      </c>
      <c r="B215" s="16" t="str">
        <f>IFERROR(__xludf.DUMMYFUNCTION("""COMPUTED_VALUE"""),"Johnson")</f>
        <v>Johnson</v>
      </c>
      <c r="C215" s="16"/>
      <c r="D215" s="16" t="str">
        <f>IFERROR(__xludf.DUMMYFUNCTION("""COMPUTED_VALUE"""),"IMS")</f>
        <v>IMS</v>
      </c>
      <c r="E215" s="16" t="str">
        <f>IFERROR(__xludf.DUMMYFUNCTION("""COMPUTED_VALUE"""),"Select")</f>
        <v>Select</v>
      </c>
      <c r="F215" s="16" t="str">
        <f>IFERROR(__xludf.DUMMYFUNCTION("""COMPUTED_VALUE"""),"bjohnson@ims.tech")</f>
        <v>bjohnson@ims.tech</v>
      </c>
      <c r="G215" s="16" t="str">
        <f>IFERROR(__xludf.DUMMYFUNCTION("""COMPUTED_VALUE"""),"Aaron Shaw")</f>
        <v>Aaron Shaw</v>
      </c>
      <c r="H215" s="16" t="str">
        <f>IFERROR(__xludf.DUMMYFUNCTION("""COMPUTED_VALUE"""),"PartnerConnect - Technology")</f>
        <v>PartnerConnect - Technology</v>
      </c>
      <c r="I215" s="16" t="str">
        <f>IFERROR(__xludf.DUMMYFUNCTION("""COMPUTED_VALUE"""),"445 Wes Graham Way, Unit 101")</f>
        <v>445 Wes Graham Way, Unit 101</v>
      </c>
      <c r="J215" s="16"/>
      <c r="K215" s="16" t="str">
        <f>IFERROR(__xludf.DUMMYFUNCTION("""COMPUTED_VALUE"""),"Waterloo")</f>
        <v>Waterloo</v>
      </c>
      <c r="L215" s="16" t="str">
        <f>IFERROR(__xludf.DUMMYFUNCTION("""COMPUTED_VALUE"""),"Ontario")</f>
        <v>Ontario</v>
      </c>
      <c r="M215" s="16" t="str">
        <f>IFERROR(__xludf.DUMMYFUNCTION("""COMPUTED_VALUE"""),"N2L 6R2")</f>
        <v>N2L 6R2</v>
      </c>
      <c r="N215" s="16" t="str">
        <f>IFERROR(__xludf.DUMMYFUNCTION("""COMPUTED_VALUE"""),"Canada")</f>
        <v>Canada</v>
      </c>
      <c r="O215" s="16" t="str">
        <f>IFERROR(__xludf.DUMMYFUNCTION("""COMPUTED_VALUE"""),"Low")</f>
        <v>Low</v>
      </c>
      <c r="P215" s="16" t="b">
        <f>IFERROR(__xludf.DUMMYFUNCTION("""COMPUTED_VALUE"""),TRUE)</f>
        <v>1</v>
      </c>
      <c r="Q215" s="16" t="b">
        <f>IFERROR(__xludf.DUMMYFUNCTION("""COMPUTED_VALUE"""),FALSE)</f>
        <v>0</v>
      </c>
      <c r="R215" s="16" t="str">
        <f>IFERROR(__xludf.DUMMYFUNCTION("""COMPUTED_VALUE"""),"Business, Marketing, Technical")</f>
        <v>Business, Marketing, Technical</v>
      </c>
      <c r="S215" s="16" t="str">
        <f>IFERROR(__xludf.DUMMYFUNCTION("""COMPUTED_VALUE"""),"IMS Solutions")</f>
        <v>IMS Solutions</v>
      </c>
      <c r="T215" s="16" t="str">
        <f>IFERROR(__xludf.DUMMYFUNCTION("""COMPUTED_VALUE"""),"Current Partner")</f>
        <v>Current Partner</v>
      </c>
      <c r="U215" s="16" t="b">
        <f>IFERROR(__xludf.DUMMYFUNCTION("""COMPUTED_VALUE"""),FALSE)</f>
        <v>0</v>
      </c>
      <c r="V215" s="16"/>
      <c r="W215" s="16"/>
      <c r="X215" s="16"/>
    </row>
    <row r="216">
      <c r="A216" s="16" t="str">
        <f>IFERROR(__xludf.DUMMYFUNCTION("""COMPUTED_VALUE"""),"Jean-Christophe")</f>
        <v>Jean-Christophe</v>
      </c>
      <c r="B216" s="16" t="str">
        <f>IFERROR(__xludf.DUMMYFUNCTION("""COMPUTED_VALUE"""),"Andre")</f>
        <v>Andre</v>
      </c>
      <c r="C216" s="16" t="str">
        <f>IFERROR(__xludf.DUMMYFUNCTION("""COMPUTED_VALUE"""),"Marketing and Strategic Planning Director")</f>
        <v>Marketing and Strategic Planning Director</v>
      </c>
      <c r="D216" s="16" t="str">
        <f>IFERROR(__xludf.DUMMYFUNCTION("""COMPUTED_VALUE"""),"in4mo Ltd")</f>
        <v>in4mo Ltd</v>
      </c>
      <c r="E216" s="16"/>
      <c r="F216" s="16" t="str">
        <f>IFERROR(__xludf.DUMMYFUNCTION("""COMPUTED_VALUE"""),"jc-andre@in4mo.fi")</f>
        <v>jc-andre@in4mo.fi</v>
      </c>
      <c r="G216" s="16" t="str">
        <f>IFERROR(__xludf.DUMMYFUNCTION("""COMPUTED_VALUE"""),"Eric Apse")</f>
        <v>Eric Apse</v>
      </c>
      <c r="H216" s="16" t="str">
        <f>IFERROR(__xludf.DUMMYFUNCTION("""COMPUTED_VALUE"""),"PartnerConnect - Technology")</f>
        <v>PartnerConnect - Technology</v>
      </c>
      <c r="I216" s="16"/>
      <c r="J216" s="16"/>
      <c r="K216" s="16"/>
      <c r="L216" s="16"/>
      <c r="M216" s="16"/>
      <c r="N216" s="16" t="str">
        <f>IFERROR(__xludf.DUMMYFUNCTION("""COMPUTED_VALUE"""),"Finland")</f>
        <v>Finland</v>
      </c>
      <c r="O216" s="16" t="str">
        <f>IFERROR(__xludf.DUMMYFUNCTION("""COMPUTED_VALUE"""),"Low")</f>
        <v>Low</v>
      </c>
      <c r="P216" s="16" t="b">
        <f>IFERROR(__xludf.DUMMYFUNCTION("""COMPUTED_VALUE"""),TRUE)</f>
        <v>1</v>
      </c>
      <c r="Q216" s="16" t="b">
        <f>IFERROR(__xludf.DUMMYFUNCTION("""COMPUTED_VALUE"""),FALSE)</f>
        <v>0</v>
      </c>
      <c r="R216" s="16" t="str">
        <f>IFERROR(__xludf.DUMMYFUNCTION("""COMPUTED_VALUE"""),"Admin, Admin, Business, Marketing, Technical")</f>
        <v>Admin, Admin, Business, Marketing, Technical</v>
      </c>
      <c r="S216" s="16" t="str">
        <f>IFERROR(__xludf.DUMMYFUNCTION("""COMPUTED_VALUE"""),"in4mo")</f>
        <v>in4mo</v>
      </c>
      <c r="T216" s="16" t="str">
        <f>IFERROR(__xludf.DUMMYFUNCTION("""COMPUTED_VALUE"""),"Current Partner")</f>
        <v>Current Partner</v>
      </c>
      <c r="U216" s="16" t="b">
        <f>IFERROR(__xludf.DUMMYFUNCTION("""COMPUTED_VALUE"""),FALSE)</f>
        <v>0</v>
      </c>
      <c r="V216" s="16"/>
      <c r="W216" s="16"/>
      <c r="X216" s="16"/>
    </row>
    <row r="217">
      <c r="A217" s="16" t="str">
        <f>IFERROR(__xludf.DUMMYFUNCTION("""COMPUTED_VALUE"""),"Matthew")</f>
        <v>Matthew</v>
      </c>
      <c r="B217" s="16" t="str">
        <f>IFERROR(__xludf.DUMMYFUNCTION("""COMPUTED_VALUE"""),"McHutchison")</f>
        <v>McHutchison</v>
      </c>
      <c r="C217" s="16" t="str">
        <f>IFERROR(__xludf.DUMMYFUNCTION("""COMPUTED_VALUE"""),"Managing Director")</f>
        <v>Managing Director</v>
      </c>
      <c r="D217" s="16" t="str">
        <f>IFERROR(__xludf.DUMMYFUNCTION("""COMPUTED_VALUE"""),"Independent Validation Advisory Australia (IVAA)")</f>
        <v>Independent Validation Advisory Australia (IVAA)</v>
      </c>
      <c r="E217" s="16" t="str">
        <f>IFERROR(__xludf.DUMMYFUNCTION("""COMPUTED_VALUE"""),"Growth")</f>
        <v>Growth</v>
      </c>
      <c r="F217" s="16" t="str">
        <f>IFERROR(__xludf.DUMMYFUNCTION("""COMPUTED_VALUE"""),"matthew@ivaa.com.au")</f>
        <v>matthew@ivaa.com.au</v>
      </c>
      <c r="G217" s="16" t="str">
        <f>IFERROR(__xludf.DUMMYFUNCTION("""COMPUTED_VALUE"""),"Ketaki Padhye")</f>
        <v>Ketaki Padhye</v>
      </c>
      <c r="H217" s="16" t="str">
        <f>IFERROR(__xludf.DUMMYFUNCTION("""COMPUTED_VALUE"""),"PartnerConnect - Technology")</f>
        <v>PartnerConnect - Technology</v>
      </c>
      <c r="I217" s="16" t="str">
        <f>IFERROR(__xludf.DUMMYFUNCTION("""COMPUTED_VALUE"""),"PO Box 170")</f>
        <v>PO Box 170</v>
      </c>
      <c r="J217" s="16"/>
      <c r="K217" s="16" t="str">
        <f>IFERROR(__xludf.DUMMYFUNCTION("""COMPUTED_VALUE"""),"Spring Hill")</f>
        <v>Spring Hill</v>
      </c>
      <c r="L217" s="16" t="str">
        <f>IFERROR(__xludf.DUMMYFUNCTION("""COMPUTED_VALUE"""),"QLD")</f>
        <v>QLD</v>
      </c>
      <c r="M217" s="16">
        <f>IFERROR(__xludf.DUMMYFUNCTION("""COMPUTED_VALUE"""),4004.0)</f>
        <v>4004</v>
      </c>
      <c r="N217" s="16" t="str">
        <f>IFERROR(__xludf.DUMMYFUNCTION("""COMPUTED_VALUE"""),"Australia")</f>
        <v>Australia</v>
      </c>
      <c r="O217" s="16" t="str">
        <f>IFERROR(__xludf.DUMMYFUNCTION("""COMPUTED_VALUE"""),"Medium")</f>
        <v>Medium</v>
      </c>
      <c r="P217" s="16" t="b">
        <f>IFERROR(__xludf.DUMMYFUNCTION("""COMPUTED_VALUE"""),TRUE)</f>
        <v>1</v>
      </c>
      <c r="Q217" s="16" t="b">
        <f>IFERROR(__xludf.DUMMYFUNCTION("""COMPUTED_VALUE"""),FALSE)</f>
        <v>0</v>
      </c>
      <c r="R217" s="16" t="str">
        <f>IFERROR(__xludf.DUMMYFUNCTION("""COMPUTED_VALUE"""),"Admin, Business, Marketing, Training, Main Billing Contact, Billing Contact  LMS Training Fees")</f>
        <v>Admin, Business, Marketing, Training, Main Billing Contact, Billing Contact  LMS Training Fees</v>
      </c>
      <c r="S217" s="16" t="str">
        <f>IFERROR(__xludf.DUMMYFUNCTION("""COMPUTED_VALUE"""),"IVAA")</f>
        <v>IVAA</v>
      </c>
      <c r="T217" s="16" t="str">
        <f>IFERROR(__xludf.DUMMYFUNCTION("""COMPUTED_VALUE"""),"Current Partner")</f>
        <v>Current Partner</v>
      </c>
      <c r="U217" s="16" t="b">
        <f>IFERROR(__xludf.DUMMYFUNCTION("""COMPUTED_VALUE"""),FALSE)</f>
        <v>0</v>
      </c>
      <c r="V217" s="16"/>
      <c r="W217" s="16"/>
      <c r="X217" s="16"/>
    </row>
    <row r="218">
      <c r="A218" s="16" t="str">
        <f>IFERROR(__xludf.DUMMYFUNCTION("""COMPUTED_VALUE"""),"Dolly")</f>
        <v>Dolly</v>
      </c>
      <c r="B218" s="16" t="str">
        <f>IFERROR(__xludf.DUMMYFUNCTION("""COMPUTED_VALUE"""),"Menashe")</f>
        <v>Menashe</v>
      </c>
      <c r="C218" s="16" t="str">
        <f>IFERROR(__xludf.DUMMYFUNCTION("""COMPUTED_VALUE"""),"Director, Partner Success")</f>
        <v>Director, Partner Success</v>
      </c>
      <c r="D218" s="16" t="str">
        <f>IFERROR(__xludf.DUMMYFUNCTION("""COMPUTED_VALUE"""),"Indico Data Solutions, Inc")</f>
        <v>Indico Data Solutions, Inc</v>
      </c>
      <c r="E218" s="16" t="str">
        <f>IFERROR(__xludf.DUMMYFUNCTION("""COMPUTED_VALUE"""),"Growth")</f>
        <v>Growth</v>
      </c>
      <c r="F218" s="16" t="str">
        <f>IFERROR(__xludf.DUMMYFUNCTION("""COMPUTED_VALUE"""),"dolly.menashe@indicodata.ai")</f>
        <v>dolly.menashe@indicodata.ai</v>
      </c>
      <c r="G218" s="16" t="str">
        <f>IFERROR(__xludf.DUMMYFUNCTION("""COMPUTED_VALUE"""),"Shannon Spies")</f>
        <v>Shannon Spies</v>
      </c>
      <c r="H218" s="16" t="str">
        <f>IFERROR(__xludf.DUMMYFUNCTION("""COMPUTED_VALUE"""),"PartnerConnect - Technology")</f>
        <v>PartnerConnect - Technology</v>
      </c>
      <c r="I218" s="16" t="str">
        <f>IFERROR(__xludf.DUMMYFUNCTION("""COMPUTED_VALUE"""),"77 Sleeper Street")</f>
        <v>77 Sleeper Street</v>
      </c>
      <c r="J218" s="16"/>
      <c r="K218" s="16" t="str">
        <f>IFERROR(__xludf.DUMMYFUNCTION("""COMPUTED_VALUE"""),"Boston")</f>
        <v>Boston</v>
      </c>
      <c r="L218" s="16" t="str">
        <f>IFERROR(__xludf.DUMMYFUNCTION("""COMPUTED_VALUE"""),"Massachusetts")</f>
        <v>Massachusetts</v>
      </c>
      <c r="M218" s="16">
        <f>IFERROR(__xludf.DUMMYFUNCTION("""COMPUTED_VALUE"""),2210.0)</f>
        <v>2210</v>
      </c>
      <c r="N218" s="16" t="str">
        <f>IFERROR(__xludf.DUMMYFUNCTION("""COMPUTED_VALUE"""),"United States")</f>
        <v>United States</v>
      </c>
      <c r="O218" s="16" t="str">
        <f>IFERROR(__xludf.DUMMYFUNCTION("""COMPUTED_VALUE"""),"Medium")</f>
        <v>Medium</v>
      </c>
      <c r="P218" s="16" t="b">
        <f>IFERROR(__xludf.DUMMYFUNCTION("""COMPUTED_VALUE"""),TRUE)</f>
        <v>1</v>
      </c>
      <c r="Q218" s="16" t="b">
        <f>IFERROR(__xludf.DUMMYFUNCTION("""COMPUTED_VALUE"""),FALSE)</f>
        <v>0</v>
      </c>
      <c r="R218" s="16" t="str">
        <f>IFERROR(__xludf.DUMMYFUNCTION("""COMPUTED_VALUE"""),"Admin, NPE User")</f>
        <v>Admin, NPE User</v>
      </c>
      <c r="S218" s="16" t="str">
        <f>IFERROR(__xludf.DUMMYFUNCTION("""COMPUTED_VALUE"""),"Indico Data")</f>
        <v>Indico Data</v>
      </c>
      <c r="T218" s="16" t="str">
        <f>IFERROR(__xludf.DUMMYFUNCTION("""COMPUTED_VALUE"""),"Current Partner")</f>
        <v>Current Partner</v>
      </c>
      <c r="U218" s="16" t="b">
        <f>IFERROR(__xludf.DUMMYFUNCTION("""COMPUTED_VALUE"""),TRUE)</f>
        <v>1</v>
      </c>
      <c r="V218" s="16"/>
      <c r="W218" s="16"/>
      <c r="X218" s="16"/>
    </row>
    <row r="219">
      <c r="A219" s="16" t="str">
        <f>IFERROR(__xludf.DUMMYFUNCTION("""COMPUTED_VALUE"""),"Rachel")</f>
        <v>Rachel</v>
      </c>
      <c r="B219" s="16" t="str">
        <f>IFERROR(__xludf.DUMMYFUNCTION("""COMPUTED_VALUE"""),"Wey")</f>
        <v>Wey</v>
      </c>
      <c r="C219" s="16"/>
      <c r="D219" s="16" t="str">
        <f>IFERROR(__xludf.DUMMYFUNCTION("""COMPUTED_VALUE"""),"Insight Services Group")</f>
        <v>Insight Services Group</v>
      </c>
      <c r="E219" s="16" t="str">
        <f>IFERROR(__xludf.DUMMYFUNCTION("""COMPUTED_VALUE"""),"Growth")</f>
        <v>Growth</v>
      </c>
      <c r="F219" s="16" t="str">
        <f>IFERROR(__xludf.DUMMYFUNCTION("""COMPUTED_VALUE"""),"rwey@isgvalue.com")</f>
        <v>rwey@isgvalue.com</v>
      </c>
      <c r="G219" s="16" t="str">
        <f>IFERROR(__xludf.DUMMYFUNCTION("""COMPUTED_VALUE"""),"Aaron Shaw")</f>
        <v>Aaron Shaw</v>
      </c>
      <c r="H219" s="16" t="str">
        <f>IFERROR(__xludf.DUMMYFUNCTION("""COMPUTED_VALUE"""),"PartnerConnect - Technology")</f>
        <v>PartnerConnect - Technology</v>
      </c>
      <c r="I219" s="16" t="str">
        <f>IFERROR(__xludf.DUMMYFUNCTION("""COMPUTED_VALUE"""),"55 Ferncroft Road, STE #300")</f>
        <v>55 Ferncroft Road, STE #300</v>
      </c>
      <c r="J219" s="16"/>
      <c r="K219" s="16" t="str">
        <f>IFERROR(__xludf.DUMMYFUNCTION("""COMPUTED_VALUE"""),"Danvers")</f>
        <v>Danvers</v>
      </c>
      <c r="L219" s="16" t="str">
        <f>IFERROR(__xludf.DUMMYFUNCTION("""COMPUTED_VALUE"""),"Massachusetts")</f>
        <v>Massachusetts</v>
      </c>
      <c r="M219" s="16">
        <f>IFERROR(__xludf.DUMMYFUNCTION("""COMPUTED_VALUE"""),1923.0)</f>
        <v>1923</v>
      </c>
      <c r="N219" s="16" t="str">
        <f>IFERROR(__xludf.DUMMYFUNCTION("""COMPUTED_VALUE"""),"United States")</f>
        <v>United States</v>
      </c>
      <c r="O219" s="16" t="str">
        <f>IFERROR(__xludf.DUMMYFUNCTION("""COMPUTED_VALUE"""),"Low")</f>
        <v>Low</v>
      </c>
      <c r="P219" s="16" t="b">
        <f>IFERROR(__xludf.DUMMYFUNCTION("""COMPUTED_VALUE"""),TRUE)</f>
        <v>1</v>
      </c>
      <c r="Q219" s="16" t="b">
        <f>IFERROR(__xludf.DUMMYFUNCTION("""COMPUTED_VALUE"""),TRUE)</f>
        <v>1</v>
      </c>
      <c r="R219" s="16" t="str">
        <f>IFERROR(__xludf.DUMMYFUNCTION("""COMPUTED_VALUE"""),"Admin, Business, Events, Marketing, Training, Delivery Lead / BA")</f>
        <v>Admin, Business, Events, Marketing, Training, Delivery Lead / BA</v>
      </c>
      <c r="S219" s="16" t="str">
        <f>IFERROR(__xludf.DUMMYFUNCTION("""COMPUTED_VALUE"""),"Insight Services Group")</f>
        <v>Insight Services Group</v>
      </c>
      <c r="T219" s="16" t="str">
        <f>IFERROR(__xludf.DUMMYFUNCTION("""COMPUTED_VALUE"""),"Current Partner")</f>
        <v>Current Partner</v>
      </c>
      <c r="U219" s="16" t="b">
        <f>IFERROR(__xludf.DUMMYFUNCTION("""COMPUTED_VALUE"""),FALSE)</f>
        <v>0</v>
      </c>
      <c r="V219" s="16"/>
      <c r="W219" s="16"/>
      <c r="X219" s="16"/>
    </row>
    <row r="220">
      <c r="A220" s="16" t="str">
        <f>IFERROR(__xludf.DUMMYFUNCTION("""COMPUTED_VALUE"""),"Joanna")</f>
        <v>Joanna</v>
      </c>
      <c r="B220" s="16" t="str">
        <f>IFERROR(__xludf.DUMMYFUNCTION("""COMPUTED_VALUE"""),"Gavriel")</f>
        <v>Gavriel</v>
      </c>
      <c r="C220" s="16"/>
      <c r="D220" s="16" t="str">
        <f>IFERROR(__xludf.DUMMYFUNCTION("""COMPUTED_VALUE"""),"Insight Services Group")</f>
        <v>Insight Services Group</v>
      </c>
      <c r="E220" s="16" t="str">
        <f>IFERROR(__xludf.DUMMYFUNCTION("""COMPUTED_VALUE"""),"Growth")</f>
        <v>Growth</v>
      </c>
      <c r="F220" s="16" t="str">
        <f>IFERROR(__xludf.DUMMYFUNCTION("""COMPUTED_VALUE"""),"jgavriel@isgvalue.com")</f>
        <v>jgavriel@isgvalue.com</v>
      </c>
      <c r="G220" s="16" t="str">
        <f>IFERROR(__xludf.DUMMYFUNCTION("""COMPUTED_VALUE"""),"Aaron Shaw")</f>
        <v>Aaron Shaw</v>
      </c>
      <c r="H220" s="16" t="str">
        <f>IFERROR(__xludf.DUMMYFUNCTION("""COMPUTED_VALUE"""),"PartnerConnect - Technology")</f>
        <v>PartnerConnect - Technology</v>
      </c>
      <c r="I220" s="16" t="str">
        <f>IFERROR(__xludf.DUMMYFUNCTION("""COMPUTED_VALUE"""),"55 Ferncroft Road, STE #300")</f>
        <v>55 Ferncroft Road, STE #300</v>
      </c>
      <c r="J220" s="16"/>
      <c r="K220" s="16" t="str">
        <f>IFERROR(__xludf.DUMMYFUNCTION("""COMPUTED_VALUE"""),"Danvers")</f>
        <v>Danvers</v>
      </c>
      <c r="L220" s="16" t="str">
        <f>IFERROR(__xludf.DUMMYFUNCTION("""COMPUTED_VALUE"""),"Massachusetts")</f>
        <v>Massachusetts</v>
      </c>
      <c r="M220" s="16">
        <f>IFERROR(__xludf.DUMMYFUNCTION("""COMPUTED_VALUE"""),1923.0)</f>
        <v>1923</v>
      </c>
      <c r="N220" s="16" t="str">
        <f>IFERROR(__xludf.DUMMYFUNCTION("""COMPUTED_VALUE"""),"United States")</f>
        <v>United States</v>
      </c>
      <c r="O220" s="16" t="str">
        <f>IFERROR(__xludf.DUMMYFUNCTION("""COMPUTED_VALUE"""),"Low")</f>
        <v>Low</v>
      </c>
      <c r="P220" s="16" t="b">
        <f>IFERROR(__xludf.DUMMYFUNCTION("""COMPUTED_VALUE"""),FALSE)</f>
        <v>0</v>
      </c>
      <c r="Q220" s="16" t="b">
        <f>IFERROR(__xludf.DUMMYFUNCTION("""COMPUTED_VALUE"""),TRUE)</f>
        <v>1</v>
      </c>
      <c r="R220" s="16" t="str">
        <f>IFERROR(__xludf.DUMMYFUNCTION("""COMPUTED_VALUE"""),"Business, Marketing")</f>
        <v>Business, Marketing</v>
      </c>
      <c r="S220" s="16" t="str">
        <f>IFERROR(__xludf.DUMMYFUNCTION("""COMPUTED_VALUE"""),"Insight Services Group")</f>
        <v>Insight Services Group</v>
      </c>
      <c r="T220" s="16" t="str">
        <f>IFERROR(__xludf.DUMMYFUNCTION("""COMPUTED_VALUE"""),"Current Partner")</f>
        <v>Current Partner</v>
      </c>
      <c r="U220" s="16" t="b">
        <f>IFERROR(__xludf.DUMMYFUNCTION("""COMPUTED_VALUE"""),FALSE)</f>
        <v>0</v>
      </c>
      <c r="V220" s="16"/>
      <c r="W220" s="16"/>
      <c r="X220" s="16"/>
    </row>
    <row r="221">
      <c r="A221" s="16" t="str">
        <f>IFERROR(__xludf.DUMMYFUNCTION("""COMPUTED_VALUE"""),"NAVAJEEVAN")</f>
        <v>NAVAJEEVAN</v>
      </c>
      <c r="B221" s="16" t="str">
        <f>IFERROR(__xludf.DUMMYFUNCTION("""COMPUTED_VALUE"""),"RAJAIAH")</f>
        <v>RAJAIAH</v>
      </c>
      <c r="C221" s="16" t="str">
        <f>IFERROR(__xludf.DUMMYFUNCTION("""COMPUTED_VALUE"""),"Founder and CEO")</f>
        <v>Founder and CEO</v>
      </c>
      <c r="D221" s="16" t="str">
        <f>IFERROR(__xludf.DUMMYFUNCTION("""COMPUTED_VALUE"""),"InsOps Inc")</f>
        <v>InsOps Inc</v>
      </c>
      <c r="E221" s="16" t="str">
        <f>IFERROR(__xludf.DUMMYFUNCTION("""COMPUTED_VALUE"""),"Insurtech Vanguard")</f>
        <v>Insurtech Vanguard</v>
      </c>
      <c r="F221" s="16" t="str">
        <f>IFERROR(__xludf.DUMMYFUNCTION("""COMPUTED_VALUE"""),"nava.jeevan@insops.com")</f>
        <v>nava.jeevan@insops.com</v>
      </c>
      <c r="G221" s="16" t="str">
        <f>IFERROR(__xludf.DUMMYFUNCTION("""COMPUTED_VALUE"""),"Shannon Spies")</f>
        <v>Shannon Spies</v>
      </c>
      <c r="H221" s="16"/>
      <c r="I221" s="16" t="str">
        <f>IFERROR(__xludf.DUMMYFUNCTION("""COMPUTED_VALUE"""),"4320 Winfield Rd Suite 200")</f>
        <v>4320 Winfield Rd Suite 200</v>
      </c>
      <c r="J221" s="16"/>
      <c r="K221" s="16" t="str">
        <f>IFERROR(__xludf.DUMMYFUNCTION("""COMPUTED_VALUE"""),"Warrenville")</f>
        <v>Warrenville</v>
      </c>
      <c r="L221" s="16" t="str">
        <f>IFERROR(__xludf.DUMMYFUNCTION("""COMPUTED_VALUE"""),"Illinois")</f>
        <v>Illinois</v>
      </c>
      <c r="M221" s="16">
        <f>IFERROR(__xludf.DUMMYFUNCTION("""COMPUTED_VALUE"""),60555.0)</f>
        <v>60555</v>
      </c>
      <c r="N221" s="16" t="str">
        <f>IFERROR(__xludf.DUMMYFUNCTION("""COMPUTED_VALUE"""),"United States")</f>
        <v>United States</v>
      </c>
      <c r="O221" s="16"/>
      <c r="P221" s="16" t="b">
        <f>IFERROR(__xludf.DUMMYFUNCTION("""COMPUTED_VALUE"""),TRUE)</f>
        <v>1</v>
      </c>
      <c r="Q221" s="16" t="b">
        <f>IFERROR(__xludf.DUMMYFUNCTION("""COMPUTED_VALUE"""),FALSE)</f>
        <v>0</v>
      </c>
      <c r="R221" s="16" t="str">
        <f>IFERROR(__xludf.DUMMYFUNCTION("""COMPUTED_VALUE"""),"")</f>
        <v/>
      </c>
      <c r="S221" s="16" t="str">
        <f>IFERROR(__xludf.DUMMYFUNCTION("""COMPUTED_VALUE"""),"InsOps")</f>
        <v>InsOps</v>
      </c>
      <c r="T221" s="16" t="str">
        <f>IFERROR(__xludf.DUMMYFUNCTION("""COMPUTED_VALUE"""),"Current Vanguard")</f>
        <v>Current Vanguard</v>
      </c>
      <c r="U221" s="16" t="b">
        <f>IFERROR(__xludf.DUMMYFUNCTION("""COMPUTED_VALUE"""),FALSE)</f>
        <v>0</v>
      </c>
      <c r="V221" s="16"/>
      <c r="W221" s="16"/>
      <c r="X221" s="16"/>
    </row>
    <row r="222">
      <c r="A222" s="16" t="str">
        <f>IFERROR(__xludf.DUMMYFUNCTION("""COMPUTED_VALUE"""),"Shane")</f>
        <v>Shane</v>
      </c>
      <c r="B222" s="16" t="str">
        <f>IFERROR(__xludf.DUMMYFUNCTION("""COMPUTED_VALUE"""),"Thomas-Lovric")</f>
        <v>Thomas-Lovric</v>
      </c>
      <c r="C222" s="16"/>
      <c r="D222" s="16" t="str">
        <f>IFERROR(__xludf.DUMMYFUNCTION("""COMPUTED_VALUE"""),"Insurance Search Bureau of Canada")</f>
        <v>Insurance Search Bureau of Canada</v>
      </c>
      <c r="E222" s="16" t="str">
        <f>IFERROR(__xludf.DUMMYFUNCTION("""COMPUTED_VALUE"""),"Growth")</f>
        <v>Growth</v>
      </c>
      <c r="F222" s="16" t="str">
        <f>IFERROR(__xludf.DUMMYFUNCTION("""COMPUTED_VALUE"""),"sthomas@isbglobalservices.com")</f>
        <v>sthomas@isbglobalservices.com</v>
      </c>
      <c r="G222" s="16" t="str">
        <f>IFERROR(__xludf.DUMMYFUNCTION("""COMPUTED_VALUE"""),"Aaron Shaw")</f>
        <v>Aaron Shaw</v>
      </c>
      <c r="H222" s="16" t="str">
        <f>IFERROR(__xludf.DUMMYFUNCTION("""COMPUTED_VALUE"""),"PartnerConnect - Technology")</f>
        <v>PartnerConnect - Technology</v>
      </c>
      <c r="I222" s="16" t="str">
        <f>IFERROR(__xludf.DUMMYFUNCTION("""COMPUTED_VALUE"""),"8160 Parkhill Drive")</f>
        <v>8160 Parkhill Drive</v>
      </c>
      <c r="J222" s="16"/>
      <c r="K222" s="16" t="str">
        <f>IFERROR(__xludf.DUMMYFUNCTION("""COMPUTED_VALUE"""),"Milton")</f>
        <v>Milton</v>
      </c>
      <c r="L222" s="16" t="str">
        <f>IFERROR(__xludf.DUMMYFUNCTION("""COMPUTED_VALUE"""),"Ontario")</f>
        <v>Ontario</v>
      </c>
      <c r="M222" s="16" t="str">
        <f>IFERROR(__xludf.DUMMYFUNCTION("""COMPUTED_VALUE"""),"L9T 5V7")</f>
        <v>L9T 5V7</v>
      </c>
      <c r="N222" s="16" t="str">
        <f>IFERROR(__xludf.DUMMYFUNCTION("""COMPUTED_VALUE"""),"Canada")</f>
        <v>Canada</v>
      </c>
      <c r="O222" s="16" t="str">
        <f>IFERROR(__xludf.DUMMYFUNCTION("""COMPUTED_VALUE"""),"Low")</f>
        <v>Low</v>
      </c>
      <c r="P222" s="16" t="b">
        <f>IFERROR(__xludf.DUMMYFUNCTION("""COMPUTED_VALUE"""),TRUE)</f>
        <v>1</v>
      </c>
      <c r="Q222" s="16" t="b">
        <f>IFERROR(__xludf.DUMMYFUNCTION("""COMPUTED_VALUE"""),FALSE)</f>
        <v>0</v>
      </c>
      <c r="R222" s="16" t="str">
        <f>IFERROR(__xludf.DUMMYFUNCTION("""COMPUTED_VALUE"""),"Admin")</f>
        <v>Admin</v>
      </c>
      <c r="S222" s="16" t="str">
        <f>IFERROR(__xludf.DUMMYFUNCTION("""COMPUTED_VALUE"""),"ISB")</f>
        <v>ISB</v>
      </c>
      <c r="T222" s="16" t="str">
        <f>IFERROR(__xludf.DUMMYFUNCTION("""COMPUTED_VALUE"""),"Current Partner")</f>
        <v>Current Partner</v>
      </c>
      <c r="U222" s="16" t="b">
        <f>IFERROR(__xludf.DUMMYFUNCTION("""COMPUTED_VALUE"""),FALSE)</f>
        <v>0</v>
      </c>
      <c r="V222" s="16"/>
      <c r="W222" s="16"/>
      <c r="X222" s="16"/>
    </row>
    <row r="223">
      <c r="A223" s="16" t="str">
        <f>IFERROR(__xludf.DUMMYFUNCTION("""COMPUTED_VALUE"""),"Susan")</f>
        <v>Susan</v>
      </c>
      <c r="B223" s="16" t="str">
        <f>IFERROR(__xludf.DUMMYFUNCTION("""COMPUTED_VALUE"""),"Pisano")</f>
        <v>Pisano</v>
      </c>
      <c r="C223" s="16" t="str">
        <f>IFERROR(__xludf.DUMMYFUNCTION("""COMPUTED_VALUE"""),"AVP Product Management, Anti-Fraud Analytics")</f>
        <v>AVP Product Management, Anti-Fraud Analytics</v>
      </c>
      <c r="D223" s="16" t="str">
        <f>IFERROR(__xludf.DUMMYFUNCTION("""COMPUTED_VALUE"""),"Insurance Services Office (ISO)")</f>
        <v>Insurance Services Office (ISO)</v>
      </c>
      <c r="E223" s="16" t="str">
        <f>IFERROR(__xludf.DUMMYFUNCTION("""COMPUTED_VALUE"""),"Premier")</f>
        <v>Premier</v>
      </c>
      <c r="F223" s="16" t="str">
        <f>IFERROR(__xludf.DUMMYFUNCTION("""COMPUTED_VALUE"""),"susan.pisano@verisk.com")</f>
        <v>susan.pisano@verisk.com</v>
      </c>
      <c r="G223" s="16" t="str">
        <f>IFERROR(__xludf.DUMMYFUNCTION("""COMPUTED_VALUE"""),"Tim Kennedy")</f>
        <v>Tim Kennedy</v>
      </c>
      <c r="H223" s="16" t="str">
        <f>IFERROR(__xludf.DUMMYFUNCTION("""COMPUTED_VALUE"""),"PartnerConnect - Technology")</f>
        <v>PartnerConnect - Technology</v>
      </c>
      <c r="I223" s="16" t="str">
        <f>IFERROR(__xludf.DUMMYFUNCTION("""COMPUTED_VALUE"""),"545 Washibgton Blvd")</f>
        <v>545 Washibgton Blvd</v>
      </c>
      <c r="J223" s="16"/>
      <c r="K223" s="16" t="str">
        <f>IFERROR(__xludf.DUMMYFUNCTION("""COMPUTED_VALUE"""),"Jersey City")</f>
        <v>Jersey City</v>
      </c>
      <c r="L223" s="16" t="str">
        <f>IFERROR(__xludf.DUMMYFUNCTION("""COMPUTED_VALUE"""),"NEW JERSEY")</f>
        <v>NEW JERSEY</v>
      </c>
      <c r="M223" s="16">
        <f>IFERROR(__xludf.DUMMYFUNCTION("""COMPUTED_VALUE"""),7310.0)</f>
        <v>7310</v>
      </c>
      <c r="N223" s="16" t="str">
        <f>IFERROR(__xludf.DUMMYFUNCTION("""COMPUTED_VALUE"""),"United States")</f>
        <v>United States</v>
      </c>
      <c r="O223" s="16" t="str">
        <f>IFERROR(__xludf.DUMMYFUNCTION("""COMPUTED_VALUE"""),"High")</f>
        <v>High</v>
      </c>
      <c r="P223" s="16" t="b">
        <f>IFERROR(__xludf.DUMMYFUNCTION("""COMPUTED_VALUE"""),FALSE)</f>
        <v>0</v>
      </c>
      <c r="Q223" s="16" t="b">
        <f>IFERROR(__xludf.DUMMYFUNCTION("""COMPUTED_VALUE"""),TRUE)</f>
        <v>1</v>
      </c>
      <c r="R223" s="16" t="str">
        <f>IFERROR(__xludf.DUMMYFUNCTION("""COMPUTED_VALUE"""),"Business, Events, Marketing")</f>
        <v>Business, Events, Marketing</v>
      </c>
      <c r="S223" s="16" t="str">
        <f>IFERROR(__xludf.DUMMYFUNCTION("""COMPUTED_VALUE"""),"Verisk")</f>
        <v>Verisk</v>
      </c>
      <c r="T223" s="16" t="str">
        <f>IFERROR(__xludf.DUMMYFUNCTION("""COMPUTED_VALUE"""),"Current Partner")</f>
        <v>Current Partner</v>
      </c>
      <c r="U223" s="16" t="b">
        <f>IFERROR(__xludf.DUMMYFUNCTION("""COMPUTED_VALUE"""),FALSE)</f>
        <v>0</v>
      </c>
      <c r="V223" s="16"/>
      <c r="W223" s="16"/>
      <c r="X223" s="16"/>
    </row>
    <row r="224">
      <c r="A224" s="16" t="str">
        <f>IFERROR(__xludf.DUMMYFUNCTION("""COMPUTED_VALUE"""),"Scott")</f>
        <v>Scott</v>
      </c>
      <c r="B224" s="16" t="str">
        <f>IFERROR(__xludf.DUMMYFUNCTION("""COMPUTED_VALUE"""),"Himowitz")</f>
        <v>Himowitz</v>
      </c>
      <c r="C224" s="16" t="str">
        <f>IFERROR(__xludf.DUMMYFUNCTION("""COMPUTED_VALUE"""),"Marketing Manager")</f>
        <v>Marketing Manager</v>
      </c>
      <c r="D224" s="16" t="str">
        <f>IFERROR(__xludf.DUMMYFUNCTION("""COMPUTED_VALUE"""),"Insurance Services Office (ISO)")</f>
        <v>Insurance Services Office (ISO)</v>
      </c>
      <c r="E224" s="16" t="str">
        <f>IFERROR(__xludf.DUMMYFUNCTION("""COMPUTED_VALUE"""),"Premier")</f>
        <v>Premier</v>
      </c>
      <c r="F224" s="16" t="str">
        <f>IFERROR(__xludf.DUMMYFUNCTION("""COMPUTED_VALUE"""),"scott.himowitz@verisk.com")</f>
        <v>scott.himowitz@verisk.com</v>
      </c>
      <c r="G224" s="16" t="str">
        <f>IFERROR(__xludf.DUMMYFUNCTION("""COMPUTED_VALUE"""),"Tim Kennedy")</f>
        <v>Tim Kennedy</v>
      </c>
      <c r="H224" s="16" t="str">
        <f>IFERROR(__xludf.DUMMYFUNCTION("""COMPUTED_VALUE"""),"PartnerConnect - Technology")</f>
        <v>PartnerConnect - Technology</v>
      </c>
      <c r="I224" s="16"/>
      <c r="J224" s="16"/>
      <c r="K224" s="16"/>
      <c r="L224" s="16"/>
      <c r="M224" s="16"/>
      <c r="N224" s="16" t="str">
        <f>IFERROR(__xludf.DUMMYFUNCTION("""COMPUTED_VALUE"""),"United States")</f>
        <v>United States</v>
      </c>
      <c r="O224" s="16" t="str">
        <f>IFERROR(__xludf.DUMMYFUNCTION("""COMPUTED_VALUE"""),"High")</f>
        <v>High</v>
      </c>
      <c r="P224" s="16" t="b">
        <f>IFERROR(__xludf.DUMMYFUNCTION("""COMPUTED_VALUE"""),FALSE)</f>
        <v>0</v>
      </c>
      <c r="Q224" s="16" t="b">
        <f>IFERROR(__xludf.DUMMYFUNCTION("""COMPUTED_VALUE"""),TRUE)</f>
        <v>1</v>
      </c>
      <c r="R224" s="16" t="str">
        <f>IFERROR(__xludf.DUMMYFUNCTION("""COMPUTED_VALUE"""),"Business, Events, Marketing")</f>
        <v>Business, Events, Marketing</v>
      </c>
      <c r="S224" s="16" t="str">
        <f>IFERROR(__xludf.DUMMYFUNCTION("""COMPUTED_VALUE"""),"Verisk")</f>
        <v>Verisk</v>
      </c>
      <c r="T224" s="16" t="str">
        <f>IFERROR(__xludf.DUMMYFUNCTION("""COMPUTED_VALUE"""),"Current Partner")</f>
        <v>Current Partner</v>
      </c>
      <c r="U224" s="16" t="b">
        <f>IFERROR(__xludf.DUMMYFUNCTION("""COMPUTED_VALUE"""),FALSE)</f>
        <v>0</v>
      </c>
      <c r="V224" s="16"/>
      <c r="W224" s="16"/>
      <c r="X224" s="16"/>
    </row>
    <row r="225">
      <c r="A225" s="16" t="str">
        <f>IFERROR(__xludf.DUMMYFUNCTION("""COMPUTED_VALUE"""),"Mitchell")</f>
        <v>Mitchell</v>
      </c>
      <c r="B225" s="16" t="str">
        <f>IFERROR(__xludf.DUMMYFUNCTION("""COMPUTED_VALUE"""),"Bierman")</f>
        <v>Bierman</v>
      </c>
      <c r="C225" s="16" t="str">
        <f>IFERROR(__xludf.DUMMYFUNCTION("""COMPUTED_VALUE"""),"VP Verisk Strategic Alliances")</f>
        <v>VP Verisk Strategic Alliances</v>
      </c>
      <c r="D225" s="16" t="str">
        <f>IFERROR(__xludf.DUMMYFUNCTION("""COMPUTED_VALUE"""),"Insurance Services Office (ISO)")</f>
        <v>Insurance Services Office (ISO)</v>
      </c>
      <c r="E225" s="16" t="str">
        <f>IFERROR(__xludf.DUMMYFUNCTION("""COMPUTED_VALUE"""),"Premier")</f>
        <v>Premier</v>
      </c>
      <c r="F225" s="16" t="str">
        <f>IFERROR(__xludf.DUMMYFUNCTION("""COMPUTED_VALUE"""),"mbierman@verisk.com")</f>
        <v>mbierman@verisk.com</v>
      </c>
      <c r="G225" s="16" t="str">
        <f>IFERROR(__xludf.DUMMYFUNCTION("""COMPUTED_VALUE"""),"Tim Kennedy")</f>
        <v>Tim Kennedy</v>
      </c>
      <c r="H225" s="16" t="str">
        <f>IFERROR(__xludf.DUMMYFUNCTION("""COMPUTED_VALUE"""),"PartnerConnect - Technology")</f>
        <v>PartnerConnect - Technology</v>
      </c>
      <c r="I225" s="16" t="str">
        <f>IFERROR(__xludf.DUMMYFUNCTION("""COMPUTED_VALUE"""),"545 Washington Blvd")</f>
        <v>545 Washington Blvd</v>
      </c>
      <c r="J225" s="16"/>
      <c r="K225" s="16" t="str">
        <f>IFERROR(__xludf.DUMMYFUNCTION("""COMPUTED_VALUE"""),"Jersey City")</f>
        <v>Jersey City</v>
      </c>
      <c r="L225" s="16" t="str">
        <f>IFERROR(__xludf.DUMMYFUNCTION("""COMPUTED_VALUE"""),"NEW JERSEY")</f>
        <v>NEW JERSEY</v>
      </c>
      <c r="M225" s="16">
        <f>IFERROR(__xludf.DUMMYFUNCTION("""COMPUTED_VALUE"""),7310.0)</f>
        <v>7310</v>
      </c>
      <c r="N225" s="16" t="str">
        <f>IFERROR(__xludf.DUMMYFUNCTION("""COMPUTED_VALUE"""),"United States")</f>
        <v>United States</v>
      </c>
      <c r="O225" s="16" t="str">
        <f>IFERROR(__xludf.DUMMYFUNCTION("""COMPUTED_VALUE"""),"High")</f>
        <v>High</v>
      </c>
      <c r="P225" s="16" t="b">
        <f>IFERROR(__xludf.DUMMYFUNCTION("""COMPUTED_VALUE"""),FALSE)</f>
        <v>0</v>
      </c>
      <c r="Q225" s="16" t="b">
        <f>IFERROR(__xludf.DUMMYFUNCTION("""COMPUTED_VALUE"""),TRUE)</f>
        <v>1</v>
      </c>
      <c r="R225" s="16" t="str">
        <f>IFERROR(__xludf.DUMMYFUNCTION("""COMPUTED_VALUE"""),"Business, Events, Marketing, Support")</f>
        <v>Business, Events, Marketing, Support</v>
      </c>
      <c r="S225" s="16" t="str">
        <f>IFERROR(__xludf.DUMMYFUNCTION("""COMPUTED_VALUE"""),"Verisk")</f>
        <v>Verisk</v>
      </c>
      <c r="T225" s="16" t="str">
        <f>IFERROR(__xludf.DUMMYFUNCTION("""COMPUTED_VALUE"""),"Current Partner")</f>
        <v>Current Partner</v>
      </c>
      <c r="U225" s="16" t="b">
        <f>IFERROR(__xludf.DUMMYFUNCTION("""COMPUTED_VALUE"""),FALSE)</f>
        <v>0</v>
      </c>
      <c r="V225" s="16"/>
      <c r="W225" s="16"/>
      <c r="X225" s="16"/>
    </row>
    <row r="226">
      <c r="A226" s="16" t="str">
        <f>IFERROR(__xludf.DUMMYFUNCTION("""COMPUTED_VALUE"""),"Valerie")</f>
        <v>Valerie</v>
      </c>
      <c r="B226" s="16" t="str">
        <f>IFERROR(__xludf.DUMMYFUNCTION("""COMPUTED_VALUE"""),"Archer")</f>
        <v>Archer</v>
      </c>
      <c r="C226" s="16" t="str">
        <f>IFERROR(__xludf.DUMMYFUNCTION("""COMPUTED_VALUE"""),"Director")</f>
        <v>Director</v>
      </c>
      <c r="D226" s="16" t="str">
        <f>IFERROR(__xludf.DUMMYFUNCTION("""COMPUTED_VALUE"""),"Insurance Services Office (ISO)")</f>
        <v>Insurance Services Office (ISO)</v>
      </c>
      <c r="E226" s="16" t="str">
        <f>IFERROR(__xludf.DUMMYFUNCTION("""COMPUTED_VALUE"""),"Premier")</f>
        <v>Premier</v>
      </c>
      <c r="F226" s="16" t="str">
        <f>IFERROR(__xludf.DUMMYFUNCTION("""COMPUTED_VALUE"""),"valerie.archer@verisk.com")</f>
        <v>valerie.archer@verisk.com</v>
      </c>
      <c r="G226" s="16" t="str">
        <f>IFERROR(__xludf.DUMMYFUNCTION("""COMPUTED_VALUE"""),"Tim Kennedy")</f>
        <v>Tim Kennedy</v>
      </c>
      <c r="H226" s="16" t="str">
        <f>IFERROR(__xludf.DUMMYFUNCTION("""COMPUTED_VALUE"""),"PartnerConnect - Technology")</f>
        <v>PartnerConnect - Technology</v>
      </c>
      <c r="I226" s="16" t="str">
        <f>IFERROR(__xludf.DUMMYFUNCTION("""COMPUTED_VALUE"""),"545 Washington Ave")</f>
        <v>545 Washington Ave</v>
      </c>
      <c r="J226" s="16"/>
      <c r="K226" s="16" t="str">
        <f>IFERROR(__xludf.DUMMYFUNCTION("""COMPUTED_VALUE"""),"Jersey City")</f>
        <v>Jersey City</v>
      </c>
      <c r="L226" s="16" t="str">
        <f>IFERROR(__xludf.DUMMYFUNCTION("""COMPUTED_VALUE"""),"New Jersey")</f>
        <v>New Jersey</v>
      </c>
      <c r="M226" s="16">
        <f>IFERROR(__xludf.DUMMYFUNCTION("""COMPUTED_VALUE"""),3710.0)</f>
        <v>3710</v>
      </c>
      <c r="N226" s="16" t="str">
        <f>IFERROR(__xludf.DUMMYFUNCTION("""COMPUTED_VALUE"""),"United States")</f>
        <v>United States</v>
      </c>
      <c r="O226" s="16" t="str">
        <f>IFERROR(__xludf.DUMMYFUNCTION("""COMPUTED_VALUE"""),"High")</f>
        <v>High</v>
      </c>
      <c r="P226" s="16" t="b">
        <f>IFERROR(__xludf.DUMMYFUNCTION("""COMPUTED_VALUE"""),TRUE)</f>
        <v>1</v>
      </c>
      <c r="Q226" s="16" t="b">
        <f>IFERROR(__xludf.DUMMYFUNCTION("""COMPUTED_VALUE"""),TRUE)</f>
        <v>1</v>
      </c>
      <c r="R226" s="16" t="str">
        <f>IFERROR(__xludf.DUMMYFUNCTION("""COMPUTED_VALUE"""),"Admin, Marketing")</f>
        <v>Admin, Marketing</v>
      </c>
      <c r="S226" s="16" t="str">
        <f>IFERROR(__xludf.DUMMYFUNCTION("""COMPUTED_VALUE"""),"Verisk")</f>
        <v>Verisk</v>
      </c>
      <c r="T226" s="16" t="str">
        <f>IFERROR(__xludf.DUMMYFUNCTION("""COMPUTED_VALUE"""),"Current Partner")</f>
        <v>Current Partner</v>
      </c>
      <c r="U226" s="16" t="b">
        <f>IFERROR(__xludf.DUMMYFUNCTION("""COMPUTED_VALUE"""),FALSE)</f>
        <v>0</v>
      </c>
      <c r="V226" s="16"/>
      <c r="W226" s="16"/>
      <c r="X226" s="16"/>
    </row>
    <row r="227">
      <c r="A227" s="16" t="str">
        <f>IFERROR(__xludf.DUMMYFUNCTION("""COMPUTED_VALUE"""),"Elle")</f>
        <v>Elle</v>
      </c>
      <c r="B227" s="16" t="str">
        <f>IFERROR(__xludf.DUMMYFUNCTION("""COMPUTED_VALUE"""),"Ashby")</f>
        <v>Ashby</v>
      </c>
      <c r="C227" s="16"/>
      <c r="D227" s="16" t="str">
        <f>IFERROR(__xludf.DUMMYFUNCTION("""COMPUTED_VALUE"""),"Insurance Services Office (ISO)")</f>
        <v>Insurance Services Office (ISO)</v>
      </c>
      <c r="E227" s="16" t="str">
        <f>IFERROR(__xludf.DUMMYFUNCTION("""COMPUTED_VALUE"""),"Premier")</f>
        <v>Premier</v>
      </c>
      <c r="F227" s="16" t="str">
        <f>IFERROR(__xludf.DUMMYFUNCTION("""COMPUTED_VALUE"""),"eashby@verisk.com")</f>
        <v>eashby@verisk.com</v>
      </c>
      <c r="G227" s="16" t="str">
        <f>IFERROR(__xludf.DUMMYFUNCTION("""COMPUTED_VALUE"""),"Tim Kennedy")</f>
        <v>Tim Kennedy</v>
      </c>
      <c r="H227" s="16" t="str">
        <f>IFERROR(__xludf.DUMMYFUNCTION("""COMPUTED_VALUE"""),"PartnerConnect - Technology")</f>
        <v>PartnerConnect - Technology</v>
      </c>
      <c r="I227" s="16" t="str">
        <f>IFERROR(__xludf.DUMMYFUNCTION("""COMPUTED_VALUE"""),"545 Washington Blvd.")</f>
        <v>545 Washington Blvd.</v>
      </c>
      <c r="J227" s="16"/>
      <c r="K227" s="16" t="str">
        <f>IFERROR(__xludf.DUMMYFUNCTION("""COMPUTED_VALUE"""),"Jersey City")</f>
        <v>Jersey City</v>
      </c>
      <c r="L227" s="16" t="str">
        <f>IFERROR(__xludf.DUMMYFUNCTION("""COMPUTED_VALUE"""),"New Jersey")</f>
        <v>New Jersey</v>
      </c>
      <c r="M227" s="16">
        <f>IFERROR(__xludf.DUMMYFUNCTION("""COMPUTED_VALUE"""),7310.0)</f>
        <v>7310</v>
      </c>
      <c r="N227" s="16" t="str">
        <f>IFERROR(__xludf.DUMMYFUNCTION("""COMPUTED_VALUE"""),"United States")</f>
        <v>United States</v>
      </c>
      <c r="O227" s="16" t="str">
        <f>IFERROR(__xludf.DUMMYFUNCTION("""COMPUTED_VALUE"""),"High")</f>
        <v>High</v>
      </c>
      <c r="P227" s="16" t="b">
        <f>IFERROR(__xludf.DUMMYFUNCTION("""COMPUTED_VALUE"""),FALSE)</f>
        <v>0</v>
      </c>
      <c r="Q227" s="16" t="b">
        <f>IFERROR(__xludf.DUMMYFUNCTION("""COMPUTED_VALUE"""),TRUE)</f>
        <v>1</v>
      </c>
      <c r="R227" s="16" t="str">
        <f>IFERROR(__xludf.DUMMYFUNCTION("""COMPUTED_VALUE"""),"Business")</f>
        <v>Business</v>
      </c>
      <c r="S227" s="16" t="str">
        <f>IFERROR(__xludf.DUMMYFUNCTION("""COMPUTED_VALUE"""),"Verisk")</f>
        <v>Verisk</v>
      </c>
      <c r="T227" s="16" t="str">
        <f>IFERROR(__xludf.DUMMYFUNCTION("""COMPUTED_VALUE"""),"Current Partner")</f>
        <v>Current Partner</v>
      </c>
      <c r="U227" s="16" t="b">
        <f>IFERROR(__xludf.DUMMYFUNCTION("""COMPUTED_VALUE"""),FALSE)</f>
        <v>0</v>
      </c>
      <c r="V227" s="16"/>
      <c r="W227" s="16"/>
      <c r="X227" s="16"/>
    </row>
    <row r="228">
      <c r="A228" s="16" t="str">
        <f>IFERROR(__xludf.DUMMYFUNCTION("""COMPUTED_VALUE"""),"Jennifer")</f>
        <v>Jennifer</v>
      </c>
      <c r="B228" s="16" t="str">
        <f>IFERROR(__xludf.DUMMYFUNCTION("""COMPUTED_VALUE"""),"Fink")</f>
        <v>Fink</v>
      </c>
      <c r="C228" s="16" t="str">
        <f>IFERROR(__xludf.DUMMYFUNCTION("""COMPUTED_VALUE"""),"Sr. Director, Product Marketing, Casualty Solutions")</f>
        <v>Sr. Director, Product Marketing, Casualty Solutions</v>
      </c>
      <c r="D228" s="16" t="str">
        <f>IFERROR(__xludf.DUMMYFUNCTION("""COMPUTED_VALUE"""),"Insurance Services Office (ISO)")</f>
        <v>Insurance Services Office (ISO)</v>
      </c>
      <c r="E228" s="16" t="str">
        <f>IFERROR(__xludf.DUMMYFUNCTION("""COMPUTED_VALUE"""),"Premier")</f>
        <v>Premier</v>
      </c>
      <c r="F228" s="16" t="str">
        <f>IFERROR(__xludf.DUMMYFUNCTION("""COMPUTED_VALUE"""),"jennifer.fink@verisk.com")</f>
        <v>jennifer.fink@verisk.com</v>
      </c>
      <c r="G228" s="16" t="str">
        <f>IFERROR(__xludf.DUMMYFUNCTION("""COMPUTED_VALUE"""),"Tim Kennedy")</f>
        <v>Tim Kennedy</v>
      </c>
      <c r="H228" s="16" t="str">
        <f>IFERROR(__xludf.DUMMYFUNCTION("""COMPUTED_VALUE"""),"PartnerConnect - Technology")</f>
        <v>PartnerConnect - Technology</v>
      </c>
      <c r="I228" s="16"/>
      <c r="J228" s="16"/>
      <c r="K228" s="16"/>
      <c r="L228" s="16"/>
      <c r="M228" s="16"/>
      <c r="N228" s="16" t="str">
        <f>IFERROR(__xludf.DUMMYFUNCTION("""COMPUTED_VALUE"""),"United States")</f>
        <v>United States</v>
      </c>
      <c r="O228" s="16" t="str">
        <f>IFERROR(__xludf.DUMMYFUNCTION("""COMPUTED_VALUE"""),"High")</f>
        <v>High</v>
      </c>
      <c r="P228" s="16" t="b">
        <f>IFERROR(__xludf.DUMMYFUNCTION("""COMPUTED_VALUE"""),FALSE)</f>
        <v>0</v>
      </c>
      <c r="Q228" s="16" t="b">
        <f>IFERROR(__xludf.DUMMYFUNCTION("""COMPUTED_VALUE"""),TRUE)</f>
        <v>1</v>
      </c>
      <c r="R228" s="16" t="str">
        <f>IFERROR(__xludf.DUMMYFUNCTION("""COMPUTED_VALUE"""),"Events, Marketing")</f>
        <v>Events, Marketing</v>
      </c>
      <c r="S228" s="16" t="str">
        <f>IFERROR(__xludf.DUMMYFUNCTION("""COMPUTED_VALUE"""),"Verisk")</f>
        <v>Verisk</v>
      </c>
      <c r="T228" s="16" t="str">
        <f>IFERROR(__xludf.DUMMYFUNCTION("""COMPUTED_VALUE"""),"Current Partner")</f>
        <v>Current Partner</v>
      </c>
      <c r="U228" s="16" t="b">
        <f>IFERROR(__xludf.DUMMYFUNCTION("""COMPUTED_VALUE"""),FALSE)</f>
        <v>0</v>
      </c>
      <c r="V228" s="16"/>
      <c r="W228" s="16"/>
      <c r="X228" s="16"/>
    </row>
    <row r="229">
      <c r="A229" s="16" t="str">
        <f>IFERROR(__xludf.DUMMYFUNCTION("""COMPUTED_VALUE"""),"Noelle")</f>
        <v>Noelle</v>
      </c>
      <c r="B229" s="16" t="str">
        <f>IFERROR(__xludf.DUMMYFUNCTION("""COMPUTED_VALUE"""),"Bartlett")</f>
        <v>Bartlett</v>
      </c>
      <c r="C229" s="16" t="str">
        <f>IFERROR(__xludf.DUMMYFUNCTION("""COMPUTED_VALUE"""),"Director, Partner Strategy")</f>
        <v>Director, Partner Strategy</v>
      </c>
      <c r="D229" s="16" t="str">
        <f>IFERROR(__xludf.DUMMYFUNCTION("""COMPUTED_VALUE"""),"Insurance Services Office (ISO)")</f>
        <v>Insurance Services Office (ISO)</v>
      </c>
      <c r="E229" s="16" t="str">
        <f>IFERROR(__xludf.DUMMYFUNCTION("""COMPUTED_VALUE"""),"Premier")</f>
        <v>Premier</v>
      </c>
      <c r="F229" s="16" t="str">
        <f>IFERROR(__xludf.DUMMYFUNCTION("""COMPUTED_VALUE"""),"noelle.bartlett@verisk.com")</f>
        <v>noelle.bartlett@verisk.com</v>
      </c>
      <c r="G229" s="16" t="str">
        <f>IFERROR(__xludf.DUMMYFUNCTION("""COMPUTED_VALUE"""),"Tim Kennedy")</f>
        <v>Tim Kennedy</v>
      </c>
      <c r="H229" s="16" t="str">
        <f>IFERROR(__xludf.DUMMYFUNCTION("""COMPUTED_VALUE"""),"PartnerConnect - Technology")</f>
        <v>PartnerConnect - Technology</v>
      </c>
      <c r="I229" s="16" t="str">
        <f>IFERROR(__xludf.DUMMYFUNCTION("""COMPUTED_VALUE"""),"545 Washington Blvd")</f>
        <v>545 Washington Blvd</v>
      </c>
      <c r="J229" s="16"/>
      <c r="K229" s="16" t="str">
        <f>IFERROR(__xludf.DUMMYFUNCTION("""COMPUTED_VALUE"""),"Jersey City")</f>
        <v>Jersey City</v>
      </c>
      <c r="L229" s="16" t="str">
        <f>IFERROR(__xludf.DUMMYFUNCTION("""COMPUTED_VALUE"""),"NJ")</f>
        <v>NJ</v>
      </c>
      <c r="M229" s="16">
        <f>IFERROR(__xludf.DUMMYFUNCTION("""COMPUTED_VALUE"""),7310.0)</f>
        <v>7310</v>
      </c>
      <c r="N229" s="16" t="str">
        <f>IFERROR(__xludf.DUMMYFUNCTION("""COMPUTED_VALUE"""),"United States")</f>
        <v>United States</v>
      </c>
      <c r="O229" s="16" t="str">
        <f>IFERROR(__xludf.DUMMYFUNCTION("""COMPUTED_VALUE"""),"High")</f>
        <v>High</v>
      </c>
      <c r="P229" s="16" t="b">
        <f>IFERROR(__xludf.DUMMYFUNCTION("""COMPUTED_VALUE"""),FALSE)</f>
        <v>0</v>
      </c>
      <c r="Q229" s="16" t="b">
        <f>IFERROR(__xludf.DUMMYFUNCTION("""COMPUTED_VALUE"""),TRUE)</f>
        <v>1</v>
      </c>
      <c r="R229" s="16" t="str">
        <f>IFERROR(__xludf.DUMMYFUNCTION("""COMPUTED_VALUE"""),"Business, Support")</f>
        <v>Business, Support</v>
      </c>
      <c r="S229" s="16" t="str">
        <f>IFERROR(__xludf.DUMMYFUNCTION("""COMPUTED_VALUE"""),"Verisk")</f>
        <v>Verisk</v>
      </c>
      <c r="T229" s="16" t="str">
        <f>IFERROR(__xludf.DUMMYFUNCTION("""COMPUTED_VALUE"""),"Current Partner")</f>
        <v>Current Partner</v>
      </c>
      <c r="U229" s="16" t="b">
        <f>IFERROR(__xludf.DUMMYFUNCTION("""COMPUTED_VALUE"""),FALSE)</f>
        <v>0</v>
      </c>
      <c r="V229" s="16"/>
      <c r="W229" s="16"/>
      <c r="X229" s="16"/>
    </row>
    <row r="230">
      <c r="A230" s="16" t="str">
        <f>IFERROR(__xludf.DUMMYFUNCTION("""COMPUTED_VALUE"""),"Rebecca")</f>
        <v>Rebecca</v>
      </c>
      <c r="B230" s="16" t="str">
        <f>IFERROR(__xludf.DUMMYFUNCTION("""COMPUTED_VALUE"""),"Acevedo")</f>
        <v>Acevedo</v>
      </c>
      <c r="C230" s="16" t="str">
        <f>IFERROR(__xludf.DUMMYFUNCTION("""COMPUTED_VALUE"""),"Assistant Vice President, Continuous Improvement")</f>
        <v>Assistant Vice President, Continuous Improvement</v>
      </c>
      <c r="D230" s="16" t="str">
        <f>IFERROR(__xludf.DUMMYFUNCTION("""COMPUTED_VALUE"""),"Insurance Services Office (ISO)")</f>
        <v>Insurance Services Office (ISO)</v>
      </c>
      <c r="E230" s="16" t="str">
        <f>IFERROR(__xludf.DUMMYFUNCTION("""COMPUTED_VALUE"""),"Premier")</f>
        <v>Premier</v>
      </c>
      <c r="F230" s="16" t="str">
        <f>IFERROR(__xludf.DUMMYFUNCTION("""COMPUTED_VALUE"""),"racevedo@verisk.com")</f>
        <v>racevedo@verisk.com</v>
      </c>
      <c r="G230" s="16" t="str">
        <f>IFERROR(__xludf.DUMMYFUNCTION("""COMPUTED_VALUE"""),"Tim Kennedy")</f>
        <v>Tim Kennedy</v>
      </c>
      <c r="H230" s="16" t="str">
        <f>IFERROR(__xludf.DUMMYFUNCTION("""COMPUTED_VALUE"""),"PartnerConnect - Technology")</f>
        <v>PartnerConnect - Technology</v>
      </c>
      <c r="I230" s="16" t="str">
        <f>IFERROR(__xludf.DUMMYFUNCTION("""COMPUTED_VALUE"""),"400 Riverpark Drive")</f>
        <v>400 Riverpark Drive</v>
      </c>
      <c r="J230" s="16"/>
      <c r="K230" s="16" t="str">
        <f>IFERROR(__xludf.DUMMYFUNCTION("""COMPUTED_VALUE"""),"North Reading")</f>
        <v>North Reading</v>
      </c>
      <c r="L230" s="16" t="str">
        <f>IFERROR(__xludf.DUMMYFUNCTION("""COMPUTED_VALUE"""),"MASSACHUSETTS")</f>
        <v>MASSACHUSETTS</v>
      </c>
      <c r="M230" s="16">
        <f>IFERROR(__xludf.DUMMYFUNCTION("""COMPUTED_VALUE"""),1864.0)</f>
        <v>1864</v>
      </c>
      <c r="N230" s="16" t="str">
        <f>IFERROR(__xludf.DUMMYFUNCTION("""COMPUTED_VALUE"""),"United States")</f>
        <v>United States</v>
      </c>
      <c r="O230" s="16" t="str">
        <f>IFERROR(__xludf.DUMMYFUNCTION("""COMPUTED_VALUE"""),"High")</f>
        <v>High</v>
      </c>
      <c r="P230" s="16" t="b">
        <f>IFERROR(__xludf.DUMMYFUNCTION("""COMPUTED_VALUE"""),TRUE)</f>
        <v>1</v>
      </c>
      <c r="Q230" s="16" t="b">
        <f>IFERROR(__xludf.DUMMYFUNCTION("""COMPUTED_VALUE"""),TRUE)</f>
        <v>1</v>
      </c>
      <c r="R230" s="16" t="str">
        <f>IFERROR(__xludf.DUMMYFUNCTION("""COMPUTED_VALUE"""),"Admin")</f>
        <v>Admin</v>
      </c>
      <c r="S230" s="16" t="str">
        <f>IFERROR(__xludf.DUMMYFUNCTION("""COMPUTED_VALUE"""),"Verisk")</f>
        <v>Verisk</v>
      </c>
      <c r="T230" s="16" t="str">
        <f>IFERROR(__xludf.DUMMYFUNCTION("""COMPUTED_VALUE"""),"Current Partner")</f>
        <v>Current Partner</v>
      </c>
      <c r="U230" s="16" t="b">
        <f>IFERROR(__xludf.DUMMYFUNCTION("""COMPUTED_VALUE"""),FALSE)</f>
        <v>0</v>
      </c>
      <c r="V230" s="16"/>
      <c r="W230" s="16"/>
      <c r="X230" s="16"/>
    </row>
    <row r="231">
      <c r="A231" s="16" t="str">
        <f>IFERROR(__xludf.DUMMYFUNCTION("""COMPUTED_VALUE"""),"Jim")</f>
        <v>Jim</v>
      </c>
      <c r="B231" s="16" t="str">
        <f>IFERROR(__xludf.DUMMYFUNCTION("""COMPUTED_VALUE"""),"Leavitt")</f>
        <v>Leavitt</v>
      </c>
      <c r="C231" s="16" t="str">
        <f>IFERROR(__xludf.DUMMYFUNCTION("""COMPUTED_VALUE"""),"Vice President, Sales &amp; Alliances")</f>
        <v>Vice President, Sales &amp; Alliances</v>
      </c>
      <c r="D231" s="16" t="str">
        <f>IFERROR(__xludf.DUMMYFUNCTION("""COMPUTED_VALUE"""),"InsurePay")</f>
        <v>InsurePay</v>
      </c>
      <c r="E231" s="16" t="str">
        <f>IFERROR(__xludf.DUMMYFUNCTION("""COMPUTED_VALUE"""),"Advantage")</f>
        <v>Advantage</v>
      </c>
      <c r="F231" s="16" t="str">
        <f>IFERROR(__xludf.DUMMYFUNCTION("""COMPUTED_VALUE"""),"jleavitt@insurepay.com")</f>
        <v>jleavitt@insurepay.com</v>
      </c>
      <c r="G231" s="16" t="str">
        <f>IFERROR(__xludf.DUMMYFUNCTION("""COMPUTED_VALUE"""),"Rod Gowin")</f>
        <v>Rod Gowin</v>
      </c>
      <c r="H231" s="16" t="str">
        <f>IFERROR(__xludf.DUMMYFUNCTION("""COMPUTED_VALUE"""),"PartnerConnect - Technology")</f>
        <v>PartnerConnect - Technology</v>
      </c>
      <c r="I231" s="16" t="str">
        <f>IFERROR(__xludf.DUMMYFUNCTION("""COMPUTED_VALUE"""),"1645 Westgate Circle")</f>
        <v>1645 Westgate Circle</v>
      </c>
      <c r="J231" s="16"/>
      <c r="K231" s="16" t="str">
        <f>IFERROR(__xludf.DUMMYFUNCTION("""COMPUTED_VALUE"""),"Brentwood")</f>
        <v>Brentwood</v>
      </c>
      <c r="L231" s="16" t="str">
        <f>IFERROR(__xludf.DUMMYFUNCTION("""COMPUTED_VALUE"""),"Tennessee")</f>
        <v>Tennessee</v>
      </c>
      <c r="M231" s="16">
        <f>IFERROR(__xludf.DUMMYFUNCTION("""COMPUTED_VALUE"""),37027.0)</f>
        <v>37027</v>
      </c>
      <c r="N231" s="16" t="str">
        <f>IFERROR(__xludf.DUMMYFUNCTION("""COMPUTED_VALUE"""),"United States")</f>
        <v>United States</v>
      </c>
      <c r="O231" s="16" t="str">
        <f>IFERROR(__xludf.DUMMYFUNCTION("""COMPUTED_VALUE"""),"Medium")</f>
        <v>Medium</v>
      </c>
      <c r="P231" s="16" t="b">
        <f>IFERROR(__xludf.DUMMYFUNCTION("""COMPUTED_VALUE"""),TRUE)</f>
        <v>1</v>
      </c>
      <c r="Q231" s="16" t="b">
        <f>IFERROR(__xludf.DUMMYFUNCTION("""COMPUTED_VALUE"""),FALSE)</f>
        <v>0</v>
      </c>
      <c r="R231" s="16" t="str">
        <f>IFERROR(__xludf.DUMMYFUNCTION("""COMPUTED_VALUE"""),"Admin, Business, Client Partner / Partner Account Executive")</f>
        <v>Admin, Business, Client Partner / Partner Account Executive</v>
      </c>
      <c r="S231" s="16" t="str">
        <f>IFERROR(__xludf.DUMMYFUNCTION("""COMPUTED_VALUE"""),"InsurePay")</f>
        <v>InsurePay</v>
      </c>
      <c r="T231" s="16" t="str">
        <f>IFERROR(__xludf.DUMMYFUNCTION("""COMPUTED_VALUE"""),"Current Partner")</f>
        <v>Current Partner</v>
      </c>
      <c r="U231" s="16" t="b">
        <f>IFERROR(__xludf.DUMMYFUNCTION("""COMPUTED_VALUE"""),FALSE)</f>
        <v>0</v>
      </c>
      <c r="V231" s="16"/>
      <c r="W231" s="16"/>
      <c r="X231" s="16"/>
    </row>
    <row r="232">
      <c r="A232" s="16" t="str">
        <f>IFERROR(__xludf.DUMMYFUNCTION("""COMPUTED_VALUE"""),"Mary")</f>
        <v>Mary</v>
      </c>
      <c r="B232" s="16" t="str">
        <f>IFERROR(__xludf.DUMMYFUNCTION("""COMPUTED_VALUE"""),"Wingfelder")</f>
        <v>Wingfelder</v>
      </c>
      <c r="C232" s="16" t="str">
        <f>IFERROR(__xludf.DUMMYFUNCTION("""COMPUTED_VALUE"""),"Director of Marketing")</f>
        <v>Director of Marketing</v>
      </c>
      <c r="D232" s="16" t="str">
        <f>IFERROR(__xludf.DUMMYFUNCTION("""COMPUTED_VALUE"""),"InsurePay")</f>
        <v>InsurePay</v>
      </c>
      <c r="E232" s="16" t="str">
        <f>IFERROR(__xludf.DUMMYFUNCTION("""COMPUTED_VALUE"""),"Advantage")</f>
        <v>Advantage</v>
      </c>
      <c r="F232" s="16" t="str">
        <f>IFERROR(__xludf.DUMMYFUNCTION("""COMPUTED_VALUE"""),"mwingfelder@insurepay.com")</f>
        <v>mwingfelder@insurepay.com</v>
      </c>
      <c r="G232" s="16" t="str">
        <f>IFERROR(__xludf.DUMMYFUNCTION("""COMPUTED_VALUE"""),"Rod Gowin")</f>
        <v>Rod Gowin</v>
      </c>
      <c r="H232" s="16" t="str">
        <f>IFERROR(__xludf.DUMMYFUNCTION("""COMPUTED_VALUE"""),"PartnerConnect - Technology")</f>
        <v>PartnerConnect - Technology</v>
      </c>
      <c r="I232" s="16" t="str">
        <f>IFERROR(__xludf.DUMMYFUNCTION("""COMPUTED_VALUE"""),"1645 Westgate Circle")</f>
        <v>1645 Westgate Circle</v>
      </c>
      <c r="J232" s="16"/>
      <c r="K232" s="16" t="str">
        <f>IFERROR(__xludf.DUMMYFUNCTION("""COMPUTED_VALUE"""),"Brentwood")</f>
        <v>Brentwood</v>
      </c>
      <c r="L232" s="16" t="str">
        <f>IFERROR(__xludf.DUMMYFUNCTION("""COMPUTED_VALUE"""),"Tennessee")</f>
        <v>Tennessee</v>
      </c>
      <c r="M232" s="16">
        <f>IFERROR(__xludf.DUMMYFUNCTION("""COMPUTED_VALUE"""),37027.0)</f>
        <v>37027</v>
      </c>
      <c r="N232" s="16" t="str">
        <f>IFERROR(__xludf.DUMMYFUNCTION("""COMPUTED_VALUE"""),"United States")</f>
        <v>United States</v>
      </c>
      <c r="O232" s="16" t="str">
        <f>IFERROR(__xludf.DUMMYFUNCTION("""COMPUTED_VALUE"""),"Medium")</f>
        <v>Medium</v>
      </c>
      <c r="P232" s="16" t="b">
        <f>IFERROR(__xludf.DUMMYFUNCTION("""COMPUTED_VALUE"""),FALSE)</f>
        <v>0</v>
      </c>
      <c r="Q232" s="16" t="b">
        <f>IFERROR(__xludf.DUMMYFUNCTION("""COMPUTED_VALUE"""),TRUE)</f>
        <v>1</v>
      </c>
      <c r="R232" s="16" t="str">
        <f>IFERROR(__xludf.DUMMYFUNCTION("""COMPUTED_VALUE"""),"Events, Marketing, Client Partner / Partner Account Executive")</f>
        <v>Events, Marketing, Client Partner / Partner Account Executive</v>
      </c>
      <c r="S232" s="16" t="str">
        <f>IFERROR(__xludf.DUMMYFUNCTION("""COMPUTED_VALUE"""),"InsurePay")</f>
        <v>InsurePay</v>
      </c>
      <c r="T232" s="16" t="str">
        <f>IFERROR(__xludf.DUMMYFUNCTION("""COMPUTED_VALUE"""),"Current Partner")</f>
        <v>Current Partner</v>
      </c>
      <c r="U232" s="16" t="b">
        <f>IFERROR(__xludf.DUMMYFUNCTION("""COMPUTED_VALUE"""),FALSE)</f>
        <v>0</v>
      </c>
      <c r="V232" s="16"/>
      <c r="W232" s="16"/>
      <c r="X232" s="16"/>
    </row>
    <row r="233">
      <c r="A233" s="16" t="str">
        <f>IFERROR(__xludf.DUMMYFUNCTION("""COMPUTED_VALUE"""),"Oliver")</f>
        <v>Oliver</v>
      </c>
      <c r="B233" s="16" t="str">
        <f>IFERROR(__xludf.DUMMYFUNCTION("""COMPUTED_VALUE"""),"Clements")</f>
        <v>Clements</v>
      </c>
      <c r="C233" s="16" t="str">
        <f>IFERROR(__xludf.DUMMYFUNCTION("""COMPUTED_VALUE"""),"Head of Data")</f>
        <v>Head of Data</v>
      </c>
      <c r="D233" s="16" t="str">
        <f>IFERROR(__xludf.DUMMYFUNCTION("""COMPUTED_VALUE"""),"Intelligent AI Limited")</f>
        <v>Intelligent AI Limited</v>
      </c>
      <c r="E233" s="16" t="str">
        <f>IFERROR(__xludf.DUMMYFUNCTION("""COMPUTED_VALUE"""),"Growth")</f>
        <v>Growth</v>
      </c>
      <c r="F233" s="16" t="str">
        <f>IFERROR(__xludf.DUMMYFUNCTION("""COMPUTED_VALUE"""),"oliver.clements@intelligentai.co.uk")</f>
        <v>oliver.clements@intelligentai.co.uk</v>
      </c>
      <c r="G233" s="16" t="str">
        <f>IFERROR(__xludf.DUMMYFUNCTION("""COMPUTED_VALUE"""),"Vivienne Hoary")</f>
        <v>Vivienne Hoary</v>
      </c>
      <c r="H233" s="16" t="str">
        <f>IFERROR(__xludf.DUMMYFUNCTION("""COMPUTED_VALUE"""),"PartnerConnect - Technology")</f>
        <v>PartnerConnect - Technology</v>
      </c>
      <c r="I233" s="16"/>
      <c r="J233" s="16"/>
      <c r="K233" s="16"/>
      <c r="L233" s="16"/>
      <c r="M233" s="16"/>
      <c r="N233" s="16" t="str">
        <f>IFERROR(__xludf.DUMMYFUNCTION("""COMPUTED_VALUE"""),"United Kingdom")</f>
        <v>United Kingdom</v>
      </c>
      <c r="O233" s="16" t="str">
        <f>IFERROR(__xludf.DUMMYFUNCTION("""COMPUTED_VALUE"""),"Medium")</f>
        <v>Medium</v>
      </c>
      <c r="P233" s="16" t="b">
        <f>IFERROR(__xludf.DUMMYFUNCTION("""COMPUTED_VALUE"""),TRUE)</f>
        <v>1</v>
      </c>
      <c r="Q233" s="16" t="b">
        <f>IFERROR(__xludf.DUMMYFUNCTION("""COMPUTED_VALUE"""),FALSE)</f>
        <v>0</v>
      </c>
      <c r="R233" s="16" t="str">
        <f>IFERROR(__xludf.DUMMYFUNCTION("""COMPUTED_VALUE"""),"")</f>
        <v/>
      </c>
      <c r="S233" s="16" t="str">
        <f>IFERROR(__xludf.DUMMYFUNCTION("""COMPUTED_VALUE"""),"Intelligent AI")</f>
        <v>Intelligent AI</v>
      </c>
      <c r="T233" s="16" t="str">
        <f>IFERROR(__xludf.DUMMYFUNCTION("""COMPUTED_VALUE"""),"Current Partner")</f>
        <v>Current Partner</v>
      </c>
      <c r="U233" s="16" t="b">
        <f>IFERROR(__xludf.DUMMYFUNCTION("""COMPUTED_VALUE"""),FALSE)</f>
        <v>0</v>
      </c>
      <c r="V233" s="16"/>
      <c r="W233" s="16"/>
      <c r="X233" s="16"/>
    </row>
    <row r="234">
      <c r="A234" s="16" t="str">
        <f>IFERROR(__xludf.DUMMYFUNCTION("""COMPUTED_VALUE"""),"Chris")</f>
        <v>Chris</v>
      </c>
      <c r="B234" s="16" t="str">
        <f>IFERROR(__xludf.DUMMYFUNCTION("""COMPUTED_VALUE"""),"Hall")</f>
        <v>Hall</v>
      </c>
      <c r="C234" s="16" t="str">
        <f>IFERROR(__xludf.DUMMYFUNCTION("""COMPUTED_VALUE"""),"CTO")</f>
        <v>CTO</v>
      </c>
      <c r="D234" s="16" t="str">
        <f>IFERROR(__xludf.DUMMYFUNCTION("""COMPUTED_VALUE"""),"Intelligent AI Limited")</f>
        <v>Intelligent AI Limited</v>
      </c>
      <c r="E234" s="16" t="str">
        <f>IFERROR(__xludf.DUMMYFUNCTION("""COMPUTED_VALUE"""),"Growth")</f>
        <v>Growth</v>
      </c>
      <c r="F234" s="16" t="str">
        <f>IFERROR(__xludf.DUMMYFUNCTION("""COMPUTED_VALUE"""),"chris.hall@intelligentai.co.uk")</f>
        <v>chris.hall@intelligentai.co.uk</v>
      </c>
      <c r="G234" s="16" t="str">
        <f>IFERROR(__xludf.DUMMYFUNCTION("""COMPUTED_VALUE"""),"Vivienne Hoary")</f>
        <v>Vivienne Hoary</v>
      </c>
      <c r="H234" s="16" t="str">
        <f>IFERROR(__xludf.DUMMYFUNCTION("""COMPUTED_VALUE"""),"PartnerConnect - Technology")</f>
        <v>PartnerConnect - Technology</v>
      </c>
      <c r="I234" s="16" t="str">
        <f>IFERROR(__xludf.DUMMYFUNCTION("""COMPUTED_VALUE"""),"16 Compass Quay, Haven Road")</f>
        <v>16 Compass Quay, Haven Road</v>
      </c>
      <c r="J234" s="16"/>
      <c r="K234" s="16" t="str">
        <f>IFERROR(__xludf.DUMMYFUNCTION("""COMPUTED_VALUE"""),"Exeter")</f>
        <v>Exeter</v>
      </c>
      <c r="L234" s="16"/>
      <c r="M234" s="16" t="str">
        <f>IFERROR(__xludf.DUMMYFUNCTION("""COMPUTED_VALUE"""),"EX28GW")</f>
        <v>EX28GW</v>
      </c>
      <c r="N234" s="16" t="str">
        <f>IFERROR(__xludf.DUMMYFUNCTION("""COMPUTED_VALUE"""),"United Kingdom")</f>
        <v>United Kingdom</v>
      </c>
      <c r="O234" s="16" t="str">
        <f>IFERROR(__xludf.DUMMYFUNCTION("""COMPUTED_VALUE"""),"Medium")</f>
        <v>Medium</v>
      </c>
      <c r="P234" s="16" t="b">
        <f>IFERROR(__xludf.DUMMYFUNCTION("""COMPUTED_VALUE"""),TRUE)</f>
        <v>1</v>
      </c>
      <c r="Q234" s="16" t="b">
        <f>IFERROR(__xludf.DUMMYFUNCTION("""COMPUTED_VALUE"""),FALSE)</f>
        <v>0</v>
      </c>
      <c r="R234" s="16" t="str">
        <f>IFERROR(__xludf.DUMMYFUNCTION("""COMPUTED_VALUE"""),"Admin, Business, Events, Legal / Contracts, Marketing, Support, Technical, Training, Main Billing Contact, Billing Contact  LMS Training Fees, NPE User, Sales Solution Architect, Delivery Lead / BA, Client Partner / Partner Account Executive, Developer")</f>
        <v>Admin, Business, Events, Legal / Contracts, Marketing, Support, Technical, Training, Main Billing Contact, Billing Contact  LMS Training Fees, NPE User, Sales Solution Architect, Delivery Lead / BA, Client Partner / Partner Account Executive, Developer</v>
      </c>
      <c r="S234" s="16" t="str">
        <f>IFERROR(__xludf.DUMMYFUNCTION("""COMPUTED_VALUE"""),"Intelligent AI")</f>
        <v>Intelligent AI</v>
      </c>
      <c r="T234" s="16" t="str">
        <f>IFERROR(__xludf.DUMMYFUNCTION("""COMPUTED_VALUE"""),"Current Partner")</f>
        <v>Current Partner</v>
      </c>
      <c r="U234" s="16" t="b">
        <f>IFERROR(__xludf.DUMMYFUNCTION("""COMPUTED_VALUE"""),TRUE)</f>
        <v>1</v>
      </c>
      <c r="V234" s="16"/>
      <c r="W234" s="16"/>
      <c r="X234" s="16"/>
    </row>
    <row r="235">
      <c r="A235" s="16" t="str">
        <f>IFERROR(__xludf.DUMMYFUNCTION("""COMPUTED_VALUE"""),"Anthony")</f>
        <v>Anthony</v>
      </c>
      <c r="B235" s="16" t="str">
        <f>IFERROR(__xludf.DUMMYFUNCTION("""COMPUTED_VALUE"""),"Peake")</f>
        <v>Peake</v>
      </c>
      <c r="C235" s="16"/>
      <c r="D235" s="16" t="str">
        <f>IFERROR(__xludf.DUMMYFUNCTION("""COMPUTED_VALUE"""),"Intelligent AI Limited")</f>
        <v>Intelligent AI Limited</v>
      </c>
      <c r="E235" s="16" t="str">
        <f>IFERROR(__xludf.DUMMYFUNCTION("""COMPUTED_VALUE"""),"Growth")</f>
        <v>Growth</v>
      </c>
      <c r="F235" s="16" t="str">
        <f>IFERROR(__xludf.DUMMYFUNCTION("""COMPUTED_VALUE"""),"anthony.peake@intelligentai.co.uk")</f>
        <v>anthony.peake@intelligentai.co.uk</v>
      </c>
      <c r="G235" s="16" t="str">
        <f>IFERROR(__xludf.DUMMYFUNCTION("""COMPUTED_VALUE"""),"Vivienne Hoary")</f>
        <v>Vivienne Hoary</v>
      </c>
      <c r="H235" s="16" t="str">
        <f>IFERROR(__xludf.DUMMYFUNCTION("""COMPUTED_VALUE"""),"PartnerConnect - Technology")</f>
        <v>PartnerConnect - Technology</v>
      </c>
      <c r="I235" s="16" t="str">
        <f>IFERROR(__xludf.DUMMYFUNCTION("""COMPUTED_VALUE"""),"16 Compass Quay,
")</f>
        <v>16 Compass Quay,
</v>
      </c>
      <c r="J235" s="16" t="str">
        <f>IFERROR(__xludf.DUMMYFUNCTION("""COMPUTED_VALUE"""),"Haven Road")</f>
        <v>Haven Road</v>
      </c>
      <c r="K235" s="16" t="str">
        <f>IFERROR(__xludf.DUMMYFUNCTION("""COMPUTED_VALUE"""),"Exeter")</f>
        <v>Exeter</v>
      </c>
      <c r="L235" s="16"/>
      <c r="M235" s="16" t="str">
        <f>IFERROR(__xludf.DUMMYFUNCTION("""COMPUTED_VALUE"""),"EX28GW")</f>
        <v>EX28GW</v>
      </c>
      <c r="N235" s="16" t="str">
        <f>IFERROR(__xludf.DUMMYFUNCTION("""COMPUTED_VALUE"""),"United Kingdom")</f>
        <v>United Kingdom</v>
      </c>
      <c r="O235" s="16" t="str">
        <f>IFERROR(__xludf.DUMMYFUNCTION("""COMPUTED_VALUE"""),"Medium")</f>
        <v>Medium</v>
      </c>
      <c r="P235" s="16" t="b">
        <f>IFERROR(__xludf.DUMMYFUNCTION("""COMPUTED_VALUE"""),TRUE)</f>
        <v>1</v>
      </c>
      <c r="Q235" s="16" t="b">
        <f>IFERROR(__xludf.DUMMYFUNCTION("""COMPUTED_VALUE"""),FALSE)</f>
        <v>0</v>
      </c>
      <c r="R235" s="16" t="str">
        <f>IFERROR(__xludf.DUMMYFUNCTION("""COMPUTED_VALUE"""),"Admin, Main Billing Contact, Billing Contact  LMS Training Fees")</f>
        <v>Admin, Main Billing Contact, Billing Contact  LMS Training Fees</v>
      </c>
      <c r="S235" s="16" t="str">
        <f>IFERROR(__xludf.DUMMYFUNCTION("""COMPUTED_VALUE"""),"Intelligent AI")</f>
        <v>Intelligent AI</v>
      </c>
      <c r="T235" s="16" t="str">
        <f>IFERROR(__xludf.DUMMYFUNCTION("""COMPUTED_VALUE"""),"Current Partner")</f>
        <v>Current Partner</v>
      </c>
      <c r="U235" s="16" t="b">
        <f>IFERROR(__xludf.DUMMYFUNCTION("""COMPUTED_VALUE"""),FALSE)</f>
        <v>0</v>
      </c>
      <c r="V235" s="16"/>
      <c r="W235" s="16"/>
      <c r="X235" s="16"/>
    </row>
    <row r="236">
      <c r="A236" s="16" t="str">
        <f>IFERROR(__xludf.DUMMYFUNCTION("""COMPUTED_VALUE"""),"Willem")</f>
        <v>Willem</v>
      </c>
      <c r="B236" s="16" t="str">
        <f>IFERROR(__xludf.DUMMYFUNCTION("""COMPUTED_VALUE"""),"Van der Hooft")</f>
        <v>Van der Hooft</v>
      </c>
      <c r="C236" s="16" t="str">
        <f>IFERROR(__xludf.DUMMYFUNCTION("""COMPUTED_VALUE"""),"Co-Founder &amp; Bizdev")</f>
        <v>Co-Founder &amp; Bizdev</v>
      </c>
      <c r="D236" s="16" t="str">
        <f>IFERROR(__xludf.DUMMYFUNCTION("""COMPUTED_VALUE"""),"International Consumer Services Sweden AB (ValueChecker)")</f>
        <v>International Consumer Services Sweden AB (ValueChecker)</v>
      </c>
      <c r="E236" s="16" t="str">
        <f>IFERROR(__xludf.DUMMYFUNCTION("""COMPUTED_VALUE"""),"Growth")</f>
        <v>Growth</v>
      </c>
      <c r="F236" s="16" t="str">
        <f>IFERROR(__xludf.DUMMYFUNCTION("""COMPUTED_VALUE"""),"willem@valuechecker.ai")</f>
        <v>willem@valuechecker.ai</v>
      </c>
      <c r="G236" s="16" t="str">
        <f>IFERROR(__xludf.DUMMYFUNCTION("""COMPUTED_VALUE"""),"Vivienne Hoary")</f>
        <v>Vivienne Hoary</v>
      </c>
      <c r="H236" s="16" t="str">
        <f>IFERROR(__xludf.DUMMYFUNCTION("""COMPUTED_VALUE"""),"PartnerConnect - Technology")</f>
        <v>PartnerConnect - Technology</v>
      </c>
      <c r="I236" s="16" t="str">
        <f>IFERROR(__xludf.DUMMYFUNCTION("""COMPUTED_VALUE"""),"Söder mälarstrand 21")</f>
        <v>Söder mälarstrand 21</v>
      </c>
      <c r="J236" s="16"/>
      <c r="K236" s="16" t="str">
        <f>IFERROR(__xludf.DUMMYFUNCTION("""COMPUTED_VALUE"""),"Stockholm")</f>
        <v>Stockholm</v>
      </c>
      <c r="L236" s="16" t="str">
        <f>IFERROR(__xludf.DUMMYFUNCTION("""COMPUTED_VALUE"""),"stockholm")</f>
        <v>stockholm</v>
      </c>
      <c r="M236" s="16">
        <f>IFERROR(__xludf.DUMMYFUNCTION("""COMPUTED_VALUE"""),11820.0)</f>
        <v>11820</v>
      </c>
      <c r="N236" s="16" t="str">
        <f>IFERROR(__xludf.DUMMYFUNCTION("""COMPUTED_VALUE"""),"Sweden")</f>
        <v>Sweden</v>
      </c>
      <c r="O236" s="16" t="str">
        <f>IFERROR(__xludf.DUMMYFUNCTION("""COMPUTED_VALUE"""),"Medium")</f>
        <v>Medium</v>
      </c>
      <c r="P236" s="16" t="b">
        <f>IFERROR(__xludf.DUMMYFUNCTION("""COMPUTED_VALUE"""),TRUE)</f>
        <v>1</v>
      </c>
      <c r="Q236" s="16" t="b">
        <f>IFERROR(__xludf.DUMMYFUNCTION("""COMPUTED_VALUE"""),FALSE)</f>
        <v>0</v>
      </c>
      <c r="R236" s="16" t="str">
        <f>IFERROR(__xludf.DUMMYFUNCTION("""COMPUTED_VALUE"""),"")</f>
        <v/>
      </c>
      <c r="S236" s="16" t="str">
        <f>IFERROR(__xludf.DUMMYFUNCTION("""COMPUTED_VALUE"""),"ValueChecker")</f>
        <v>ValueChecker</v>
      </c>
      <c r="T236" s="16" t="str">
        <f>IFERROR(__xludf.DUMMYFUNCTION("""COMPUTED_VALUE"""),"Current Partner")</f>
        <v>Current Partner</v>
      </c>
      <c r="U236" s="16" t="b">
        <f>IFERROR(__xludf.DUMMYFUNCTION("""COMPUTED_VALUE"""),FALSE)</f>
        <v>0</v>
      </c>
      <c r="V236" s="16"/>
      <c r="W236" s="16"/>
      <c r="X236" s="16"/>
    </row>
    <row r="237">
      <c r="A237" s="16" t="str">
        <f>IFERROR(__xludf.DUMMYFUNCTION("""COMPUTED_VALUE"""),"Christian")</f>
        <v>Christian</v>
      </c>
      <c r="B237" s="16" t="str">
        <f>IFERROR(__xludf.DUMMYFUNCTION("""COMPUTED_VALUE"""),"Hanseus")</f>
        <v>Hanseus</v>
      </c>
      <c r="C237" s="16"/>
      <c r="D237" s="16" t="str">
        <f>IFERROR(__xludf.DUMMYFUNCTION("""COMPUTED_VALUE"""),"International Consumer Services Sweden AB (ValueChecker)")</f>
        <v>International Consumer Services Sweden AB (ValueChecker)</v>
      </c>
      <c r="E237" s="16" t="str">
        <f>IFERROR(__xludf.DUMMYFUNCTION("""COMPUTED_VALUE"""),"Growth")</f>
        <v>Growth</v>
      </c>
      <c r="F237" s="16" t="str">
        <f>IFERROR(__xludf.DUMMYFUNCTION("""COMPUTED_VALUE"""),"finance@valuechecker.ai")</f>
        <v>finance@valuechecker.ai</v>
      </c>
      <c r="G237" s="16" t="str">
        <f>IFERROR(__xludf.DUMMYFUNCTION("""COMPUTED_VALUE"""),"Vivienne Hoary")</f>
        <v>Vivienne Hoary</v>
      </c>
      <c r="H237" s="16" t="str">
        <f>IFERROR(__xludf.DUMMYFUNCTION("""COMPUTED_VALUE"""),"PartnerConnect - Technology")</f>
        <v>PartnerConnect - Technology</v>
      </c>
      <c r="I237" s="16" t="str">
        <f>IFERROR(__xludf.DUMMYFUNCTION("""COMPUTED_VALUE"""),"Soder Malarstrand 21
")</f>
        <v>Soder Malarstrand 21
</v>
      </c>
      <c r="J237" s="16" t="str">
        <f>IFERROR(__xludf.DUMMYFUNCTION("""COMPUTED_VALUE"""),"VAT #: SE556680357201")</f>
        <v>VAT #: SE556680357201</v>
      </c>
      <c r="K237" s="16" t="str">
        <f>IFERROR(__xludf.DUMMYFUNCTION("""COMPUTED_VALUE"""),"Stockholm")</f>
        <v>Stockholm</v>
      </c>
      <c r="L237" s="16"/>
      <c r="M237" s="16">
        <f>IFERROR(__xludf.DUMMYFUNCTION("""COMPUTED_VALUE"""),11820.0)</f>
        <v>11820</v>
      </c>
      <c r="N237" s="16" t="str">
        <f>IFERROR(__xludf.DUMMYFUNCTION("""COMPUTED_VALUE"""),"Sweden")</f>
        <v>Sweden</v>
      </c>
      <c r="O237" s="16" t="str">
        <f>IFERROR(__xludf.DUMMYFUNCTION("""COMPUTED_VALUE"""),"Medium")</f>
        <v>Medium</v>
      </c>
      <c r="P237" s="16" t="b">
        <f>IFERROR(__xludf.DUMMYFUNCTION("""COMPUTED_VALUE"""),TRUE)</f>
        <v>1</v>
      </c>
      <c r="Q237" s="16" t="b">
        <f>IFERROR(__xludf.DUMMYFUNCTION("""COMPUTED_VALUE"""),FALSE)</f>
        <v>0</v>
      </c>
      <c r="R237" s="16" t="str">
        <f>IFERROR(__xludf.DUMMYFUNCTION("""COMPUTED_VALUE"""),"Business, Events, Marketing, Support, Technical, Main Billing Contact, Billing Contact  LMS Training Fees")</f>
        <v>Business, Events, Marketing, Support, Technical, Main Billing Contact, Billing Contact  LMS Training Fees</v>
      </c>
      <c r="S237" s="16" t="str">
        <f>IFERROR(__xludf.DUMMYFUNCTION("""COMPUTED_VALUE"""),"ValueChecker")</f>
        <v>ValueChecker</v>
      </c>
      <c r="T237" s="16" t="str">
        <f>IFERROR(__xludf.DUMMYFUNCTION("""COMPUTED_VALUE"""),"Current Partner")</f>
        <v>Current Partner</v>
      </c>
      <c r="U237" s="16" t="b">
        <f>IFERROR(__xludf.DUMMYFUNCTION("""COMPUTED_VALUE"""),FALSE)</f>
        <v>0</v>
      </c>
      <c r="V237" s="16"/>
      <c r="W237" s="16"/>
      <c r="X237" s="16"/>
    </row>
    <row r="238">
      <c r="A238" s="16" t="str">
        <f>IFERROR(__xludf.DUMMYFUNCTION("""COMPUTED_VALUE"""),"Steve")</f>
        <v>Steve</v>
      </c>
      <c r="B238" s="16" t="str">
        <f>IFERROR(__xludf.DUMMYFUNCTION("""COMPUTED_VALUE"""),"DeRossett")</f>
        <v>DeRossett</v>
      </c>
      <c r="C238" s="16" t="str">
        <f>IFERROR(__xludf.DUMMYFUNCTION("""COMPUTED_VALUE"""),"President")</f>
        <v>President</v>
      </c>
      <c r="D238" s="16" t="str">
        <f>IFERROR(__xludf.DUMMYFUNCTION("""COMPUTED_VALUE"""),"INTERTEL, INC.")</f>
        <v>INTERTEL, INC.</v>
      </c>
      <c r="E238" s="16" t="str">
        <f>IFERROR(__xludf.DUMMYFUNCTION("""COMPUTED_VALUE"""),"Growth")</f>
        <v>Growth</v>
      </c>
      <c r="F238" s="16" t="str">
        <f>IFERROR(__xludf.DUMMYFUNCTION("""COMPUTED_VALUE"""),"sderossett@intertelgo.com")</f>
        <v>sderossett@intertelgo.com</v>
      </c>
      <c r="G238" s="16" t="str">
        <f>IFERROR(__xludf.DUMMYFUNCTION("""COMPUTED_VALUE"""),"Gregg Rabenold")</f>
        <v>Gregg Rabenold</v>
      </c>
      <c r="H238" s="16" t="str">
        <f>IFERROR(__xludf.DUMMYFUNCTION("""COMPUTED_VALUE"""),"PartnerConnect - Technology")</f>
        <v>PartnerConnect - Technology</v>
      </c>
      <c r="I238" s="16" t="str">
        <f>IFERROR(__xludf.DUMMYFUNCTION("""COMPUTED_VALUE"""),"910 Louisiana Street, Houston, TX, USA")</f>
        <v>910 Louisiana Street, Houston, TX, USA</v>
      </c>
      <c r="J238" s="16"/>
      <c r="K238" s="16" t="str">
        <f>IFERROR(__xludf.DUMMYFUNCTION("""COMPUTED_VALUE"""),"Houston")</f>
        <v>Houston</v>
      </c>
      <c r="L238" s="16" t="str">
        <f>IFERROR(__xludf.DUMMYFUNCTION("""COMPUTED_VALUE"""),"TEXAS")</f>
        <v>TEXAS</v>
      </c>
      <c r="M238" s="16">
        <f>IFERROR(__xludf.DUMMYFUNCTION("""COMPUTED_VALUE"""),77002.0)</f>
        <v>77002</v>
      </c>
      <c r="N238" s="16" t="str">
        <f>IFERROR(__xludf.DUMMYFUNCTION("""COMPUTED_VALUE"""),"United States")</f>
        <v>United States</v>
      </c>
      <c r="O238" s="16" t="str">
        <f>IFERROR(__xludf.DUMMYFUNCTION("""COMPUTED_VALUE"""),"Low")</f>
        <v>Low</v>
      </c>
      <c r="P238" s="16" t="b">
        <f>IFERROR(__xludf.DUMMYFUNCTION("""COMPUTED_VALUE"""),TRUE)</f>
        <v>1</v>
      </c>
      <c r="Q238" s="16" t="b">
        <f>IFERROR(__xludf.DUMMYFUNCTION("""COMPUTED_VALUE"""),FALSE)</f>
        <v>0</v>
      </c>
      <c r="R238" s="16" t="str">
        <f>IFERROR(__xludf.DUMMYFUNCTION("""COMPUTED_VALUE"""),"Admin, Business")</f>
        <v>Admin, Business</v>
      </c>
      <c r="S238" s="16" t="str">
        <f>IFERROR(__xludf.DUMMYFUNCTION("""COMPUTED_VALUE"""),"Intertel")</f>
        <v>Intertel</v>
      </c>
      <c r="T238" s="16" t="str">
        <f>IFERROR(__xludf.DUMMYFUNCTION("""COMPUTED_VALUE"""),"Current Partner")</f>
        <v>Current Partner</v>
      </c>
      <c r="U238" s="16" t="b">
        <f>IFERROR(__xludf.DUMMYFUNCTION("""COMPUTED_VALUE"""),FALSE)</f>
        <v>0</v>
      </c>
      <c r="V238" s="16"/>
      <c r="W238" s="16"/>
      <c r="X238" s="16"/>
    </row>
    <row r="239">
      <c r="A239" s="16" t="str">
        <f>IFERROR(__xludf.DUMMYFUNCTION("""COMPUTED_VALUE"""),"Angela")</f>
        <v>Angela</v>
      </c>
      <c r="B239" s="16" t="str">
        <f>IFERROR(__xludf.DUMMYFUNCTION("""COMPUTED_VALUE"""),"Abbott")</f>
        <v>Abbott</v>
      </c>
      <c r="C239" s="16" t="str">
        <f>IFERROR(__xludf.DUMMYFUNCTION("""COMPUTED_VALUE"""),"AVP Sales")</f>
        <v>AVP Sales</v>
      </c>
      <c r="D239" s="16" t="str">
        <f>IFERROR(__xludf.DUMMYFUNCTION("""COMPUTED_VALUE"""),"InvoiceCloud")</f>
        <v>InvoiceCloud</v>
      </c>
      <c r="E239" s="16" t="str">
        <f>IFERROR(__xludf.DUMMYFUNCTION("""COMPUTED_VALUE"""),"Premier")</f>
        <v>Premier</v>
      </c>
      <c r="F239" s="16" t="str">
        <f>IFERROR(__xludf.DUMMYFUNCTION("""COMPUTED_VALUE"""),"aabbott@invoicecloud.com")</f>
        <v>aabbott@invoicecloud.com</v>
      </c>
      <c r="G239" s="16" t="str">
        <f>IFERROR(__xludf.DUMMYFUNCTION("""COMPUTED_VALUE"""),"Shannon Spies")</f>
        <v>Shannon Spies</v>
      </c>
      <c r="H239" s="16" t="str">
        <f>IFERROR(__xludf.DUMMYFUNCTION("""COMPUTED_VALUE"""),"PartnerConnect - Technology")</f>
        <v>PartnerConnect - Technology</v>
      </c>
      <c r="I239" s="16" t="str">
        <f>IFERROR(__xludf.DUMMYFUNCTION("""COMPUTED_VALUE"""),"12705 FOREST GLEN LN")</f>
        <v>12705 FOREST GLEN LN</v>
      </c>
      <c r="J239" s="16"/>
      <c r="K239" s="16" t="str">
        <f>IFERROR(__xludf.DUMMYFUNCTION("""COMPUTED_VALUE"""),"KELLER")</f>
        <v>KELLER</v>
      </c>
      <c r="L239" s="16" t="str">
        <f>IFERROR(__xludf.DUMMYFUNCTION("""COMPUTED_VALUE"""),"Texas")</f>
        <v>Texas</v>
      </c>
      <c r="M239" s="16">
        <f>IFERROR(__xludf.DUMMYFUNCTION("""COMPUTED_VALUE"""),76244.0)</f>
        <v>76244</v>
      </c>
      <c r="N239" s="16" t="str">
        <f>IFERROR(__xludf.DUMMYFUNCTION("""COMPUTED_VALUE"""),"United States")</f>
        <v>United States</v>
      </c>
      <c r="O239" s="16" t="str">
        <f>IFERROR(__xludf.DUMMYFUNCTION("""COMPUTED_VALUE"""),"Medium")</f>
        <v>Medium</v>
      </c>
      <c r="P239" s="16" t="b">
        <f>IFERROR(__xludf.DUMMYFUNCTION("""COMPUTED_VALUE"""),TRUE)</f>
        <v>1</v>
      </c>
      <c r="Q239" s="16" t="b">
        <f>IFERROR(__xludf.DUMMYFUNCTION("""COMPUTED_VALUE"""),FALSE)</f>
        <v>0</v>
      </c>
      <c r="R239" s="16" t="str">
        <f>IFERROR(__xludf.DUMMYFUNCTION("""COMPUTED_VALUE"""),"Admin, Business, Marketing")</f>
        <v>Admin, Business, Marketing</v>
      </c>
      <c r="S239" s="16" t="str">
        <f>IFERROR(__xludf.DUMMYFUNCTION("""COMPUTED_VALUE"""),"InvoiceCloud")</f>
        <v>InvoiceCloud</v>
      </c>
      <c r="T239" s="16" t="str">
        <f>IFERROR(__xludf.DUMMYFUNCTION("""COMPUTED_VALUE"""),"Current Partner")</f>
        <v>Current Partner</v>
      </c>
      <c r="U239" s="16" t="b">
        <f>IFERROR(__xludf.DUMMYFUNCTION("""COMPUTED_VALUE"""),FALSE)</f>
        <v>0</v>
      </c>
      <c r="V239" s="16"/>
      <c r="W239" s="16"/>
      <c r="X239" s="16"/>
    </row>
    <row r="240">
      <c r="A240" s="16" t="str">
        <f>IFERROR(__xludf.DUMMYFUNCTION("""COMPUTED_VALUE"""),"Kelsey")</f>
        <v>Kelsey</v>
      </c>
      <c r="B240" s="16" t="str">
        <f>IFERROR(__xludf.DUMMYFUNCTION("""COMPUTED_VALUE"""),"Carlin")</f>
        <v>Carlin</v>
      </c>
      <c r="C240" s="16" t="str">
        <f>IFERROR(__xludf.DUMMYFUNCTION("""COMPUTED_VALUE"""),"Events Manager")</f>
        <v>Events Manager</v>
      </c>
      <c r="D240" s="16" t="str">
        <f>IFERROR(__xludf.DUMMYFUNCTION("""COMPUTED_VALUE"""),"InvoiceCloud")</f>
        <v>InvoiceCloud</v>
      </c>
      <c r="E240" s="16" t="str">
        <f>IFERROR(__xludf.DUMMYFUNCTION("""COMPUTED_VALUE"""),"Premier")</f>
        <v>Premier</v>
      </c>
      <c r="F240" s="16" t="str">
        <f>IFERROR(__xludf.DUMMYFUNCTION("""COMPUTED_VALUE"""),"kcarlin@invoicecloud.com")</f>
        <v>kcarlin@invoicecloud.com</v>
      </c>
      <c r="G240" s="16" t="str">
        <f>IFERROR(__xludf.DUMMYFUNCTION("""COMPUTED_VALUE"""),"Shannon Spies")</f>
        <v>Shannon Spies</v>
      </c>
      <c r="H240" s="16" t="str">
        <f>IFERROR(__xludf.DUMMYFUNCTION("""COMPUTED_VALUE"""),"PartnerConnect - Technology")</f>
        <v>PartnerConnect - Technology</v>
      </c>
      <c r="I240" s="16" t="str">
        <f>IFERROR(__xludf.DUMMYFUNCTION("""COMPUTED_VALUE"""),"30 Braintree Hill Office Pk Ste 303")</f>
        <v>30 Braintree Hill Office Pk Ste 303</v>
      </c>
      <c r="J240" s="16"/>
      <c r="K240" s="16" t="str">
        <f>IFERROR(__xludf.DUMMYFUNCTION("""COMPUTED_VALUE"""),"Braintree")</f>
        <v>Braintree</v>
      </c>
      <c r="L240" s="16" t="str">
        <f>IFERROR(__xludf.DUMMYFUNCTION("""COMPUTED_VALUE"""),"MA")</f>
        <v>MA</v>
      </c>
      <c r="M240" s="16">
        <f>IFERROR(__xludf.DUMMYFUNCTION("""COMPUTED_VALUE"""),2184.0)</f>
        <v>2184</v>
      </c>
      <c r="N240" s="16" t="str">
        <f>IFERROR(__xludf.DUMMYFUNCTION("""COMPUTED_VALUE"""),"United States")</f>
        <v>United States</v>
      </c>
      <c r="O240" s="16" t="str">
        <f>IFERROR(__xludf.DUMMYFUNCTION("""COMPUTED_VALUE"""),"Medium")</f>
        <v>Medium</v>
      </c>
      <c r="P240" s="16" t="b">
        <f>IFERROR(__xludf.DUMMYFUNCTION("""COMPUTED_VALUE"""),FALSE)</f>
        <v>0</v>
      </c>
      <c r="Q240" s="16" t="b">
        <f>IFERROR(__xludf.DUMMYFUNCTION("""COMPUTED_VALUE"""),TRUE)</f>
        <v>1</v>
      </c>
      <c r="R240" s="16" t="str">
        <f>IFERROR(__xludf.DUMMYFUNCTION("""COMPUTED_VALUE"""),"Events, Marketing")</f>
        <v>Events, Marketing</v>
      </c>
      <c r="S240" s="16" t="str">
        <f>IFERROR(__xludf.DUMMYFUNCTION("""COMPUTED_VALUE"""),"InvoiceCloud")</f>
        <v>InvoiceCloud</v>
      </c>
      <c r="T240" s="16" t="str">
        <f>IFERROR(__xludf.DUMMYFUNCTION("""COMPUTED_VALUE"""),"Current Partner")</f>
        <v>Current Partner</v>
      </c>
      <c r="U240" s="16" t="b">
        <f>IFERROR(__xludf.DUMMYFUNCTION("""COMPUTED_VALUE"""),FALSE)</f>
        <v>0</v>
      </c>
      <c r="V240" s="16"/>
      <c r="W240" s="16"/>
      <c r="X240" s="16"/>
    </row>
    <row r="241">
      <c r="A241" s="16" t="str">
        <f>IFERROR(__xludf.DUMMYFUNCTION("""COMPUTED_VALUE"""),"Jacqueline Guerrero")</f>
        <v>Jacqueline Guerrero</v>
      </c>
      <c r="B241" s="16" t="str">
        <f>IFERROR(__xludf.DUMMYFUNCTION("""COMPUTED_VALUE"""),"InvoiceCloud")</f>
        <v>InvoiceCloud</v>
      </c>
      <c r="C241" s="16" t="str">
        <f>IFERROR(__xludf.DUMMYFUNCTION("""COMPUTED_VALUE"""),"Senior Alliance Director")</f>
        <v>Senior Alliance Director</v>
      </c>
      <c r="D241" s="16" t="str">
        <f>IFERROR(__xludf.DUMMYFUNCTION("""COMPUTED_VALUE"""),"InvoiceCloud")</f>
        <v>InvoiceCloud</v>
      </c>
      <c r="E241" s="16" t="str">
        <f>IFERROR(__xludf.DUMMYFUNCTION("""COMPUTED_VALUE"""),"Premier")</f>
        <v>Premier</v>
      </c>
      <c r="F241" s="16" t="str">
        <f>IFERROR(__xludf.DUMMYFUNCTION("""COMPUTED_VALUE"""),"jguerrero@invoicecloud.com")</f>
        <v>jguerrero@invoicecloud.com</v>
      </c>
      <c r="G241" s="16" t="str">
        <f>IFERROR(__xludf.DUMMYFUNCTION("""COMPUTED_VALUE"""),"Shannon Spies")</f>
        <v>Shannon Spies</v>
      </c>
      <c r="H241" s="16" t="str">
        <f>IFERROR(__xludf.DUMMYFUNCTION("""COMPUTED_VALUE"""),"PartnerConnect - Technology")</f>
        <v>PartnerConnect - Technology</v>
      </c>
      <c r="I241" s="16" t="str">
        <f>IFERROR(__xludf.DUMMYFUNCTION("""COMPUTED_VALUE"""),"30 Braintree Hill Office Park Suite 303")</f>
        <v>30 Braintree Hill Office Park Suite 303</v>
      </c>
      <c r="J241" s="16"/>
      <c r="K241" s="16" t="str">
        <f>IFERROR(__xludf.DUMMYFUNCTION("""COMPUTED_VALUE"""),"Braintree")</f>
        <v>Braintree</v>
      </c>
      <c r="L241" s="16" t="str">
        <f>IFERROR(__xludf.DUMMYFUNCTION("""COMPUTED_VALUE"""),"MASSACHUSETTS")</f>
        <v>MASSACHUSETTS</v>
      </c>
      <c r="M241" s="16">
        <f>IFERROR(__xludf.DUMMYFUNCTION("""COMPUTED_VALUE"""),2184.0)</f>
        <v>2184</v>
      </c>
      <c r="N241" s="16" t="str">
        <f>IFERROR(__xludf.DUMMYFUNCTION("""COMPUTED_VALUE"""),"United States")</f>
        <v>United States</v>
      </c>
      <c r="O241" s="16" t="str">
        <f>IFERROR(__xludf.DUMMYFUNCTION("""COMPUTED_VALUE"""),"Medium")</f>
        <v>Medium</v>
      </c>
      <c r="P241" s="16" t="b">
        <f>IFERROR(__xludf.DUMMYFUNCTION("""COMPUTED_VALUE"""),TRUE)</f>
        <v>1</v>
      </c>
      <c r="Q241" s="16" t="b">
        <f>IFERROR(__xludf.DUMMYFUNCTION("""COMPUTED_VALUE"""),TRUE)</f>
        <v>1</v>
      </c>
      <c r="R241" s="16" t="str">
        <f>IFERROR(__xludf.DUMMYFUNCTION("""COMPUTED_VALUE"""),"Admin, Business, Marketing, Training")</f>
        <v>Admin, Business, Marketing, Training</v>
      </c>
      <c r="S241" s="16" t="str">
        <f>IFERROR(__xludf.DUMMYFUNCTION("""COMPUTED_VALUE"""),"InvoiceCloud")</f>
        <v>InvoiceCloud</v>
      </c>
      <c r="T241" s="16" t="str">
        <f>IFERROR(__xludf.DUMMYFUNCTION("""COMPUTED_VALUE"""),"Current Partner")</f>
        <v>Current Partner</v>
      </c>
      <c r="U241" s="16" t="b">
        <f>IFERROR(__xludf.DUMMYFUNCTION("""COMPUTED_VALUE"""),FALSE)</f>
        <v>0</v>
      </c>
      <c r="V241" s="16"/>
      <c r="W241" s="16"/>
      <c r="X241" s="16"/>
    </row>
    <row r="242">
      <c r="A242" s="16" t="str">
        <f>IFERROR(__xludf.DUMMYFUNCTION("""COMPUTED_VALUE"""),"Austin")</f>
        <v>Austin</v>
      </c>
      <c r="B242" s="16" t="str">
        <f>IFERROR(__xludf.DUMMYFUNCTION("""COMPUTED_VALUE"""),"Stanley")</f>
        <v>Stanley</v>
      </c>
      <c r="C242" s="16" t="str">
        <f>IFERROR(__xludf.DUMMYFUNCTION("""COMPUTED_VALUE"""),"Director of Strategic Partnerships")</f>
        <v>Director of Strategic Partnerships</v>
      </c>
      <c r="D242" s="16" t="str">
        <f>IFERROR(__xludf.DUMMYFUNCTION("""COMPUTED_VALUE"""),"itel Laboratories, inc.")</f>
        <v>itel Laboratories, inc.</v>
      </c>
      <c r="E242" s="16" t="str">
        <f>IFERROR(__xludf.DUMMYFUNCTION("""COMPUTED_VALUE"""),"Growth")</f>
        <v>Growth</v>
      </c>
      <c r="F242" s="16" t="str">
        <f>IFERROR(__xludf.DUMMYFUNCTION("""COMPUTED_VALUE"""),"austin.stanley@itelinc.com")</f>
        <v>austin.stanley@itelinc.com</v>
      </c>
      <c r="G242" s="16" t="str">
        <f>IFERROR(__xludf.DUMMYFUNCTION("""COMPUTED_VALUE"""),"Rod Gowin")</f>
        <v>Rod Gowin</v>
      </c>
      <c r="H242" s="16" t="str">
        <f>IFERROR(__xludf.DUMMYFUNCTION("""COMPUTED_VALUE"""),"PartnerConnect - Technology")</f>
        <v>PartnerConnect - Technology</v>
      </c>
      <c r="I242" s="16" t="str">
        <f>IFERROR(__xludf.DUMMYFUNCTION("""COMPUTED_VALUE"""),"6676 Corporate Center Pkwy")</f>
        <v>6676 Corporate Center Pkwy</v>
      </c>
      <c r="J242" s="16"/>
      <c r="K242" s="16" t="str">
        <f>IFERROR(__xludf.DUMMYFUNCTION("""COMPUTED_VALUE"""),"Jacksonville")</f>
        <v>Jacksonville</v>
      </c>
      <c r="L242" s="16" t="str">
        <f>IFERROR(__xludf.DUMMYFUNCTION("""COMPUTED_VALUE"""),"Florida")</f>
        <v>Florida</v>
      </c>
      <c r="M242" s="16">
        <f>IFERROR(__xludf.DUMMYFUNCTION("""COMPUTED_VALUE"""),32216.0)</f>
        <v>32216</v>
      </c>
      <c r="N242" s="16" t="str">
        <f>IFERROR(__xludf.DUMMYFUNCTION("""COMPUTED_VALUE"""),"United States")</f>
        <v>United States</v>
      </c>
      <c r="O242" s="16" t="str">
        <f>IFERROR(__xludf.DUMMYFUNCTION("""COMPUTED_VALUE"""),"Medium")</f>
        <v>Medium</v>
      </c>
      <c r="P242" s="16" t="b">
        <f>IFERROR(__xludf.DUMMYFUNCTION("""COMPUTED_VALUE"""),TRUE)</f>
        <v>1</v>
      </c>
      <c r="Q242" s="16" t="b">
        <f>IFERROR(__xludf.DUMMYFUNCTION("""COMPUTED_VALUE"""),FALSE)</f>
        <v>0</v>
      </c>
      <c r="R242" s="16" t="str">
        <f>IFERROR(__xludf.DUMMYFUNCTION("""COMPUTED_VALUE"""),"Admin, Business, Technical, Training, Main Billing Contact, Billing Contact  LMS Training Fees")</f>
        <v>Admin, Business, Technical, Training, Main Billing Contact, Billing Contact  LMS Training Fees</v>
      </c>
      <c r="S242" s="16" t="str">
        <f>IFERROR(__xludf.DUMMYFUNCTION("""COMPUTED_VALUE"""),"itel Laboratories")</f>
        <v>itel Laboratories</v>
      </c>
      <c r="T242" s="16" t="str">
        <f>IFERROR(__xludf.DUMMYFUNCTION("""COMPUTED_VALUE"""),"Current Partner")</f>
        <v>Current Partner</v>
      </c>
      <c r="U242" s="16" t="b">
        <f>IFERROR(__xludf.DUMMYFUNCTION("""COMPUTED_VALUE"""),FALSE)</f>
        <v>0</v>
      </c>
      <c r="V242" s="16"/>
      <c r="W242" s="16"/>
      <c r="X242" s="16"/>
    </row>
    <row r="243">
      <c r="A243" s="16" t="str">
        <f>IFERROR(__xludf.DUMMYFUNCTION("""COMPUTED_VALUE"""),"LESLEY")</f>
        <v>LESLEY</v>
      </c>
      <c r="B243" s="16" t="str">
        <f>IFERROR(__xludf.DUMMYFUNCTION("""COMPUTED_VALUE"""),"JENKINS")</f>
        <v>JENKINS</v>
      </c>
      <c r="C243" s="16" t="str">
        <f>IFERROR(__xludf.DUMMYFUNCTION("""COMPUTED_VALUE"""),"VP Product Management")</f>
        <v>VP Product Management</v>
      </c>
      <c r="D243" s="16" t="str">
        <f>IFERROR(__xludf.DUMMYFUNCTION("""COMPUTED_VALUE"""),"Jopari Solutions")</f>
        <v>Jopari Solutions</v>
      </c>
      <c r="E243" s="16" t="str">
        <f>IFERROR(__xludf.DUMMYFUNCTION("""COMPUTED_VALUE"""),"Growth")</f>
        <v>Growth</v>
      </c>
      <c r="F243" s="16" t="str">
        <f>IFERROR(__xludf.DUMMYFUNCTION("""COMPUTED_VALUE"""),"lesley_jenkins@jopari.com")</f>
        <v>lesley_jenkins@jopari.com</v>
      </c>
      <c r="G243" s="16" t="str">
        <f>IFERROR(__xludf.DUMMYFUNCTION("""COMPUTED_VALUE"""),"Shannon Spies")</f>
        <v>Shannon Spies</v>
      </c>
      <c r="H243" s="16" t="str">
        <f>IFERROR(__xludf.DUMMYFUNCTION("""COMPUTED_VALUE"""),"PartnerConnect - Technology")</f>
        <v>PartnerConnect - Technology</v>
      </c>
      <c r="I243" s="16" t="str">
        <f>IFERROR(__xludf.DUMMYFUNCTION("""COMPUTED_VALUE"""),"1850 Gateway Blvd Ste 950")</f>
        <v>1850 Gateway Blvd Ste 950</v>
      </c>
      <c r="J243" s="16"/>
      <c r="K243" s="16" t="str">
        <f>IFERROR(__xludf.DUMMYFUNCTION("""COMPUTED_VALUE"""),"Concord")</f>
        <v>Concord</v>
      </c>
      <c r="L243" s="16" t="str">
        <f>IFERROR(__xludf.DUMMYFUNCTION("""COMPUTED_VALUE"""),"California")</f>
        <v>California</v>
      </c>
      <c r="M243" s="16">
        <f>IFERROR(__xludf.DUMMYFUNCTION("""COMPUTED_VALUE"""),94520.0)</f>
        <v>94520</v>
      </c>
      <c r="N243" s="16" t="str">
        <f>IFERROR(__xludf.DUMMYFUNCTION("""COMPUTED_VALUE"""),"United States")</f>
        <v>United States</v>
      </c>
      <c r="O243" s="16" t="str">
        <f>IFERROR(__xludf.DUMMYFUNCTION("""COMPUTED_VALUE"""),"Medium")</f>
        <v>Medium</v>
      </c>
      <c r="P243" s="16" t="b">
        <f>IFERROR(__xludf.DUMMYFUNCTION("""COMPUTED_VALUE"""),TRUE)</f>
        <v>1</v>
      </c>
      <c r="Q243" s="16" t="b">
        <f>IFERROR(__xludf.DUMMYFUNCTION("""COMPUTED_VALUE"""),FALSE)</f>
        <v>0</v>
      </c>
      <c r="R243" s="16" t="str">
        <f>IFERROR(__xludf.DUMMYFUNCTION("""COMPUTED_VALUE"""),"Admin, Business, Marketing")</f>
        <v>Admin, Business, Marketing</v>
      </c>
      <c r="S243" s="16" t="str">
        <f>IFERROR(__xludf.DUMMYFUNCTION("""COMPUTED_VALUE"""),"Jopari Solutions")</f>
        <v>Jopari Solutions</v>
      </c>
      <c r="T243" s="16" t="str">
        <f>IFERROR(__xludf.DUMMYFUNCTION("""COMPUTED_VALUE"""),"Current Partner")</f>
        <v>Current Partner</v>
      </c>
      <c r="U243" s="16" t="b">
        <f>IFERROR(__xludf.DUMMYFUNCTION("""COMPUTED_VALUE"""),FALSE)</f>
        <v>0</v>
      </c>
      <c r="V243" s="16"/>
      <c r="W243" s="16"/>
      <c r="X243" s="16"/>
    </row>
    <row r="244">
      <c r="A244" s="16" t="str">
        <f>IFERROR(__xludf.DUMMYFUNCTION("""COMPUTED_VALUE"""),"Philip")</f>
        <v>Philip</v>
      </c>
      <c r="B244" s="16" t="str">
        <f>IFERROR(__xludf.DUMMYFUNCTION("""COMPUTED_VALUE"""),"McCully")</f>
        <v>McCully</v>
      </c>
      <c r="C244" s="16" t="str">
        <f>IFERROR(__xludf.DUMMYFUNCTION("""COMPUTED_VALUE"""),"Senior Director,  Implementation Svcs")</f>
        <v>Senior Director,  Implementation Svcs</v>
      </c>
      <c r="D244" s="16" t="str">
        <f>IFERROR(__xludf.DUMMYFUNCTION("""COMPUTED_VALUE"""),"Jopari Solutions")</f>
        <v>Jopari Solutions</v>
      </c>
      <c r="E244" s="16" t="str">
        <f>IFERROR(__xludf.DUMMYFUNCTION("""COMPUTED_VALUE"""),"Growth")</f>
        <v>Growth</v>
      </c>
      <c r="F244" s="16" t="str">
        <f>IFERROR(__xludf.DUMMYFUNCTION("""COMPUTED_VALUE"""),"philip_mccully@jopari.com")</f>
        <v>philip_mccully@jopari.com</v>
      </c>
      <c r="G244" s="16" t="str">
        <f>IFERROR(__xludf.DUMMYFUNCTION("""COMPUTED_VALUE"""),"Shannon Spies")</f>
        <v>Shannon Spies</v>
      </c>
      <c r="H244" s="16" t="str">
        <f>IFERROR(__xludf.DUMMYFUNCTION("""COMPUTED_VALUE"""),"PartnerConnect - Technology")</f>
        <v>PartnerConnect - Technology</v>
      </c>
      <c r="I244" s="16" t="str">
        <f>IFERROR(__xludf.DUMMYFUNCTION("""COMPUTED_VALUE"""),"1850 Gateway Blvd., Suite 950")</f>
        <v>1850 Gateway Blvd., Suite 950</v>
      </c>
      <c r="J244" s="16"/>
      <c r="K244" s="16" t="str">
        <f>IFERROR(__xludf.DUMMYFUNCTION("""COMPUTED_VALUE"""),"Concord")</f>
        <v>Concord</v>
      </c>
      <c r="L244" s="16" t="str">
        <f>IFERROR(__xludf.DUMMYFUNCTION("""COMPUTED_VALUE"""),"California")</f>
        <v>California</v>
      </c>
      <c r="M244" s="16">
        <f>IFERROR(__xludf.DUMMYFUNCTION("""COMPUTED_VALUE"""),94520.0)</f>
        <v>94520</v>
      </c>
      <c r="N244" s="16" t="str">
        <f>IFERROR(__xludf.DUMMYFUNCTION("""COMPUTED_VALUE"""),"United States")</f>
        <v>United States</v>
      </c>
      <c r="O244" s="16" t="str">
        <f>IFERROR(__xludf.DUMMYFUNCTION("""COMPUTED_VALUE"""),"Medium")</f>
        <v>Medium</v>
      </c>
      <c r="P244" s="16" t="b">
        <f>IFERROR(__xludf.DUMMYFUNCTION("""COMPUTED_VALUE"""),TRUE)</f>
        <v>1</v>
      </c>
      <c r="Q244" s="16" t="b">
        <f>IFERROR(__xludf.DUMMYFUNCTION("""COMPUTED_VALUE"""),FALSE)</f>
        <v>0</v>
      </c>
      <c r="R244" s="16" t="str">
        <f>IFERROR(__xludf.DUMMYFUNCTION("""COMPUTED_VALUE"""),"Admin, Support, NPE User, Delivery Lead / BA")</f>
        <v>Admin, Support, NPE User, Delivery Lead / BA</v>
      </c>
      <c r="S244" s="16" t="str">
        <f>IFERROR(__xludf.DUMMYFUNCTION("""COMPUTED_VALUE"""),"Jopari Solutions")</f>
        <v>Jopari Solutions</v>
      </c>
      <c r="T244" s="16" t="str">
        <f>IFERROR(__xludf.DUMMYFUNCTION("""COMPUTED_VALUE"""),"Current Partner")</f>
        <v>Current Partner</v>
      </c>
      <c r="U244" s="16" t="b">
        <f>IFERROR(__xludf.DUMMYFUNCTION("""COMPUTED_VALUE"""),TRUE)</f>
        <v>1</v>
      </c>
      <c r="V244" s="16"/>
      <c r="W244" s="16"/>
      <c r="X244" s="16"/>
    </row>
    <row r="245">
      <c r="A245" s="16" t="str">
        <f>IFERROR(__xludf.DUMMYFUNCTION("""COMPUTED_VALUE"""),"Bill")</f>
        <v>Bill</v>
      </c>
      <c r="B245" s="16" t="str">
        <f>IFERROR(__xludf.DUMMYFUNCTION("""COMPUTED_VALUE"""),"Nicotera")</f>
        <v>Nicotera</v>
      </c>
      <c r="C245" s="16" t="str">
        <f>IFERROR(__xludf.DUMMYFUNCTION("""COMPUTED_VALUE"""),"Senior Director of Engineering")</f>
        <v>Senior Director of Engineering</v>
      </c>
      <c r="D245" s="16" t="str">
        <f>IFERROR(__xludf.DUMMYFUNCTION("""COMPUTED_VALUE"""),"Jopari Solutions")</f>
        <v>Jopari Solutions</v>
      </c>
      <c r="E245" s="16" t="str">
        <f>IFERROR(__xludf.DUMMYFUNCTION("""COMPUTED_VALUE"""),"Growth")</f>
        <v>Growth</v>
      </c>
      <c r="F245" s="16" t="str">
        <f>IFERROR(__xludf.DUMMYFUNCTION("""COMPUTED_VALUE"""),"bill_nicotera@jopari.com")</f>
        <v>bill_nicotera@jopari.com</v>
      </c>
      <c r="G245" s="16" t="str">
        <f>IFERROR(__xludf.DUMMYFUNCTION("""COMPUTED_VALUE"""),"Shannon Spies")</f>
        <v>Shannon Spies</v>
      </c>
      <c r="H245" s="16" t="str">
        <f>IFERROR(__xludf.DUMMYFUNCTION("""COMPUTED_VALUE"""),"PartnerConnect - Technology")</f>
        <v>PartnerConnect - Technology</v>
      </c>
      <c r="I245" s="16"/>
      <c r="J245" s="16"/>
      <c r="K245" s="16"/>
      <c r="L245" s="16"/>
      <c r="M245" s="16"/>
      <c r="N245" s="16" t="str">
        <f>IFERROR(__xludf.DUMMYFUNCTION("""COMPUTED_VALUE"""),"United States")</f>
        <v>United States</v>
      </c>
      <c r="O245" s="16" t="str">
        <f>IFERROR(__xludf.DUMMYFUNCTION("""COMPUTED_VALUE"""),"Medium")</f>
        <v>Medium</v>
      </c>
      <c r="P245" s="16" t="b">
        <f>IFERROR(__xludf.DUMMYFUNCTION("""COMPUTED_VALUE"""),TRUE)</f>
        <v>1</v>
      </c>
      <c r="Q245" s="16" t="b">
        <f>IFERROR(__xludf.DUMMYFUNCTION("""COMPUTED_VALUE"""),FALSE)</f>
        <v>0</v>
      </c>
      <c r="R245" s="16" t="str">
        <f>IFERROR(__xludf.DUMMYFUNCTION("""COMPUTED_VALUE"""),"Admin, Technical, Training, Billing Contact  LMS Training Fees")</f>
        <v>Admin, Technical, Training, Billing Contact  LMS Training Fees</v>
      </c>
      <c r="S245" s="16" t="str">
        <f>IFERROR(__xludf.DUMMYFUNCTION("""COMPUTED_VALUE"""),"Jopari Solutions")</f>
        <v>Jopari Solutions</v>
      </c>
      <c r="T245" s="16" t="str">
        <f>IFERROR(__xludf.DUMMYFUNCTION("""COMPUTED_VALUE"""),"Current Partner")</f>
        <v>Current Partner</v>
      </c>
      <c r="U245" s="16" t="b">
        <f>IFERROR(__xludf.DUMMYFUNCTION("""COMPUTED_VALUE"""),FALSE)</f>
        <v>0</v>
      </c>
      <c r="V245" s="16"/>
      <c r="W245" s="16"/>
      <c r="X245" s="16"/>
    </row>
    <row r="246">
      <c r="A246" s="16" t="str">
        <f>IFERROR(__xludf.DUMMYFUNCTION("""COMPUTED_VALUE"""),"Arina")</f>
        <v>Arina</v>
      </c>
      <c r="B246" s="16" t="str">
        <f>IFERROR(__xludf.DUMMYFUNCTION("""COMPUTED_VALUE"""),"Man")</f>
        <v>Man</v>
      </c>
      <c r="C246" s="16"/>
      <c r="D246" s="16" t="str">
        <f>IFERROR(__xludf.DUMMYFUNCTION("""COMPUTED_VALUE"""),"K2G AG")</f>
        <v>K2G AG</v>
      </c>
      <c r="E246" s="16" t="str">
        <f>IFERROR(__xludf.DUMMYFUNCTION("""COMPUTED_VALUE"""),"Insurtech Vanguard")</f>
        <v>Insurtech Vanguard</v>
      </c>
      <c r="F246" s="16"/>
      <c r="G246" s="16" t="str">
        <f>IFERROR(__xludf.DUMMYFUNCTION("""COMPUTED_VALUE"""),"Shannon Spies")</f>
        <v>Shannon Spies</v>
      </c>
      <c r="H246" s="16"/>
      <c r="I246" s="16"/>
      <c r="J246" s="16"/>
      <c r="K246" s="16" t="str">
        <f>IFERROR(__xludf.DUMMYFUNCTION("""COMPUTED_VALUE"""),"Baar")</f>
        <v>Baar</v>
      </c>
      <c r="L246" s="16"/>
      <c r="M246" s="16">
        <f>IFERROR(__xludf.DUMMYFUNCTION("""COMPUTED_VALUE"""),6340.0)</f>
        <v>6340</v>
      </c>
      <c r="N246" s="16"/>
      <c r="O246" s="16"/>
      <c r="P246" s="16" t="b">
        <f>IFERROR(__xludf.DUMMYFUNCTION("""COMPUTED_VALUE"""),TRUE)</f>
        <v>1</v>
      </c>
      <c r="Q246" s="16" t="b">
        <f>IFERROR(__xludf.DUMMYFUNCTION("""COMPUTED_VALUE"""),FALSE)</f>
        <v>0</v>
      </c>
      <c r="R246" s="16" t="str">
        <f>IFERROR(__xludf.DUMMYFUNCTION("""COMPUTED_VALUE"""),"")</f>
        <v/>
      </c>
      <c r="S246" s="16" t="str">
        <f>IFERROR(__xludf.DUMMYFUNCTION("""COMPUTED_VALUE"""),"K2G")</f>
        <v>K2G</v>
      </c>
      <c r="T246" s="16" t="str">
        <f>IFERROR(__xludf.DUMMYFUNCTION("""COMPUTED_VALUE"""),"Current Vanguard")</f>
        <v>Current Vanguard</v>
      </c>
      <c r="U246" s="16" t="b">
        <f>IFERROR(__xludf.DUMMYFUNCTION("""COMPUTED_VALUE"""),FALSE)</f>
        <v>0</v>
      </c>
      <c r="V246" s="16"/>
      <c r="W246" s="16"/>
      <c r="X246" s="16"/>
    </row>
    <row r="247">
      <c r="A247" s="16" t="str">
        <f>IFERROR(__xludf.DUMMYFUNCTION("""COMPUTED_VALUE"""),"Kapil")</f>
        <v>Kapil</v>
      </c>
      <c r="B247" s="16" t="str">
        <f>IFERROR(__xludf.DUMMYFUNCTION("""COMPUTED_VALUE"""),"Bakshi")</f>
        <v>Bakshi</v>
      </c>
      <c r="C247" s="16" t="str">
        <f>IFERROR(__xludf.DUMMYFUNCTION("""COMPUTED_VALUE"""),"CEO")</f>
        <v>CEO</v>
      </c>
      <c r="D247" s="16" t="str">
        <f>IFERROR(__xludf.DUMMYFUNCTION("""COMPUTED_VALUE"""),"Karate Labs, Inc.")</f>
        <v>Karate Labs, Inc.</v>
      </c>
      <c r="E247" s="16" t="str">
        <f>IFERROR(__xludf.DUMMYFUNCTION("""COMPUTED_VALUE"""),"Growth")</f>
        <v>Growth</v>
      </c>
      <c r="F247" s="16" t="str">
        <f>IFERROR(__xludf.DUMMYFUNCTION("""COMPUTED_VALUE"""),"kapil@karatelabs.io")</f>
        <v>kapil@karatelabs.io</v>
      </c>
      <c r="G247" s="16" t="str">
        <f>IFERROR(__xludf.DUMMYFUNCTION("""COMPUTED_VALUE"""),"Eric Apse")</f>
        <v>Eric Apse</v>
      </c>
      <c r="H247" s="16" t="str">
        <f>IFERROR(__xludf.DUMMYFUNCTION("""COMPUTED_VALUE"""),"PartnerConnect - Technology")</f>
        <v>PartnerConnect - Technology</v>
      </c>
      <c r="I247" s="16" t="str">
        <f>IFERROR(__xludf.DUMMYFUNCTION("""COMPUTED_VALUE"""),"1507 Sandcroft Lane")</f>
        <v>1507 Sandcroft Lane</v>
      </c>
      <c r="J247" s="16"/>
      <c r="K247" s="16" t="str">
        <f>IFERROR(__xludf.DUMMYFUNCTION("""COMPUTED_VALUE"""),"Sugar Land")</f>
        <v>Sugar Land</v>
      </c>
      <c r="L247" s="16" t="str">
        <f>IFERROR(__xludf.DUMMYFUNCTION("""COMPUTED_VALUE"""),"Texas")</f>
        <v>Texas</v>
      </c>
      <c r="M247" s="16">
        <f>IFERROR(__xludf.DUMMYFUNCTION("""COMPUTED_VALUE"""),77479.0)</f>
        <v>77479</v>
      </c>
      <c r="N247" s="16" t="str">
        <f>IFERROR(__xludf.DUMMYFUNCTION("""COMPUTED_VALUE"""),"United States")</f>
        <v>United States</v>
      </c>
      <c r="O247" s="16" t="str">
        <f>IFERROR(__xludf.DUMMYFUNCTION("""COMPUTED_VALUE"""),"Medium")</f>
        <v>Medium</v>
      </c>
      <c r="P247" s="16" t="b">
        <f>IFERROR(__xludf.DUMMYFUNCTION("""COMPUTED_VALUE"""),TRUE)</f>
        <v>1</v>
      </c>
      <c r="Q247" s="16" t="b">
        <f>IFERROR(__xludf.DUMMYFUNCTION("""COMPUTED_VALUE"""),TRUE)</f>
        <v>1</v>
      </c>
      <c r="R247" s="16" t="str">
        <f>IFERROR(__xludf.DUMMYFUNCTION("""COMPUTED_VALUE"""),"Admin, Events, Marketing, Support, Main Billing Contact")</f>
        <v>Admin, Events, Marketing, Support, Main Billing Contact</v>
      </c>
      <c r="S247" s="16" t="str">
        <f>IFERROR(__xludf.DUMMYFUNCTION("""COMPUTED_VALUE"""),"Karate Labs")</f>
        <v>Karate Labs</v>
      </c>
      <c r="T247" s="16" t="str">
        <f>IFERROR(__xludf.DUMMYFUNCTION("""COMPUTED_VALUE"""),"Current Partner")</f>
        <v>Current Partner</v>
      </c>
      <c r="U247" s="16" t="b">
        <f>IFERROR(__xludf.DUMMYFUNCTION("""COMPUTED_VALUE"""),FALSE)</f>
        <v>0</v>
      </c>
      <c r="V247" s="16"/>
      <c r="W247" s="16"/>
      <c r="X247" s="16"/>
    </row>
    <row r="248">
      <c r="A248" s="16" t="str">
        <f>IFERROR(__xludf.DUMMYFUNCTION("""COMPUTED_VALUE"""),"John")</f>
        <v>John</v>
      </c>
      <c r="B248" s="16" t="str">
        <f>IFERROR(__xludf.DUMMYFUNCTION("""COMPUTED_VALUE"""),"Joyce")</f>
        <v>Joyce</v>
      </c>
      <c r="C248" s="16" t="str">
        <f>IFERROR(__xludf.DUMMYFUNCTION("""COMPUTED_VALUE"""),"UK General Manager")</f>
        <v>UK General Manager</v>
      </c>
      <c r="D248" s="16" t="str">
        <f>IFERROR(__xludf.DUMMYFUNCTION("""COMPUTED_VALUE"""),"KBS Intelligence")</f>
        <v>KBS Intelligence</v>
      </c>
      <c r="E248" s="16" t="str">
        <f>IFERROR(__xludf.DUMMYFUNCTION("""COMPUTED_VALUE"""),"Growth")</f>
        <v>Growth</v>
      </c>
      <c r="F248" s="16" t="str">
        <f>IFERROR(__xludf.DUMMYFUNCTION("""COMPUTED_VALUE"""),"john.joyce@kbbs.ie")</f>
        <v>john.joyce@kbbs.ie</v>
      </c>
      <c r="G248" s="16" t="str">
        <f>IFERROR(__xludf.DUMMYFUNCTION("""COMPUTED_VALUE"""),"Vivienne Hoary")</f>
        <v>Vivienne Hoary</v>
      </c>
      <c r="H248" s="16" t="str">
        <f>IFERROR(__xludf.DUMMYFUNCTION("""COMPUTED_VALUE"""),"PartnerConnect - Technology")</f>
        <v>PartnerConnect - Technology</v>
      </c>
      <c r="I248" s="16" t="str">
        <f>IFERROR(__xludf.DUMMYFUNCTION("""COMPUTED_VALUE"""),"Level 1/470 St Pauls Terrace
")</f>
        <v>Level 1/470 St Pauls Terrace
</v>
      </c>
      <c r="J248" s="16" t="str">
        <f>IFERROR(__xludf.DUMMYFUNCTION("""COMPUTED_VALUE"""),"Jubilee Place")</f>
        <v>Jubilee Place</v>
      </c>
      <c r="K248" s="16" t="str">
        <f>IFERROR(__xludf.DUMMYFUNCTION("""COMPUTED_VALUE"""),"Fortitude Valley QLD")</f>
        <v>Fortitude Valley QLD</v>
      </c>
      <c r="L248" s="16" t="str">
        <f>IFERROR(__xludf.DUMMYFUNCTION("""COMPUTED_VALUE"""),"Queensland")</f>
        <v>Queensland</v>
      </c>
      <c r="M248" s="16">
        <f>IFERROR(__xludf.DUMMYFUNCTION("""COMPUTED_VALUE"""),4006.0)</f>
        <v>4006</v>
      </c>
      <c r="N248" s="16" t="str">
        <f>IFERROR(__xludf.DUMMYFUNCTION("""COMPUTED_VALUE"""),"Australia")</f>
        <v>Australia</v>
      </c>
      <c r="O248" s="16" t="str">
        <f>IFERROR(__xludf.DUMMYFUNCTION("""COMPUTED_VALUE"""),"Low")</f>
        <v>Low</v>
      </c>
      <c r="P248" s="16" t="b">
        <f>IFERROR(__xludf.DUMMYFUNCTION("""COMPUTED_VALUE"""),TRUE)</f>
        <v>1</v>
      </c>
      <c r="Q248" s="16" t="b">
        <f>IFERROR(__xludf.DUMMYFUNCTION("""COMPUTED_VALUE"""),FALSE)</f>
        <v>0</v>
      </c>
      <c r="R248" s="16" t="str">
        <f>IFERROR(__xludf.DUMMYFUNCTION("""COMPUTED_VALUE"""),"Admin, Technical, Training")</f>
        <v>Admin, Technical, Training</v>
      </c>
      <c r="S248" s="16" t="str">
        <f>IFERROR(__xludf.DUMMYFUNCTION("""COMPUTED_VALUE"""),"KBBS")</f>
        <v>KBBS</v>
      </c>
      <c r="T248" s="16" t="str">
        <f>IFERROR(__xludf.DUMMYFUNCTION("""COMPUTED_VALUE"""),"Current Partner")</f>
        <v>Current Partner</v>
      </c>
      <c r="U248" s="16" t="b">
        <f>IFERROR(__xludf.DUMMYFUNCTION("""COMPUTED_VALUE"""),FALSE)</f>
        <v>0</v>
      </c>
      <c r="V248" s="16"/>
      <c r="W248" s="16"/>
      <c r="X248" s="16"/>
    </row>
    <row r="249">
      <c r="A249" s="16" t="str">
        <f>IFERROR(__xludf.DUMMYFUNCTION("""COMPUTED_VALUE"""),"Leo")</f>
        <v>Leo</v>
      </c>
      <c r="B249" s="16" t="str">
        <f>IFERROR(__xludf.DUMMYFUNCTION("""COMPUTED_VALUE"""),"Josts")</f>
        <v>Josts</v>
      </c>
      <c r="C249" s="16" t="str">
        <f>IFERROR(__xludf.DUMMYFUNCTION("""COMPUTED_VALUE"""),"Product Manager")</f>
        <v>Product Manager</v>
      </c>
      <c r="D249" s="16" t="str">
        <f>IFERROR(__xludf.DUMMYFUNCTION("""COMPUTED_VALUE"""),"Kennedys IQ Limited")</f>
        <v>Kennedys IQ Limited</v>
      </c>
      <c r="E249" s="16" t="str">
        <f>IFERROR(__xludf.DUMMYFUNCTION("""COMPUTED_VALUE"""),"Growth")</f>
        <v>Growth</v>
      </c>
      <c r="F249" s="16" t="str">
        <f>IFERROR(__xludf.DUMMYFUNCTION("""COMPUTED_VALUE"""),"leo.josts@kennedysiq.com")</f>
        <v>leo.josts@kennedysiq.com</v>
      </c>
      <c r="G249" s="16" t="str">
        <f>IFERROR(__xludf.DUMMYFUNCTION("""COMPUTED_VALUE"""),"Vivienne Hoary")</f>
        <v>Vivienne Hoary</v>
      </c>
      <c r="H249" s="16" t="str">
        <f>IFERROR(__xludf.DUMMYFUNCTION("""COMPUTED_VALUE"""),"PartnerConnect - Technology")</f>
        <v>PartnerConnect - Technology</v>
      </c>
      <c r="I249" s="16" t="str">
        <f>IFERROR(__xludf.DUMMYFUNCTION("""COMPUTED_VALUE"""),"20 Fenchurch Street")</f>
        <v>20 Fenchurch Street</v>
      </c>
      <c r="J249" s="16"/>
      <c r="K249" s="16" t="str">
        <f>IFERROR(__xludf.DUMMYFUNCTION("""COMPUTED_VALUE"""),"London")</f>
        <v>London</v>
      </c>
      <c r="L249" s="16" t="str">
        <f>IFERROR(__xludf.DUMMYFUNCTION("""COMPUTED_VALUE"""),"London")</f>
        <v>London</v>
      </c>
      <c r="M249" s="16" t="str">
        <f>IFERROR(__xludf.DUMMYFUNCTION("""COMPUTED_VALUE"""),"EC3M 3BY")</f>
        <v>EC3M 3BY</v>
      </c>
      <c r="N249" s="16" t="str">
        <f>IFERROR(__xludf.DUMMYFUNCTION("""COMPUTED_VALUE"""),"United Kingdom")</f>
        <v>United Kingdom</v>
      </c>
      <c r="O249" s="16" t="str">
        <f>IFERROR(__xludf.DUMMYFUNCTION("""COMPUTED_VALUE"""),"Medium")</f>
        <v>Medium</v>
      </c>
      <c r="P249" s="16" t="b">
        <f>IFERROR(__xludf.DUMMYFUNCTION("""COMPUTED_VALUE"""),TRUE)</f>
        <v>1</v>
      </c>
      <c r="Q249" s="16" t="b">
        <f>IFERROR(__xludf.DUMMYFUNCTION("""COMPUTED_VALUE"""),FALSE)</f>
        <v>0</v>
      </c>
      <c r="R249" s="16" t="str">
        <f>IFERROR(__xludf.DUMMYFUNCTION("""COMPUTED_VALUE"""),"Admin, Business, Events, Technical, Main Billing Contact, Billing Contact  LMS Training Fees")</f>
        <v>Admin, Business, Events, Technical, Main Billing Contact, Billing Contact  LMS Training Fees</v>
      </c>
      <c r="S249" s="16" t="str">
        <f>IFERROR(__xludf.DUMMYFUNCTION("""COMPUTED_VALUE"""),"Kennedys IQ")</f>
        <v>Kennedys IQ</v>
      </c>
      <c r="T249" s="16" t="str">
        <f>IFERROR(__xludf.DUMMYFUNCTION("""COMPUTED_VALUE"""),"Current Partner")</f>
        <v>Current Partner</v>
      </c>
      <c r="U249" s="16" t="b">
        <f>IFERROR(__xludf.DUMMYFUNCTION("""COMPUTED_VALUE"""),FALSE)</f>
        <v>0</v>
      </c>
      <c r="V249" s="16"/>
      <c r="W249" s="16"/>
      <c r="X249" s="16"/>
    </row>
    <row r="250">
      <c r="A250" s="16" t="str">
        <f>IFERROR(__xludf.DUMMYFUNCTION("""COMPUTED_VALUE"""),"Yo")</f>
        <v>Yo</v>
      </c>
      <c r="B250" s="16" t="str">
        <f>IFERROR(__xludf.DUMMYFUNCTION("""COMPUTED_VALUE"""),"Kwon")</f>
        <v>Kwon</v>
      </c>
      <c r="C250" s="16" t="str">
        <f>IFERROR(__xludf.DUMMYFUNCTION("""COMPUTED_VALUE"""),"CEO")</f>
        <v>CEO</v>
      </c>
      <c r="D250" s="16" t="str">
        <f>IFERROR(__xludf.DUMMYFUNCTION("""COMPUTED_VALUE"""),"KnowRisk, Inc.")</f>
        <v>KnowRisk, Inc.</v>
      </c>
      <c r="E250" s="16" t="str">
        <f>IFERROR(__xludf.DUMMYFUNCTION("""COMPUTED_VALUE"""),"Growth")</f>
        <v>Growth</v>
      </c>
      <c r="F250" s="16" t="str">
        <f>IFERROR(__xludf.DUMMYFUNCTION("""COMPUTED_VALUE"""),"yo@voltaire.claims")</f>
        <v>yo@voltaire.claims</v>
      </c>
      <c r="G250" s="16" t="str">
        <f>IFERROR(__xludf.DUMMYFUNCTION("""COMPUTED_VALUE"""),"Shannon Spies")</f>
        <v>Shannon Spies</v>
      </c>
      <c r="H250" s="16" t="str">
        <f>IFERROR(__xludf.DUMMYFUNCTION("""COMPUTED_VALUE"""),"PartnerConnect - Technology")</f>
        <v>PartnerConnect - Technology</v>
      </c>
      <c r="I250" s="16"/>
      <c r="J250" s="16"/>
      <c r="K250" s="16" t="str">
        <f>IFERROR(__xludf.DUMMYFUNCTION("""COMPUTED_VALUE"""),"Las Vegas")</f>
        <v>Las Vegas</v>
      </c>
      <c r="L250" s="16" t="str">
        <f>IFERROR(__xludf.DUMMYFUNCTION("""COMPUTED_VALUE"""),"NV")</f>
        <v>NV</v>
      </c>
      <c r="M250" s="16">
        <f>IFERROR(__xludf.DUMMYFUNCTION("""COMPUTED_VALUE"""),89128.0)</f>
        <v>89128</v>
      </c>
      <c r="N250" s="16" t="str">
        <f>IFERROR(__xludf.DUMMYFUNCTION("""COMPUTED_VALUE"""),"United States")</f>
        <v>United States</v>
      </c>
      <c r="O250" s="16" t="str">
        <f>IFERROR(__xludf.DUMMYFUNCTION("""COMPUTED_VALUE"""),"Medium")</f>
        <v>Medium</v>
      </c>
      <c r="P250" s="16" t="b">
        <f>IFERROR(__xludf.DUMMYFUNCTION("""COMPUTED_VALUE"""),TRUE)</f>
        <v>1</v>
      </c>
      <c r="Q250" s="16" t="b">
        <f>IFERROR(__xludf.DUMMYFUNCTION("""COMPUTED_VALUE"""),FALSE)</f>
        <v>0</v>
      </c>
      <c r="R250" s="16" t="str">
        <f>IFERROR(__xludf.DUMMYFUNCTION("""COMPUTED_VALUE"""),"Admin, Business, Events, Legal / Contracts, Marketing, Support, Technical, Training, Main Billing Contact, Billing Contact  LMS Training Fees, NPE User, Sales Solution Architect, Delivery Lead / BA, Client Partner / Partner Account Executive, Developer")</f>
        <v>Admin, Business, Events, Legal / Contracts, Marketing, Support, Technical, Training, Main Billing Contact, Billing Contact  LMS Training Fees, NPE User, Sales Solution Architect, Delivery Lead / BA, Client Partner / Partner Account Executive, Developer</v>
      </c>
      <c r="S250" s="16" t="str">
        <f>IFERROR(__xludf.DUMMYFUNCTION("""COMPUTED_VALUE"""),"Voltaire")</f>
        <v>Voltaire</v>
      </c>
      <c r="T250" s="16" t="str">
        <f>IFERROR(__xludf.DUMMYFUNCTION("""COMPUTED_VALUE"""),"Current Partner")</f>
        <v>Current Partner</v>
      </c>
      <c r="U250" s="16" t="b">
        <f>IFERROR(__xludf.DUMMYFUNCTION("""COMPUTED_VALUE"""),TRUE)</f>
        <v>1</v>
      </c>
      <c r="V250" s="16"/>
      <c r="W250" s="16"/>
      <c r="X250" s="16"/>
    </row>
    <row r="251">
      <c r="A251" s="16" t="str">
        <f>IFERROR(__xludf.DUMMYFUNCTION("""COMPUTED_VALUE"""),"Adam")</f>
        <v>Adam</v>
      </c>
      <c r="B251" s="16" t="str">
        <f>IFERROR(__xludf.DUMMYFUNCTION("""COMPUTED_VALUE"""),"Englander")</f>
        <v>Englander</v>
      </c>
      <c r="C251" s="16"/>
      <c r="D251" s="16" t="str">
        <f>IFERROR(__xludf.DUMMYFUNCTION("""COMPUTED_VALUE"""),"KnowRisk, Inc.")</f>
        <v>KnowRisk, Inc.</v>
      </c>
      <c r="E251" s="16" t="str">
        <f>IFERROR(__xludf.DUMMYFUNCTION("""COMPUTED_VALUE"""),"Growth")</f>
        <v>Growth</v>
      </c>
      <c r="F251" s="16" t="str">
        <f>IFERROR(__xludf.DUMMYFUNCTION("""COMPUTED_VALUE"""),"adam@voltaire.claims")</f>
        <v>adam@voltaire.claims</v>
      </c>
      <c r="G251" s="16" t="str">
        <f>IFERROR(__xludf.DUMMYFUNCTION("""COMPUTED_VALUE"""),"Shannon Spies")</f>
        <v>Shannon Spies</v>
      </c>
      <c r="H251" s="16" t="str">
        <f>IFERROR(__xludf.DUMMYFUNCTION("""COMPUTED_VALUE"""),"PartnerConnect - Technology")</f>
        <v>PartnerConnect - Technology</v>
      </c>
      <c r="I251" s="16" t="str">
        <f>IFERROR(__xludf.DUMMYFUNCTION("""COMPUTED_VALUE"""),"7201 W Lake Mead Blvd
")</f>
        <v>7201 W Lake Mead Blvd
</v>
      </c>
      <c r="J251" s="16" t="str">
        <f>IFERROR(__xludf.DUMMYFUNCTION("""COMPUTED_VALUE"""),"#108")</f>
        <v>#108</v>
      </c>
      <c r="K251" s="16" t="str">
        <f>IFERROR(__xludf.DUMMYFUNCTION("""COMPUTED_VALUE"""),"Las Vegas")</f>
        <v>Las Vegas</v>
      </c>
      <c r="L251" s="16" t="str">
        <f>IFERROR(__xludf.DUMMYFUNCTION("""COMPUTED_VALUE"""),"Nevada")</f>
        <v>Nevada</v>
      </c>
      <c r="M251" s="16">
        <f>IFERROR(__xludf.DUMMYFUNCTION("""COMPUTED_VALUE"""),89128.0)</f>
        <v>89128</v>
      </c>
      <c r="N251" s="16" t="str">
        <f>IFERROR(__xludf.DUMMYFUNCTION("""COMPUTED_VALUE"""),"United States")</f>
        <v>United States</v>
      </c>
      <c r="O251" s="16" t="str">
        <f>IFERROR(__xludf.DUMMYFUNCTION("""COMPUTED_VALUE"""),"Medium")</f>
        <v>Medium</v>
      </c>
      <c r="P251" s="16" t="b">
        <f>IFERROR(__xludf.DUMMYFUNCTION("""COMPUTED_VALUE"""),TRUE)</f>
        <v>1</v>
      </c>
      <c r="Q251" s="16" t="b">
        <f>IFERROR(__xludf.DUMMYFUNCTION("""COMPUTED_VALUE"""),FALSE)</f>
        <v>0</v>
      </c>
      <c r="R251" s="16" t="str">
        <f>IFERROR(__xludf.DUMMYFUNCTION("""COMPUTED_VALUE"""),"Business, Events, Marketing, Support, Client Partner / Partner Account Executive")</f>
        <v>Business, Events, Marketing, Support, Client Partner / Partner Account Executive</v>
      </c>
      <c r="S251" s="16" t="str">
        <f>IFERROR(__xludf.DUMMYFUNCTION("""COMPUTED_VALUE"""),"Voltaire")</f>
        <v>Voltaire</v>
      </c>
      <c r="T251" s="16" t="str">
        <f>IFERROR(__xludf.DUMMYFUNCTION("""COMPUTED_VALUE"""),"Current Partner")</f>
        <v>Current Partner</v>
      </c>
      <c r="U251" s="16" t="b">
        <f>IFERROR(__xludf.DUMMYFUNCTION("""COMPUTED_VALUE"""),FALSE)</f>
        <v>0</v>
      </c>
      <c r="V251" s="16"/>
      <c r="W251" s="16"/>
      <c r="X251" s="16"/>
    </row>
    <row r="252">
      <c r="A252" s="16" t="str">
        <f>IFERROR(__xludf.DUMMYFUNCTION("""COMPUTED_VALUE"""),"Maurizio")</f>
        <v>Maurizio</v>
      </c>
      <c r="B252" s="16" t="str">
        <f>IFERROR(__xludf.DUMMYFUNCTION("""COMPUTED_VALUE"""),"Bovio")</f>
        <v>Bovio</v>
      </c>
      <c r="C252" s="16" t="str">
        <f>IFERROR(__xludf.DUMMYFUNCTION("""COMPUTED_VALUE"""),"Co-founder and CFO")</f>
        <v>Co-founder and CFO</v>
      </c>
      <c r="D252" s="16" t="str">
        <f>IFERROR(__xludf.DUMMYFUNCTION("""COMPUTED_VALUE"""),"Kube Partners Italy")</f>
        <v>Kube Partners Italy</v>
      </c>
      <c r="E252" s="16" t="str">
        <f>IFERROR(__xludf.DUMMYFUNCTION("""COMPUTED_VALUE"""),"Growth")</f>
        <v>Growth</v>
      </c>
      <c r="F252" s="16" t="str">
        <f>IFERROR(__xludf.DUMMYFUNCTION("""COMPUTED_VALUE"""),"mauriziobovio@kubepartners.com")</f>
        <v>mauriziobovio@kubepartners.com</v>
      </c>
      <c r="G252" s="16" t="str">
        <f>IFERROR(__xludf.DUMMYFUNCTION("""COMPUTED_VALUE"""),"Vivienne Hoary")</f>
        <v>Vivienne Hoary</v>
      </c>
      <c r="H252" s="16" t="str">
        <f>IFERROR(__xludf.DUMMYFUNCTION("""COMPUTED_VALUE"""),"PartnerConnect - Technology")</f>
        <v>PartnerConnect - Technology</v>
      </c>
      <c r="I252" s="16" t="str">
        <f>IFERROR(__xludf.DUMMYFUNCTION("""COMPUTED_VALUE"""),"Via Zucchi,10")</f>
        <v>Via Zucchi,10</v>
      </c>
      <c r="J252" s="16"/>
      <c r="K252" s="16" t="str">
        <f>IFERROR(__xludf.DUMMYFUNCTION("""COMPUTED_VALUE"""),"Monza")</f>
        <v>Monza</v>
      </c>
      <c r="L252" s="16" t="str">
        <f>IFERROR(__xludf.DUMMYFUNCTION("""COMPUTED_VALUE"""),"MONZA E BRIANZA")</f>
        <v>MONZA E BRIANZA</v>
      </c>
      <c r="M252" s="16">
        <f>IFERROR(__xludf.DUMMYFUNCTION("""COMPUTED_VALUE"""),20900.0)</f>
        <v>20900</v>
      </c>
      <c r="N252" s="16" t="str">
        <f>IFERROR(__xludf.DUMMYFUNCTION("""COMPUTED_VALUE"""),"Italy")</f>
        <v>Italy</v>
      </c>
      <c r="O252" s="16" t="str">
        <f>IFERROR(__xludf.DUMMYFUNCTION("""COMPUTED_VALUE"""),"Low")</f>
        <v>Low</v>
      </c>
      <c r="P252" s="16" t="b">
        <f>IFERROR(__xludf.DUMMYFUNCTION("""COMPUTED_VALUE"""),TRUE)</f>
        <v>1</v>
      </c>
      <c r="Q252" s="16" t="b">
        <f>IFERROR(__xludf.DUMMYFUNCTION("""COMPUTED_VALUE"""),TRUE)</f>
        <v>1</v>
      </c>
      <c r="R252" s="16" t="str">
        <f>IFERROR(__xludf.DUMMYFUNCTION("""COMPUTED_VALUE"""),"Admin, Events, Marketing, Training, Main Billing Contact, Billing Contact  LMS Training Fees, Client Partner / Partner Account Executive")</f>
        <v>Admin, Events, Marketing, Training, Main Billing Contact, Billing Contact  LMS Training Fees, Client Partner / Partner Account Executive</v>
      </c>
      <c r="S252" s="16" t="str">
        <f>IFERROR(__xludf.DUMMYFUNCTION("""COMPUTED_VALUE"""),"Kube")</f>
        <v>Kube</v>
      </c>
      <c r="T252" s="16" t="str">
        <f>IFERROR(__xludf.DUMMYFUNCTION("""COMPUTED_VALUE"""),"Current Partner")</f>
        <v>Current Partner</v>
      </c>
      <c r="U252" s="16" t="b">
        <f>IFERROR(__xludf.DUMMYFUNCTION("""COMPUTED_VALUE"""),FALSE)</f>
        <v>0</v>
      </c>
      <c r="V252" s="16"/>
      <c r="W252" s="16"/>
      <c r="X252" s="16"/>
    </row>
    <row r="253">
      <c r="A253" s="16" t="str">
        <f>IFERROR(__xludf.DUMMYFUNCTION("""COMPUTED_VALUE"""),"Arvind")</f>
        <v>Arvind</v>
      </c>
      <c r="B253" s="16" t="str">
        <f>IFERROR(__xludf.DUMMYFUNCTION("""COMPUTED_VALUE"""),"Sontha")</f>
        <v>Sontha</v>
      </c>
      <c r="C253" s="16" t="str">
        <f>IFERROR(__xludf.DUMMYFUNCTION("""COMPUTED_VALUE"""),"CEO &amp; Founder")</f>
        <v>CEO &amp; Founder</v>
      </c>
      <c r="D253" s="16" t="str">
        <f>IFERROR(__xludf.DUMMYFUNCTION("""COMPUTED_VALUE"""),"Kyber Technologies, Inc.")</f>
        <v>Kyber Technologies, Inc.</v>
      </c>
      <c r="E253" s="16" t="str">
        <f>IFERROR(__xludf.DUMMYFUNCTION("""COMPUTED_VALUE"""),"Growth")</f>
        <v>Growth</v>
      </c>
      <c r="F253" s="16" t="str">
        <f>IFERROR(__xludf.DUMMYFUNCTION("""COMPUTED_VALUE"""),"arvind@askkyber.com")</f>
        <v>arvind@askkyber.com</v>
      </c>
      <c r="G253" s="16" t="str">
        <f>IFERROR(__xludf.DUMMYFUNCTION("""COMPUTED_VALUE"""),"Shannon Spies")</f>
        <v>Shannon Spies</v>
      </c>
      <c r="H253" s="16" t="str">
        <f>IFERROR(__xludf.DUMMYFUNCTION("""COMPUTED_VALUE"""),"PartnerConnect - Technology")</f>
        <v>PartnerConnect - Technology</v>
      </c>
      <c r="I253" s="16" t="str">
        <f>IFERROR(__xludf.DUMMYFUNCTION("""COMPUTED_VALUE"""),"134 West 26th Street")</f>
        <v>134 West 26th Street</v>
      </c>
      <c r="J253" s="16"/>
      <c r="K253" s="16" t="str">
        <f>IFERROR(__xludf.DUMMYFUNCTION("""COMPUTED_VALUE"""),"New York")</f>
        <v>New York</v>
      </c>
      <c r="L253" s="16" t="str">
        <f>IFERROR(__xludf.DUMMYFUNCTION("""COMPUTED_VALUE"""),"NY")</f>
        <v>NY</v>
      </c>
      <c r="M253" s="16">
        <f>IFERROR(__xludf.DUMMYFUNCTION("""COMPUTED_VALUE"""),10001.0)</f>
        <v>10001</v>
      </c>
      <c r="N253" s="16" t="str">
        <f>IFERROR(__xludf.DUMMYFUNCTION("""COMPUTED_VALUE"""),"United States")</f>
        <v>United States</v>
      </c>
      <c r="O253" s="16" t="str">
        <f>IFERROR(__xludf.DUMMYFUNCTION("""COMPUTED_VALUE"""),"Medium")</f>
        <v>Medium</v>
      </c>
      <c r="P253" s="16" t="b">
        <f>IFERROR(__xludf.DUMMYFUNCTION("""COMPUTED_VALUE"""),TRUE)</f>
        <v>1</v>
      </c>
      <c r="Q253" s="16" t="b">
        <f>IFERROR(__xludf.DUMMYFUNCTION("""COMPUTED_VALUE"""),FALSE)</f>
        <v>0</v>
      </c>
      <c r="R253" s="16" t="str">
        <f>IFERROR(__xludf.DUMMYFUNCTION("""COMPUTED_VALUE"""),"Admin, Business, Events, Legal / Contracts, Marketing, Support, Technical, Training, NPE User")</f>
        <v>Admin, Business, Events, Legal / Contracts, Marketing, Support, Technical, Training, NPE User</v>
      </c>
      <c r="S253" s="16" t="str">
        <f>IFERROR(__xludf.DUMMYFUNCTION("""COMPUTED_VALUE"""),"Kyber Technologies")</f>
        <v>Kyber Technologies</v>
      </c>
      <c r="T253" s="16" t="str">
        <f>IFERROR(__xludf.DUMMYFUNCTION("""COMPUTED_VALUE"""),"Current Partner")</f>
        <v>Current Partner</v>
      </c>
      <c r="U253" s="16" t="b">
        <f>IFERROR(__xludf.DUMMYFUNCTION("""COMPUTED_VALUE"""),TRUE)</f>
        <v>1</v>
      </c>
      <c r="V253" s="16"/>
      <c r="W253" s="16"/>
      <c r="X253" s="16"/>
    </row>
    <row r="254">
      <c r="A254" s="16" t="str">
        <f>IFERROR(__xludf.DUMMYFUNCTION("""COMPUTED_VALUE"""),"Charles")</f>
        <v>Charles</v>
      </c>
      <c r="B254" s="16" t="str">
        <f>IFERROR(__xludf.DUMMYFUNCTION("""COMPUTED_VALUE"""),"Ince")</f>
        <v>Ince</v>
      </c>
      <c r="C254" s="16" t="str">
        <f>IFERROR(__xludf.DUMMYFUNCTION("""COMPUTED_VALUE"""),"Head of Partnerships")</f>
        <v>Head of Partnerships</v>
      </c>
      <c r="D254" s="16" t="str">
        <f>IFERROR(__xludf.DUMMYFUNCTION("""COMPUTED_VALUE"""),"LazarusAI")</f>
        <v>LazarusAI</v>
      </c>
      <c r="E254" s="16" t="str">
        <f>IFERROR(__xludf.DUMMYFUNCTION("""COMPUTED_VALUE"""),"Insurtech Vanguard")</f>
        <v>Insurtech Vanguard</v>
      </c>
      <c r="F254" s="16" t="str">
        <f>IFERROR(__xludf.DUMMYFUNCTION("""COMPUTED_VALUE"""),"charles.ince@lazarusai.com")</f>
        <v>charles.ince@lazarusai.com</v>
      </c>
      <c r="G254" s="16" t="str">
        <f>IFERROR(__xludf.DUMMYFUNCTION("""COMPUTED_VALUE"""),"Shannon Spies")</f>
        <v>Shannon Spies</v>
      </c>
      <c r="H254" s="16"/>
      <c r="I254" s="16" t="str">
        <f>IFERROR(__xludf.DUMMYFUNCTION("""COMPUTED_VALUE"""),"33 Arch Street")</f>
        <v>33 Arch Street</v>
      </c>
      <c r="J254" s="16"/>
      <c r="K254" s="16" t="str">
        <f>IFERROR(__xludf.DUMMYFUNCTION("""COMPUTED_VALUE"""),"Boston")</f>
        <v>Boston</v>
      </c>
      <c r="L254" s="16" t="str">
        <f>IFERROR(__xludf.DUMMYFUNCTION("""COMPUTED_VALUE"""),"Massachusetts")</f>
        <v>Massachusetts</v>
      </c>
      <c r="M254" s="16">
        <f>IFERROR(__xludf.DUMMYFUNCTION("""COMPUTED_VALUE"""),2110.0)</f>
        <v>2110</v>
      </c>
      <c r="N254" s="16" t="str">
        <f>IFERROR(__xludf.DUMMYFUNCTION("""COMPUTED_VALUE"""),"United States")</f>
        <v>United States</v>
      </c>
      <c r="O254" s="16"/>
      <c r="P254" s="16" t="b">
        <f>IFERROR(__xludf.DUMMYFUNCTION("""COMPUTED_VALUE"""),TRUE)</f>
        <v>1</v>
      </c>
      <c r="Q254" s="16" t="b">
        <f>IFERROR(__xludf.DUMMYFUNCTION("""COMPUTED_VALUE"""),FALSE)</f>
        <v>0</v>
      </c>
      <c r="R254" s="16" t="str">
        <f>IFERROR(__xludf.DUMMYFUNCTION("""COMPUTED_VALUE"""),"")</f>
        <v/>
      </c>
      <c r="S254" s="16" t="str">
        <f>IFERROR(__xludf.DUMMYFUNCTION("""COMPUTED_VALUE"""),"LazarusAI")</f>
        <v>LazarusAI</v>
      </c>
      <c r="T254" s="16" t="str">
        <f>IFERROR(__xludf.DUMMYFUNCTION("""COMPUTED_VALUE"""),"Current Vanguard")</f>
        <v>Current Vanguard</v>
      </c>
      <c r="U254" s="16" t="b">
        <f>IFERROR(__xludf.DUMMYFUNCTION("""COMPUTED_VALUE"""),FALSE)</f>
        <v>0</v>
      </c>
      <c r="V254" s="16"/>
      <c r="W254" s="16"/>
      <c r="X254" s="16"/>
    </row>
    <row r="255">
      <c r="A255" s="16" t="str">
        <f>IFERROR(__xludf.DUMMYFUNCTION("""COMPUTED_VALUE"""),"Frank")</f>
        <v>Frank</v>
      </c>
      <c r="B255" s="16" t="str">
        <f>IFERROR(__xludf.DUMMYFUNCTION("""COMPUTED_VALUE"""),"Eubank")</f>
        <v>Eubank</v>
      </c>
      <c r="C255" s="16" t="str">
        <f>IFERROR(__xludf.DUMMYFUNCTION("""COMPUTED_VALUE"""),"CEO")</f>
        <v>CEO</v>
      </c>
      <c r="D255" s="16" t="str">
        <f>IFERROR(__xludf.DUMMYFUNCTION("""COMPUTED_VALUE"""),"LenderDock")</f>
        <v>LenderDock</v>
      </c>
      <c r="E255" s="16" t="str">
        <f>IFERROR(__xludf.DUMMYFUNCTION("""COMPUTED_VALUE"""),"Growth")</f>
        <v>Growth</v>
      </c>
      <c r="F255" s="16" t="str">
        <f>IFERROR(__xludf.DUMMYFUNCTION("""COMPUTED_VALUE"""),"frank@lenderdock.com")</f>
        <v>frank@lenderdock.com</v>
      </c>
      <c r="G255" s="16" t="str">
        <f>IFERROR(__xludf.DUMMYFUNCTION("""COMPUTED_VALUE"""),"Aaron Shaw")</f>
        <v>Aaron Shaw</v>
      </c>
      <c r="H255" s="16" t="str">
        <f>IFERROR(__xludf.DUMMYFUNCTION("""COMPUTED_VALUE"""),"PartnerConnect - Technology")</f>
        <v>PartnerConnect - Technology</v>
      </c>
      <c r="I255" s="16" t="str">
        <f>IFERROR(__xludf.DUMMYFUNCTION("""COMPUTED_VALUE"""),"2526 N. 860 W.")</f>
        <v>2526 N. 860 W.</v>
      </c>
      <c r="J255" s="16"/>
      <c r="K255" s="16" t="str">
        <f>IFERROR(__xludf.DUMMYFUNCTION("""COMPUTED_VALUE"""),"Pleasant Grove")</f>
        <v>Pleasant Grove</v>
      </c>
      <c r="L255" s="16" t="str">
        <f>IFERROR(__xludf.DUMMYFUNCTION("""COMPUTED_VALUE"""),"Utah")</f>
        <v>Utah</v>
      </c>
      <c r="M255" s="16">
        <f>IFERROR(__xludf.DUMMYFUNCTION("""COMPUTED_VALUE"""),84062.0)</f>
        <v>84062</v>
      </c>
      <c r="N255" s="16" t="str">
        <f>IFERROR(__xludf.DUMMYFUNCTION("""COMPUTED_VALUE"""),"United States")</f>
        <v>United States</v>
      </c>
      <c r="O255" s="16" t="str">
        <f>IFERROR(__xludf.DUMMYFUNCTION("""COMPUTED_VALUE"""),"Medium")</f>
        <v>Medium</v>
      </c>
      <c r="P255" s="16" t="b">
        <f>IFERROR(__xludf.DUMMYFUNCTION("""COMPUTED_VALUE"""),TRUE)</f>
        <v>1</v>
      </c>
      <c r="Q255" s="16" t="b">
        <f>IFERROR(__xludf.DUMMYFUNCTION("""COMPUTED_VALUE"""),FALSE)</f>
        <v>0</v>
      </c>
      <c r="R255" s="16" t="str">
        <f>IFERROR(__xludf.DUMMYFUNCTION("""COMPUTED_VALUE"""),"Main Billing Contact, Billing Contact  LMS Training Fees")</f>
        <v>Main Billing Contact, Billing Contact  LMS Training Fees</v>
      </c>
      <c r="S255" s="16" t="str">
        <f>IFERROR(__xludf.DUMMYFUNCTION("""COMPUTED_VALUE"""),"LenderDock")</f>
        <v>LenderDock</v>
      </c>
      <c r="T255" s="16" t="str">
        <f>IFERROR(__xludf.DUMMYFUNCTION("""COMPUTED_VALUE"""),"Current Partner")</f>
        <v>Current Partner</v>
      </c>
      <c r="U255" s="16" t="b">
        <f>IFERROR(__xludf.DUMMYFUNCTION("""COMPUTED_VALUE"""),FALSE)</f>
        <v>0</v>
      </c>
      <c r="V255" s="16"/>
      <c r="W255" s="16"/>
      <c r="X255" s="16"/>
    </row>
    <row r="256">
      <c r="A256" s="16" t="str">
        <f>IFERROR(__xludf.DUMMYFUNCTION("""COMPUTED_VALUE"""),"Janelle")</f>
        <v>Janelle</v>
      </c>
      <c r="B256" s="16" t="str">
        <f>IFERROR(__xludf.DUMMYFUNCTION("""COMPUTED_VALUE"""),"Jenkins")</f>
        <v>Jenkins</v>
      </c>
      <c r="C256" s="16" t="str">
        <f>IFERROR(__xludf.DUMMYFUNCTION("""COMPUTED_VALUE"""),"Marketing Manager")</f>
        <v>Marketing Manager</v>
      </c>
      <c r="D256" s="16" t="str">
        <f>IFERROR(__xludf.DUMMYFUNCTION("""COMPUTED_VALUE"""),"LexisNexis Risk Solutions Inc.")</f>
        <v>LexisNexis Risk Solutions Inc.</v>
      </c>
      <c r="E256" s="16" t="str">
        <f>IFERROR(__xludf.DUMMYFUNCTION("""COMPUTED_VALUE"""),"Advantage")</f>
        <v>Advantage</v>
      </c>
      <c r="F256" s="16" t="str">
        <f>IFERROR(__xludf.DUMMYFUNCTION("""COMPUTED_VALUE"""),"janelle.jenkins@lexisnexisrisk.com")</f>
        <v>janelle.jenkins@lexisnexisrisk.com</v>
      </c>
      <c r="G256" s="16" t="str">
        <f>IFERROR(__xludf.DUMMYFUNCTION("""COMPUTED_VALUE"""),"Tim Kennedy")</f>
        <v>Tim Kennedy</v>
      </c>
      <c r="H256" s="16" t="str">
        <f>IFERROR(__xludf.DUMMYFUNCTION("""COMPUTED_VALUE"""),"PartnerConnect - Technology")</f>
        <v>PartnerConnect - Technology</v>
      </c>
      <c r="I256" s="16" t="str">
        <f>IFERROR(__xludf.DUMMYFUNCTION("""COMPUTED_VALUE"""),"1000 ALDERMAN DR")</f>
        <v>1000 ALDERMAN DR</v>
      </c>
      <c r="J256" s="16"/>
      <c r="K256" s="16" t="str">
        <f>IFERROR(__xludf.DUMMYFUNCTION("""COMPUTED_VALUE"""),"ALPHARETTA")</f>
        <v>ALPHARETTA</v>
      </c>
      <c r="L256" s="16" t="str">
        <f>IFERROR(__xludf.DUMMYFUNCTION("""COMPUTED_VALUE"""),"GEORGIA")</f>
        <v>GEORGIA</v>
      </c>
      <c r="M256" s="16" t="str">
        <f>IFERROR(__xludf.DUMMYFUNCTION("""COMPUTED_VALUE"""),"30005-4101")</f>
        <v>30005-4101</v>
      </c>
      <c r="N256" s="16" t="str">
        <f>IFERROR(__xludf.DUMMYFUNCTION("""COMPUTED_VALUE"""),"United States")</f>
        <v>United States</v>
      </c>
      <c r="O256" s="16" t="str">
        <f>IFERROR(__xludf.DUMMYFUNCTION("""COMPUTED_VALUE"""),"High")</f>
        <v>High</v>
      </c>
      <c r="P256" s="16" t="b">
        <f>IFERROR(__xludf.DUMMYFUNCTION("""COMPUTED_VALUE"""),FALSE)</f>
        <v>0</v>
      </c>
      <c r="Q256" s="16" t="b">
        <f>IFERROR(__xludf.DUMMYFUNCTION("""COMPUTED_VALUE"""),TRUE)</f>
        <v>1</v>
      </c>
      <c r="R256" s="16" t="str">
        <f>IFERROR(__xludf.DUMMYFUNCTION("""COMPUTED_VALUE"""),"")</f>
        <v/>
      </c>
      <c r="S256" s="16" t="str">
        <f>IFERROR(__xludf.DUMMYFUNCTION("""COMPUTED_VALUE"""),"LexisNexis")</f>
        <v>LexisNexis</v>
      </c>
      <c r="T256" s="16" t="str">
        <f>IFERROR(__xludf.DUMMYFUNCTION("""COMPUTED_VALUE"""),"Current Partner")</f>
        <v>Current Partner</v>
      </c>
      <c r="U256" s="16" t="b">
        <f>IFERROR(__xludf.DUMMYFUNCTION("""COMPUTED_VALUE"""),FALSE)</f>
        <v>0</v>
      </c>
      <c r="V256" s="16"/>
      <c r="W256" s="16"/>
      <c r="X256" s="16"/>
    </row>
    <row r="257">
      <c r="A257" s="16" t="str">
        <f>IFERROR(__xludf.DUMMYFUNCTION("""COMPUTED_VALUE"""),"Lisa")</f>
        <v>Lisa</v>
      </c>
      <c r="B257" s="16" t="str">
        <f>IFERROR(__xludf.DUMMYFUNCTION("""COMPUTED_VALUE"""),"Abbott")</f>
        <v>Abbott</v>
      </c>
      <c r="C257" s="16" t="str">
        <f>IFERROR(__xludf.DUMMYFUNCTION("""COMPUTED_VALUE"""),"Director Global Alliances")</f>
        <v>Director Global Alliances</v>
      </c>
      <c r="D257" s="16" t="str">
        <f>IFERROR(__xludf.DUMMYFUNCTION("""COMPUTED_VALUE"""),"LexisNexis Risk Solutions Inc.")</f>
        <v>LexisNexis Risk Solutions Inc.</v>
      </c>
      <c r="E257" s="16" t="str">
        <f>IFERROR(__xludf.DUMMYFUNCTION("""COMPUTED_VALUE"""),"Advantage")</f>
        <v>Advantage</v>
      </c>
      <c r="F257" s="16" t="str">
        <f>IFERROR(__xludf.DUMMYFUNCTION("""COMPUTED_VALUE"""),"lisa.abbott@lexisnexisrisk.com")</f>
        <v>lisa.abbott@lexisnexisrisk.com</v>
      </c>
      <c r="G257" s="16" t="str">
        <f>IFERROR(__xludf.DUMMYFUNCTION("""COMPUTED_VALUE"""),"Tim Kennedy")</f>
        <v>Tim Kennedy</v>
      </c>
      <c r="H257" s="16" t="str">
        <f>IFERROR(__xludf.DUMMYFUNCTION("""COMPUTED_VALUE"""),"PartnerConnect - Technology")</f>
        <v>PartnerConnect - Technology</v>
      </c>
      <c r="I257" s="16" t="str">
        <f>IFERROR(__xludf.DUMMYFUNCTION("""COMPUTED_VALUE"""),"1000 Alderman Drive")</f>
        <v>1000 Alderman Drive</v>
      </c>
      <c r="J257" s="16"/>
      <c r="K257" s="16" t="str">
        <f>IFERROR(__xludf.DUMMYFUNCTION("""COMPUTED_VALUE"""),"Alpharetta")</f>
        <v>Alpharetta</v>
      </c>
      <c r="L257" s="16" t="str">
        <f>IFERROR(__xludf.DUMMYFUNCTION("""COMPUTED_VALUE"""),"GEORGIA")</f>
        <v>GEORGIA</v>
      </c>
      <c r="M257" s="16">
        <f>IFERROR(__xludf.DUMMYFUNCTION("""COMPUTED_VALUE"""),30005.0)</f>
        <v>30005</v>
      </c>
      <c r="N257" s="16" t="str">
        <f>IFERROR(__xludf.DUMMYFUNCTION("""COMPUTED_VALUE"""),"United States")</f>
        <v>United States</v>
      </c>
      <c r="O257" s="16" t="str">
        <f>IFERROR(__xludf.DUMMYFUNCTION("""COMPUTED_VALUE"""),"High")</f>
        <v>High</v>
      </c>
      <c r="P257" s="16" t="b">
        <f>IFERROR(__xludf.DUMMYFUNCTION("""COMPUTED_VALUE"""),TRUE)</f>
        <v>1</v>
      </c>
      <c r="Q257" s="16" t="b">
        <f>IFERROR(__xludf.DUMMYFUNCTION("""COMPUTED_VALUE"""),TRUE)</f>
        <v>1</v>
      </c>
      <c r="R257" s="16" t="str">
        <f>IFERROR(__xludf.DUMMYFUNCTION("""COMPUTED_VALUE"""),"Admin, Business, Marketing, Support, Technical")</f>
        <v>Admin, Business, Marketing, Support, Technical</v>
      </c>
      <c r="S257" s="16" t="str">
        <f>IFERROR(__xludf.DUMMYFUNCTION("""COMPUTED_VALUE"""),"LexisNexis")</f>
        <v>LexisNexis</v>
      </c>
      <c r="T257" s="16" t="str">
        <f>IFERROR(__xludf.DUMMYFUNCTION("""COMPUTED_VALUE"""),"Current Partner")</f>
        <v>Current Partner</v>
      </c>
      <c r="U257" s="16" t="b">
        <f>IFERROR(__xludf.DUMMYFUNCTION("""COMPUTED_VALUE"""),FALSE)</f>
        <v>0</v>
      </c>
      <c r="V257" s="16"/>
      <c r="W257" s="16"/>
      <c r="X257" s="16"/>
    </row>
    <row r="258">
      <c r="A258" s="16" t="str">
        <f>IFERROR(__xludf.DUMMYFUNCTION("""COMPUTED_VALUE"""),"Amy")</f>
        <v>Amy</v>
      </c>
      <c r="B258" s="16" t="str">
        <f>IFERROR(__xludf.DUMMYFUNCTION("""COMPUTED_VALUE"""),"Choe")</f>
        <v>Choe</v>
      </c>
      <c r="C258" s="16" t="str">
        <f>IFERROR(__xludf.DUMMYFUNCTION("""COMPUTED_VALUE"""),"Enterprise Client Engagement Manager")</f>
        <v>Enterprise Client Engagement Manager</v>
      </c>
      <c r="D258" s="16" t="str">
        <f>IFERROR(__xludf.DUMMYFUNCTION("""COMPUTED_VALUE"""),"LexisNexis Risk Solutions Inc.")</f>
        <v>LexisNexis Risk Solutions Inc.</v>
      </c>
      <c r="E258" s="16" t="str">
        <f>IFERROR(__xludf.DUMMYFUNCTION("""COMPUTED_VALUE"""),"Advantage")</f>
        <v>Advantage</v>
      </c>
      <c r="F258" s="16" t="str">
        <f>IFERROR(__xludf.DUMMYFUNCTION("""COMPUTED_VALUE"""),"amy.choe@lexisnexis.com")</f>
        <v>amy.choe@lexisnexis.com</v>
      </c>
      <c r="G258" s="16" t="str">
        <f>IFERROR(__xludf.DUMMYFUNCTION("""COMPUTED_VALUE"""),"Tim Kennedy")</f>
        <v>Tim Kennedy</v>
      </c>
      <c r="H258" s="16" t="str">
        <f>IFERROR(__xludf.DUMMYFUNCTION("""COMPUTED_VALUE"""),"PartnerConnect - Technology")</f>
        <v>PartnerConnect - Technology</v>
      </c>
      <c r="I258" s="16"/>
      <c r="J258" s="16"/>
      <c r="K258" s="16"/>
      <c r="L258" s="16"/>
      <c r="M258" s="16"/>
      <c r="N258" s="16" t="str">
        <f>IFERROR(__xludf.DUMMYFUNCTION("""COMPUTED_VALUE"""),"United States")</f>
        <v>United States</v>
      </c>
      <c r="O258" s="16" t="str">
        <f>IFERROR(__xludf.DUMMYFUNCTION("""COMPUTED_VALUE"""),"High")</f>
        <v>High</v>
      </c>
      <c r="P258" s="16" t="b">
        <f>IFERROR(__xludf.DUMMYFUNCTION("""COMPUTED_VALUE"""),FALSE)</f>
        <v>0</v>
      </c>
      <c r="Q258" s="16" t="b">
        <f>IFERROR(__xludf.DUMMYFUNCTION("""COMPUTED_VALUE"""),TRUE)</f>
        <v>1</v>
      </c>
      <c r="R258" s="16" t="str">
        <f>IFERROR(__xludf.DUMMYFUNCTION("""COMPUTED_VALUE"""),"Business, Events, Marketing")</f>
        <v>Business, Events, Marketing</v>
      </c>
      <c r="S258" s="16" t="str">
        <f>IFERROR(__xludf.DUMMYFUNCTION("""COMPUTED_VALUE"""),"LexisNexis")</f>
        <v>LexisNexis</v>
      </c>
      <c r="T258" s="16" t="str">
        <f>IFERROR(__xludf.DUMMYFUNCTION("""COMPUTED_VALUE"""),"Current Partner")</f>
        <v>Current Partner</v>
      </c>
      <c r="U258" s="16" t="b">
        <f>IFERROR(__xludf.DUMMYFUNCTION("""COMPUTED_VALUE"""),FALSE)</f>
        <v>0</v>
      </c>
      <c r="V258" s="16"/>
      <c r="W258" s="16"/>
      <c r="X258" s="16"/>
    </row>
    <row r="259">
      <c r="A259" s="16" t="str">
        <f>IFERROR(__xludf.DUMMYFUNCTION("""COMPUTED_VALUE"""),"Hoa")</f>
        <v>Hoa</v>
      </c>
      <c r="B259" s="16" t="str">
        <f>IFERROR(__xludf.DUMMYFUNCTION("""COMPUTED_VALUE"""),"Nguyen")</f>
        <v>Nguyen</v>
      </c>
      <c r="C259" s="16" t="str">
        <f>IFERROR(__xludf.DUMMYFUNCTION("""COMPUTED_VALUE"""),"Sr. Implementation Specialist")</f>
        <v>Sr. Implementation Specialist</v>
      </c>
      <c r="D259" s="16" t="str">
        <f>IFERROR(__xludf.DUMMYFUNCTION("""COMPUTED_VALUE"""),"LexisNexis Risk Solutions Inc.")</f>
        <v>LexisNexis Risk Solutions Inc.</v>
      </c>
      <c r="E259" s="16" t="str">
        <f>IFERROR(__xludf.DUMMYFUNCTION("""COMPUTED_VALUE"""),"Advantage")</f>
        <v>Advantage</v>
      </c>
      <c r="F259" s="16" t="str">
        <f>IFERROR(__xludf.DUMMYFUNCTION("""COMPUTED_VALUE"""),"hoa.nguyen@lexisnexisrisk.com")</f>
        <v>hoa.nguyen@lexisnexisrisk.com</v>
      </c>
      <c r="G259" s="16" t="str">
        <f>IFERROR(__xludf.DUMMYFUNCTION("""COMPUTED_VALUE"""),"Tim Kennedy")</f>
        <v>Tim Kennedy</v>
      </c>
      <c r="H259" s="16" t="str">
        <f>IFERROR(__xludf.DUMMYFUNCTION("""COMPUTED_VALUE"""),"PartnerConnect - Technology")</f>
        <v>PartnerConnect - Technology</v>
      </c>
      <c r="I259" s="16" t="str">
        <f>IFERROR(__xludf.DUMMYFUNCTION("""COMPUTED_VALUE"""),"1000 Alderman")</f>
        <v>1000 Alderman</v>
      </c>
      <c r="J259" s="16"/>
      <c r="K259" s="16" t="str">
        <f>IFERROR(__xludf.DUMMYFUNCTION("""COMPUTED_VALUE"""),"Alpharetta")</f>
        <v>Alpharetta</v>
      </c>
      <c r="L259" s="16" t="str">
        <f>IFERROR(__xludf.DUMMYFUNCTION("""COMPUTED_VALUE"""),"Georgia")</f>
        <v>Georgia</v>
      </c>
      <c r="M259" s="16">
        <f>IFERROR(__xludf.DUMMYFUNCTION("""COMPUTED_VALUE"""),30005.0)</f>
        <v>30005</v>
      </c>
      <c r="N259" s="16" t="str">
        <f>IFERROR(__xludf.DUMMYFUNCTION("""COMPUTED_VALUE"""),"United States")</f>
        <v>United States</v>
      </c>
      <c r="O259" s="16" t="str">
        <f>IFERROR(__xludf.DUMMYFUNCTION("""COMPUTED_VALUE"""),"High")</f>
        <v>High</v>
      </c>
      <c r="P259" s="16" t="b">
        <f>IFERROR(__xludf.DUMMYFUNCTION("""COMPUTED_VALUE"""),FALSE)</f>
        <v>0</v>
      </c>
      <c r="Q259" s="16" t="b">
        <f>IFERROR(__xludf.DUMMYFUNCTION("""COMPUTED_VALUE"""),TRUE)</f>
        <v>1</v>
      </c>
      <c r="R259" s="16" t="str">
        <f>IFERROR(__xludf.DUMMYFUNCTION("""COMPUTED_VALUE"""),"Support, Technical, Sales Solution Architect")</f>
        <v>Support, Technical, Sales Solution Architect</v>
      </c>
      <c r="S259" s="16" t="str">
        <f>IFERROR(__xludf.DUMMYFUNCTION("""COMPUTED_VALUE"""),"LexisNexis")</f>
        <v>LexisNexis</v>
      </c>
      <c r="T259" s="16" t="str">
        <f>IFERROR(__xludf.DUMMYFUNCTION("""COMPUTED_VALUE"""),"Current Partner")</f>
        <v>Current Partner</v>
      </c>
      <c r="U259" s="16" t="b">
        <f>IFERROR(__xludf.DUMMYFUNCTION("""COMPUTED_VALUE"""),FALSE)</f>
        <v>0</v>
      </c>
      <c r="V259" s="16"/>
      <c r="W259" s="16"/>
      <c r="X259" s="16"/>
    </row>
    <row r="260">
      <c r="A260" s="16" t="str">
        <f>IFERROR(__xludf.DUMMYFUNCTION("""COMPUTED_VALUE"""),"Noah")</f>
        <v>Noah</v>
      </c>
      <c r="B260" s="16" t="str">
        <f>IFERROR(__xludf.DUMMYFUNCTION("""COMPUTED_VALUE"""),"Mandel")</f>
        <v>Mandel</v>
      </c>
      <c r="C260" s="16" t="str">
        <f>IFERROR(__xludf.DUMMYFUNCTION("""COMPUTED_VALUE"""),"VP, Enterprise Solutions")</f>
        <v>VP, Enterprise Solutions</v>
      </c>
      <c r="D260" s="16" t="str">
        <f>IFERROR(__xludf.DUMMYFUNCTION("""COMPUTED_VALUE"""),"Liberate")</f>
        <v>Liberate</v>
      </c>
      <c r="E260" s="16" t="str">
        <f>IFERROR(__xludf.DUMMYFUNCTION("""COMPUTED_VALUE"""),"Growth")</f>
        <v>Growth</v>
      </c>
      <c r="F260" s="16" t="str">
        <f>IFERROR(__xludf.DUMMYFUNCTION("""COMPUTED_VALUE"""),"noah.mandel@liberateinc.com")</f>
        <v>noah.mandel@liberateinc.com</v>
      </c>
      <c r="G260" s="16" t="str">
        <f>IFERROR(__xludf.DUMMYFUNCTION("""COMPUTED_VALUE"""),"Aaron Shaw")</f>
        <v>Aaron Shaw</v>
      </c>
      <c r="H260" s="16" t="str">
        <f>IFERROR(__xludf.DUMMYFUNCTION("""COMPUTED_VALUE"""),"PartnerConnect - Technology")</f>
        <v>PartnerConnect - Technology</v>
      </c>
      <c r="I260" s="16" t="str">
        <f>IFERROR(__xludf.DUMMYFUNCTION("""COMPUTED_VALUE"""),"9570 Stablegate Rd")</f>
        <v>9570 Stablegate Rd</v>
      </c>
      <c r="J260" s="16"/>
      <c r="K260" s="16" t="str">
        <f>IFERROR(__xludf.DUMMYFUNCTION("""COMPUTED_VALUE"""),"Wilton")</f>
        <v>Wilton</v>
      </c>
      <c r="L260" s="16" t="str">
        <f>IFERROR(__xludf.DUMMYFUNCTION("""COMPUTED_VALUE"""),"CA")</f>
        <v>CA</v>
      </c>
      <c r="M260" s="16">
        <f>IFERROR(__xludf.DUMMYFUNCTION("""COMPUTED_VALUE"""),95693.0)</f>
        <v>95693</v>
      </c>
      <c r="N260" s="16" t="str">
        <f>IFERROR(__xludf.DUMMYFUNCTION("""COMPUTED_VALUE"""),"United States")</f>
        <v>United States</v>
      </c>
      <c r="O260" s="16" t="str">
        <f>IFERROR(__xludf.DUMMYFUNCTION("""COMPUTED_VALUE"""),"Medium")</f>
        <v>Medium</v>
      </c>
      <c r="P260" s="16" t="b">
        <f>IFERROR(__xludf.DUMMYFUNCTION("""COMPUTED_VALUE"""),TRUE)</f>
        <v>1</v>
      </c>
      <c r="Q260" s="16" t="b">
        <f>IFERROR(__xludf.DUMMYFUNCTION("""COMPUTED_VALUE"""),TRUE)</f>
        <v>1</v>
      </c>
      <c r="R260" s="16" t="str">
        <f>IFERROR(__xludf.DUMMYFUNCTION("""COMPUTED_VALUE"""),"Admin, Business")</f>
        <v>Admin, Business</v>
      </c>
      <c r="S260" s="16" t="str">
        <f>IFERROR(__xludf.DUMMYFUNCTION("""COMPUTED_VALUE"""),"Liberate")</f>
        <v>Liberate</v>
      </c>
      <c r="T260" s="16" t="str">
        <f>IFERROR(__xludf.DUMMYFUNCTION("""COMPUTED_VALUE"""),"Current Partner")</f>
        <v>Current Partner</v>
      </c>
      <c r="U260" s="16" t="b">
        <f>IFERROR(__xludf.DUMMYFUNCTION("""COMPUTED_VALUE"""),FALSE)</f>
        <v>0</v>
      </c>
      <c r="V260" s="16"/>
      <c r="W260" s="16"/>
      <c r="X260" s="16"/>
    </row>
    <row r="261">
      <c r="A261" s="16" t="str">
        <f>IFERROR(__xludf.DUMMYFUNCTION("""COMPUTED_VALUE"""),"Jason")</f>
        <v>Jason</v>
      </c>
      <c r="B261" s="16" t="str">
        <f>IFERROR(__xludf.DUMMYFUNCTION("""COMPUTED_VALUE"""),"St. Pierre")</f>
        <v>St. Pierre</v>
      </c>
      <c r="C261" s="16" t="str">
        <f>IFERROR(__xludf.DUMMYFUNCTION("""COMPUTED_VALUE"""),"Co-Founder &amp; CPO")</f>
        <v>Co-Founder &amp; CPO</v>
      </c>
      <c r="D261" s="16" t="str">
        <f>IFERROR(__xludf.DUMMYFUNCTION("""COMPUTED_VALUE"""),"Liberate")</f>
        <v>Liberate</v>
      </c>
      <c r="E261" s="16" t="str">
        <f>IFERROR(__xludf.DUMMYFUNCTION("""COMPUTED_VALUE"""),"Growth")</f>
        <v>Growth</v>
      </c>
      <c r="F261" s="16" t="str">
        <f>IFERROR(__xludf.DUMMYFUNCTION("""COMPUTED_VALUE"""),"jason@liberateinc.com")</f>
        <v>jason@liberateinc.com</v>
      </c>
      <c r="G261" s="16" t="str">
        <f>IFERROR(__xludf.DUMMYFUNCTION("""COMPUTED_VALUE"""),"Aaron Shaw")</f>
        <v>Aaron Shaw</v>
      </c>
      <c r="H261" s="16" t="str">
        <f>IFERROR(__xludf.DUMMYFUNCTION("""COMPUTED_VALUE"""),"PartnerConnect - Technology")</f>
        <v>PartnerConnect - Technology</v>
      </c>
      <c r="I261" s="16" t="str">
        <f>IFERROR(__xludf.DUMMYFUNCTION("""COMPUTED_VALUE"""),"514 High Street")</f>
        <v>514 High Street</v>
      </c>
      <c r="J261" s="16"/>
      <c r="K261" s="16" t="str">
        <f>IFERROR(__xludf.DUMMYFUNCTION("""COMPUTED_VALUE"""),"Palo Alto")</f>
        <v>Palo Alto</v>
      </c>
      <c r="L261" s="16" t="str">
        <f>IFERROR(__xludf.DUMMYFUNCTION("""COMPUTED_VALUE"""),"California")</f>
        <v>California</v>
      </c>
      <c r="M261" s="16">
        <f>IFERROR(__xludf.DUMMYFUNCTION("""COMPUTED_VALUE"""),94301.0)</f>
        <v>94301</v>
      </c>
      <c r="N261" s="16" t="str">
        <f>IFERROR(__xludf.DUMMYFUNCTION("""COMPUTED_VALUE"""),"United States")</f>
        <v>United States</v>
      </c>
      <c r="O261" s="16" t="str">
        <f>IFERROR(__xludf.DUMMYFUNCTION("""COMPUTED_VALUE"""),"Medium")</f>
        <v>Medium</v>
      </c>
      <c r="P261" s="16" t="b">
        <f>IFERROR(__xludf.DUMMYFUNCTION("""COMPUTED_VALUE"""),FALSE)</f>
        <v>0</v>
      </c>
      <c r="Q261" s="16" t="b">
        <f>IFERROR(__xludf.DUMMYFUNCTION("""COMPUTED_VALUE"""),TRUE)</f>
        <v>1</v>
      </c>
      <c r="R261" s="16" t="str">
        <f>IFERROR(__xludf.DUMMYFUNCTION("""COMPUTED_VALUE"""),"Support, Technical, NPE User, Delivery Lead / BA")</f>
        <v>Support, Technical, NPE User, Delivery Lead / BA</v>
      </c>
      <c r="S261" s="16" t="str">
        <f>IFERROR(__xludf.DUMMYFUNCTION("""COMPUTED_VALUE"""),"Liberate")</f>
        <v>Liberate</v>
      </c>
      <c r="T261" s="16" t="str">
        <f>IFERROR(__xludf.DUMMYFUNCTION("""COMPUTED_VALUE"""),"Current Partner")</f>
        <v>Current Partner</v>
      </c>
      <c r="U261" s="16" t="b">
        <f>IFERROR(__xludf.DUMMYFUNCTION("""COMPUTED_VALUE"""),TRUE)</f>
        <v>1</v>
      </c>
      <c r="V261" s="16"/>
      <c r="W261" s="16"/>
      <c r="X261" s="16"/>
    </row>
    <row r="262">
      <c r="A262" s="16" t="str">
        <f>IFERROR(__xludf.DUMMYFUNCTION("""COMPUTED_VALUE"""),"Ryan")</f>
        <v>Ryan</v>
      </c>
      <c r="B262" s="16" t="str">
        <f>IFERROR(__xludf.DUMMYFUNCTION("""COMPUTED_VALUE"""),"Tuura")</f>
        <v>Tuura</v>
      </c>
      <c r="C262" s="16" t="str">
        <f>IFERROR(__xludf.DUMMYFUNCTION("""COMPUTED_VALUE"""),"VP, Enterprise Solutions")</f>
        <v>VP, Enterprise Solutions</v>
      </c>
      <c r="D262" s="16" t="str">
        <f>IFERROR(__xludf.DUMMYFUNCTION("""COMPUTED_VALUE"""),"Liberate")</f>
        <v>Liberate</v>
      </c>
      <c r="E262" s="16" t="str">
        <f>IFERROR(__xludf.DUMMYFUNCTION("""COMPUTED_VALUE"""),"Growth")</f>
        <v>Growth</v>
      </c>
      <c r="F262" s="16" t="str">
        <f>IFERROR(__xludf.DUMMYFUNCTION("""COMPUTED_VALUE"""),"ryan.tuura@liberateinc.com")</f>
        <v>ryan.tuura@liberateinc.com</v>
      </c>
      <c r="G262" s="16" t="str">
        <f>IFERROR(__xludf.DUMMYFUNCTION("""COMPUTED_VALUE"""),"Aaron Shaw")</f>
        <v>Aaron Shaw</v>
      </c>
      <c r="H262" s="16" t="str">
        <f>IFERROR(__xludf.DUMMYFUNCTION("""COMPUTED_VALUE"""),"PartnerConnect - Technology")</f>
        <v>PartnerConnect - Technology</v>
      </c>
      <c r="I262" s="16" t="str">
        <f>IFERROR(__xludf.DUMMYFUNCTION("""COMPUTED_VALUE"""),"514 High Street")</f>
        <v>514 High Street</v>
      </c>
      <c r="J262" s="16"/>
      <c r="K262" s="16" t="str">
        <f>IFERROR(__xludf.DUMMYFUNCTION("""COMPUTED_VALUE"""),"Palo Alto")</f>
        <v>Palo Alto</v>
      </c>
      <c r="L262" s="16" t="str">
        <f>IFERROR(__xludf.DUMMYFUNCTION("""COMPUTED_VALUE"""),"California")</f>
        <v>California</v>
      </c>
      <c r="M262" s="16">
        <f>IFERROR(__xludf.DUMMYFUNCTION("""COMPUTED_VALUE"""),94301.0)</f>
        <v>94301</v>
      </c>
      <c r="N262" s="16" t="str">
        <f>IFERROR(__xludf.DUMMYFUNCTION("""COMPUTED_VALUE"""),"United States")</f>
        <v>United States</v>
      </c>
      <c r="O262" s="16" t="str">
        <f>IFERROR(__xludf.DUMMYFUNCTION("""COMPUTED_VALUE"""),"Medium")</f>
        <v>Medium</v>
      </c>
      <c r="P262" s="16" t="b">
        <f>IFERROR(__xludf.DUMMYFUNCTION("""COMPUTED_VALUE"""),TRUE)</f>
        <v>1</v>
      </c>
      <c r="Q262" s="16" t="b">
        <f>IFERROR(__xludf.DUMMYFUNCTION("""COMPUTED_VALUE"""),TRUE)</f>
        <v>1</v>
      </c>
      <c r="R262" s="16" t="str">
        <f>IFERROR(__xludf.DUMMYFUNCTION("""COMPUTED_VALUE"""),"Admin")</f>
        <v>Admin</v>
      </c>
      <c r="S262" s="16" t="str">
        <f>IFERROR(__xludf.DUMMYFUNCTION("""COMPUTED_VALUE"""),"Liberate")</f>
        <v>Liberate</v>
      </c>
      <c r="T262" s="16" t="str">
        <f>IFERROR(__xludf.DUMMYFUNCTION("""COMPUTED_VALUE"""),"Current Partner")</f>
        <v>Current Partner</v>
      </c>
      <c r="U262" s="16" t="b">
        <f>IFERROR(__xludf.DUMMYFUNCTION("""COMPUTED_VALUE"""),FALSE)</f>
        <v>0</v>
      </c>
      <c r="V262" s="16"/>
      <c r="W262" s="16"/>
      <c r="X262" s="16"/>
    </row>
    <row r="263">
      <c r="A263" s="16" t="str">
        <f>IFERROR(__xludf.DUMMYFUNCTION("""COMPUTED_VALUE"""),"Miles")</f>
        <v>Miles</v>
      </c>
      <c r="B263" s="16" t="str">
        <f>IFERROR(__xludf.DUMMYFUNCTION("""COMPUTED_VALUE"""),"Kelly")</f>
        <v>Kelly</v>
      </c>
      <c r="C263" s="16" t="str">
        <f>IFERROR(__xludf.DUMMYFUNCTION("""COMPUTED_VALUE"""),"Vice President, Marketing")</f>
        <v>Vice President, Marketing</v>
      </c>
      <c r="D263" s="16" t="str">
        <f>IFERROR(__xludf.DUMMYFUNCTION("""COMPUTED_VALUE"""),"Liberate")</f>
        <v>Liberate</v>
      </c>
      <c r="E263" s="16" t="str">
        <f>IFERROR(__xludf.DUMMYFUNCTION("""COMPUTED_VALUE"""),"Growth")</f>
        <v>Growth</v>
      </c>
      <c r="F263" s="16" t="str">
        <f>IFERROR(__xludf.DUMMYFUNCTION("""COMPUTED_VALUE"""),"miles.kelly@liberateinc.com")</f>
        <v>miles.kelly@liberateinc.com</v>
      </c>
      <c r="G263" s="16" t="str">
        <f>IFERROR(__xludf.DUMMYFUNCTION("""COMPUTED_VALUE"""),"Aaron Shaw")</f>
        <v>Aaron Shaw</v>
      </c>
      <c r="H263" s="16" t="str">
        <f>IFERROR(__xludf.DUMMYFUNCTION("""COMPUTED_VALUE"""),"PartnerConnect - Technology")</f>
        <v>PartnerConnect - Technology</v>
      </c>
      <c r="I263" s="16" t="str">
        <f>IFERROR(__xludf.DUMMYFUNCTION("""COMPUTED_VALUE"""),"514 High Street")</f>
        <v>514 High Street</v>
      </c>
      <c r="J263" s="16"/>
      <c r="K263" s="16" t="str">
        <f>IFERROR(__xludf.DUMMYFUNCTION("""COMPUTED_VALUE"""),"Palo Alto")</f>
        <v>Palo Alto</v>
      </c>
      <c r="L263" s="16" t="str">
        <f>IFERROR(__xludf.DUMMYFUNCTION("""COMPUTED_VALUE"""),"California")</f>
        <v>California</v>
      </c>
      <c r="M263" s="16">
        <f>IFERROR(__xludf.DUMMYFUNCTION("""COMPUTED_VALUE"""),94301.0)</f>
        <v>94301</v>
      </c>
      <c r="N263" s="16" t="str">
        <f>IFERROR(__xludf.DUMMYFUNCTION("""COMPUTED_VALUE"""),"United States")</f>
        <v>United States</v>
      </c>
      <c r="O263" s="16" t="str">
        <f>IFERROR(__xludf.DUMMYFUNCTION("""COMPUTED_VALUE"""),"Medium")</f>
        <v>Medium</v>
      </c>
      <c r="P263" s="16" t="b">
        <f>IFERROR(__xludf.DUMMYFUNCTION("""COMPUTED_VALUE"""),FALSE)</f>
        <v>0</v>
      </c>
      <c r="Q263" s="16" t="b">
        <f>IFERROR(__xludf.DUMMYFUNCTION("""COMPUTED_VALUE"""),TRUE)</f>
        <v>1</v>
      </c>
      <c r="R263" s="16" t="str">
        <f>IFERROR(__xludf.DUMMYFUNCTION("""COMPUTED_VALUE"""),"Events, Marketing")</f>
        <v>Events, Marketing</v>
      </c>
      <c r="S263" s="16" t="str">
        <f>IFERROR(__xludf.DUMMYFUNCTION("""COMPUTED_VALUE"""),"Liberate")</f>
        <v>Liberate</v>
      </c>
      <c r="T263" s="16" t="str">
        <f>IFERROR(__xludf.DUMMYFUNCTION("""COMPUTED_VALUE"""),"Current Partner")</f>
        <v>Current Partner</v>
      </c>
      <c r="U263" s="16" t="b">
        <f>IFERROR(__xludf.DUMMYFUNCTION("""COMPUTED_VALUE"""),FALSE)</f>
        <v>0</v>
      </c>
      <c r="V263" s="16"/>
      <c r="W263" s="16"/>
      <c r="X263" s="16"/>
    </row>
    <row r="264">
      <c r="A264" s="16" t="str">
        <f>IFERROR(__xludf.DUMMYFUNCTION("""COMPUTED_VALUE"""),"Mike")</f>
        <v>Mike</v>
      </c>
      <c r="B264" s="16" t="str">
        <f>IFERROR(__xludf.DUMMYFUNCTION("""COMPUTED_VALUE"""),"Simpson")</f>
        <v>Simpson</v>
      </c>
      <c r="C264" s="16" t="str">
        <f>IFERROR(__xludf.DUMMYFUNCTION("""COMPUTED_VALUE"""),"CEO")</f>
        <v>CEO</v>
      </c>
      <c r="D264" s="16" t="str">
        <f>IFERROR(__xludf.DUMMYFUNCTION("""COMPUTED_VALUE"""),"Locii Pty Ltd (Trading as Truuth)")</f>
        <v>Locii Pty Ltd (Trading as Truuth)</v>
      </c>
      <c r="E264" s="16" t="str">
        <f>IFERROR(__xludf.DUMMYFUNCTION("""COMPUTED_VALUE"""),"Growth")</f>
        <v>Growth</v>
      </c>
      <c r="F264" s="16" t="str">
        <f>IFERROR(__xludf.DUMMYFUNCTION("""COMPUTED_VALUE"""),"mike.simpson@truuth.id")</f>
        <v>mike.simpson@truuth.id</v>
      </c>
      <c r="G264" s="16" t="str">
        <f>IFERROR(__xludf.DUMMYFUNCTION("""COMPUTED_VALUE"""),"Shannon Spies")</f>
        <v>Shannon Spies</v>
      </c>
      <c r="H264" s="16" t="str">
        <f>IFERROR(__xludf.DUMMYFUNCTION("""COMPUTED_VALUE"""),"PartnerConnect - Technology")</f>
        <v>PartnerConnect - Technology</v>
      </c>
      <c r="I264" s="16" t="str">
        <f>IFERROR(__xludf.DUMMYFUNCTION("""COMPUTED_VALUE"""),"477 Pitt St")</f>
        <v>477 Pitt St</v>
      </c>
      <c r="J264" s="16"/>
      <c r="K264" s="16" t="str">
        <f>IFERROR(__xludf.DUMMYFUNCTION("""COMPUTED_VALUE"""),"Sydney")</f>
        <v>Sydney</v>
      </c>
      <c r="L264" s="16" t="str">
        <f>IFERROR(__xludf.DUMMYFUNCTION("""COMPUTED_VALUE"""),"New South Wales")</f>
        <v>New South Wales</v>
      </c>
      <c r="M264" s="16">
        <f>IFERROR(__xludf.DUMMYFUNCTION("""COMPUTED_VALUE"""),2000.0)</f>
        <v>2000</v>
      </c>
      <c r="N264" s="16" t="str">
        <f>IFERROR(__xludf.DUMMYFUNCTION("""COMPUTED_VALUE"""),"Australia")</f>
        <v>Australia</v>
      </c>
      <c r="O264" s="16" t="str">
        <f>IFERROR(__xludf.DUMMYFUNCTION("""COMPUTED_VALUE"""),"Medium")</f>
        <v>Medium</v>
      </c>
      <c r="P264" s="16" t="b">
        <f>IFERROR(__xludf.DUMMYFUNCTION("""COMPUTED_VALUE"""),TRUE)</f>
        <v>1</v>
      </c>
      <c r="Q264" s="16" t="b">
        <f>IFERROR(__xludf.DUMMYFUNCTION("""COMPUTED_VALUE"""),FALSE)</f>
        <v>0</v>
      </c>
      <c r="R264" s="16" t="str">
        <f>IFERROR(__xludf.DUMMYFUNCTION("""COMPUTED_VALUE"""),"Admin, Business, Events, Legal / Contracts, Marketing, Support, Technical, Training, Main Billing Contact, Billing Contact  LMS Training Fees, NPE User, Sales Solution Architect, Delivery Lead / BA, Client Partner / Partner Account Executive")</f>
        <v>Admin, Business, Events, Legal / Contracts, Marketing, Support, Technical, Training, Main Billing Contact, Billing Contact  LMS Training Fees, NPE User, Sales Solution Architect, Delivery Lead / BA, Client Partner / Partner Account Executive</v>
      </c>
      <c r="S264" s="16" t="str">
        <f>IFERROR(__xludf.DUMMYFUNCTION("""COMPUTED_VALUE"""),"Truuth ID")</f>
        <v>Truuth ID</v>
      </c>
      <c r="T264" s="16" t="str">
        <f>IFERROR(__xludf.DUMMYFUNCTION("""COMPUTED_VALUE"""),"Current Partner")</f>
        <v>Current Partner</v>
      </c>
      <c r="U264" s="16" t="b">
        <f>IFERROR(__xludf.DUMMYFUNCTION("""COMPUTED_VALUE"""),TRUE)</f>
        <v>1</v>
      </c>
      <c r="V264" s="16"/>
      <c r="W264" s="16"/>
      <c r="X264" s="16"/>
    </row>
    <row r="265">
      <c r="A265" s="16" t="str">
        <f>IFERROR(__xludf.DUMMYFUNCTION("""COMPUTED_VALUE"""),"Colin")</f>
        <v>Colin</v>
      </c>
      <c r="B265" s="16" t="str">
        <f>IFERROR(__xludf.DUMMYFUNCTION("""COMPUTED_VALUE"""),"Frost")</f>
        <v>Frost</v>
      </c>
      <c r="C265" s="16" t="str">
        <f>IFERROR(__xludf.DUMMYFUNCTION("""COMPUTED_VALUE"""),"Alliances and Partnerships")</f>
        <v>Alliances and Partnerships</v>
      </c>
      <c r="D265" s="16" t="str">
        <f>IFERROR(__xludf.DUMMYFUNCTION("""COMPUTED_VALUE"""),"Locii Pty Ltd (Trading as Truuth)")</f>
        <v>Locii Pty Ltd (Trading as Truuth)</v>
      </c>
      <c r="E265" s="16" t="str">
        <f>IFERROR(__xludf.DUMMYFUNCTION("""COMPUTED_VALUE"""),"Growth")</f>
        <v>Growth</v>
      </c>
      <c r="F265" s="16" t="str">
        <f>IFERROR(__xludf.DUMMYFUNCTION("""COMPUTED_VALUE"""),"colin.frost@truuth.id")</f>
        <v>colin.frost@truuth.id</v>
      </c>
      <c r="G265" s="16" t="str">
        <f>IFERROR(__xludf.DUMMYFUNCTION("""COMPUTED_VALUE"""),"Shannon Spies")</f>
        <v>Shannon Spies</v>
      </c>
      <c r="H265" s="16" t="str">
        <f>IFERROR(__xludf.DUMMYFUNCTION("""COMPUTED_VALUE"""),"PartnerConnect - Technology")</f>
        <v>PartnerConnect - Technology</v>
      </c>
      <c r="I265" s="16"/>
      <c r="J265" s="16"/>
      <c r="K265" s="16"/>
      <c r="L265" s="16"/>
      <c r="M265" s="16"/>
      <c r="N265" s="16" t="str">
        <f>IFERROR(__xludf.DUMMYFUNCTION("""COMPUTED_VALUE"""),"Australia")</f>
        <v>Australia</v>
      </c>
      <c r="O265" s="16" t="str">
        <f>IFERROR(__xludf.DUMMYFUNCTION("""COMPUTED_VALUE"""),"Medium")</f>
        <v>Medium</v>
      </c>
      <c r="P265" s="16" t="b">
        <f>IFERROR(__xludf.DUMMYFUNCTION("""COMPUTED_VALUE"""),TRUE)</f>
        <v>1</v>
      </c>
      <c r="Q265" s="16" t="b">
        <f>IFERROR(__xludf.DUMMYFUNCTION("""COMPUTED_VALUE"""),FALSE)</f>
        <v>0</v>
      </c>
      <c r="R265" s="16" t="str">
        <f>IFERROR(__xludf.DUMMYFUNCTION("""COMPUTED_VALUE"""),"Admin, Marketing, Support, Sales Solution Architect, Client Partner / Partner Account Executive")</f>
        <v>Admin, Marketing, Support, Sales Solution Architect, Client Partner / Partner Account Executive</v>
      </c>
      <c r="S265" s="16" t="str">
        <f>IFERROR(__xludf.DUMMYFUNCTION("""COMPUTED_VALUE"""),"Truuth ID")</f>
        <v>Truuth ID</v>
      </c>
      <c r="T265" s="16" t="str">
        <f>IFERROR(__xludf.DUMMYFUNCTION("""COMPUTED_VALUE"""),"Current Partner")</f>
        <v>Current Partner</v>
      </c>
      <c r="U265" s="16" t="b">
        <f>IFERROR(__xludf.DUMMYFUNCTION("""COMPUTED_VALUE"""),FALSE)</f>
        <v>0</v>
      </c>
      <c r="V265" s="16"/>
      <c r="W265" s="16"/>
      <c r="X265" s="16"/>
    </row>
    <row r="266">
      <c r="A266" s="16" t="str">
        <f>IFERROR(__xludf.DUMMYFUNCTION("""COMPUTED_VALUE"""),"Brandon")</f>
        <v>Brandon</v>
      </c>
      <c r="B266" s="16" t="str">
        <f>IFERROR(__xludf.DUMMYFUNCTION("""COMPUTED_VALUE"""),"Hall")</f>
        <v>Hall</v>
      </c>
      <c r="C266" s="16" t="str">
        <f>IFERROR(__xludf.DUMMYFUNCTION("""COMPUTED_VALUE"""),"CEO")</f>
        <v>CEO</v>
      </c>
      <c r="D266" s="16" t="str">
        <f>IFERROR(__xludf.DUMMYFUNCTION("""COMPUTED_VALUE"""),"LossExpress")</f>
        <v>LossExpress</v>
      </c>
      <c r="E266" s="16" t="str">
        <f>IFERROR(__xludf.DUMMYFUNCTION("""COMPUTED_VALUE"""),"Growth")</f>
        <v>Growth</v>
      </c>
      <c r="F266" s="16" t="str">
        <f>IFERROR(__xludf.DUMMYFUNCTION("""COMPUTED_VALUE"""),"brandon@withepic.com")</f>
        <v>brandon@withepic.com</v>
      </c>
      <c r="G266" s="16" t="str">
        <f>IFERROR(__xludf.DUMMYFUNCTION("""COMPUTED_VALUE"""),"Aaron Shaw")</f>
        <v>Aaron Shaw</v>
      </c>
      <c r="H266" s="16" t="str">
        <f>IFERROR(__xludf.DUMMYFUNCTION("""COMPUTED_VALUE"""),"PartnerConnect - Technology")</f>
        <v>PartnerConnect - Technology</v>
      </c>
      <c r="I266" s="16" t="str">
        <f>IFERROR(__xludf.DUMMYFUNCTION("""COMPUTED_VALUE"""),"1919 S. Shiloh Rd, Suite 310")</f>
        <v>1919 S. Shiloh Rd, Suite 310</v>
      </c>
      <c r="J266" s="16"/>
      <c r="K266" s="16" t="str">
        <f>IFERROR(__xludf.DUMMYFUNCTION("""COMPUTED_VALUE"""),"Rockwall")</f>
        <v>Rockwall</v>
      </c>
      <c r="L266" s="16" t="str">
        <f>IFERROR(__xludf.DUMMYFUNCTION("""COMPUTED_VALUE"""),"Texas")</f>
        <v>Texas</v>
      </c>
      <c r="M266" s="16">
        <f>IFERROR(__xludf.DUMMYFUNCTION("""COMPUTED_VALUE"""),75042.0)</f>
        <v>75042</v>
      </c>
      <c r="N266" s="16" t="str">
        <f>IFERROR(__xludf.DUMMYFUNCTION("""COMPUTED_VALUE"""),"United States")</f>
        <v>United States</v>
      </c>
      <c r="O266" s="16" t="str">
        <f>IFERROR(__xludf.DUMMYFUNCTION("""COMPUTED_VALUE"""),"Medium")</f>
        <v>Medium</v>
      </c>
      <c r="P266" s="16" t="b">
        <f>IFERROR(__xludf.DUMMYFUNCTION("""COMPUTED_VALUE"""),TRUE)</f>
        <v>1</v>
      </c>
      <c r="Q266" s="16" t="b">
        <f>IFERROR(__xludf.DUMMYFUNCTION("""COMPUTED_VALUE"""),TRUE)</f>
        <v>1</v>
      </c>
      <c r="R266" s="16" t="str">
        <f>IFERROR(__xludf.DUMMYFUNCTION("""COMPUTED_VALUE"""),"Admin, Business, Events, Marketing")</f>
        <v>Admin, Business, Events, Marketing</v>
      </c>
      <c r="S266" s="16" t="str">
        <f>IFERROR(__xludf.DUMMYFUNCTION("""COMPUTED_VALUE"""),"LossExpress")</f>
        <v>LossExpress</v>
      </c>
      <c r="T266" s="16" t="str">
        <f>IFERROR(__xludf.DUMMYFUNCTION("""COMPUTED_VALUE"""),"Current Partner")</f>
        <v>Current Partner</v>
      </c>
      <c r="U266" s="16" t="b">
        <f>IFERROR(__xludf.DUMMYFUNCTION("""COMPUTED_VALUE"""),FALSE)</f>
        <v>0</v>
      </c>
      <c r="V266" s="16"/>
      <c r="W266" s="16"/>
      <c r="X266" s="16"/>
    </row>
    <row r="267">
      <c r="A267" s="16" t="str">
        <f>IFERROR(__xludf.DUMMYFUNCTION("""COMPUTED_VALUE"""),"Patrick")</f>
        <v>Patrick</v>
      </c>
      <c r="B267" s="16" t="str">
        <f>IFERROR(__xludf.DUMMYFUNCTION("""COMPUTED_VALUE"""),"Davis")</f>
        <v>Davis</v>
      </c>
      <c r="C267" s="16" t="str">
        <f>IFERROR(__xludf.DUMMYFUNCTION("""COMPUTED_VALUE"""),"CEO")</f>
        <v>CEO</v>
      </c>
      <c r="D267" s="16" t="str">
        <f>IFERROR(__xludf.DUMMYFUNCTION("""COMPUTED_VALUE"""),"Majesco Loss Control")</f>
        <v>Majesco Loss Control</v>
      </c>
      <c r="E267" s="16" t="str">
        <f>IFERROR(__xludf.DUMMYFUNCTION("""COMPUTED_VALUE"""),"Growth")</f>
        <v>Growth</v>
      </c>
      <c r="F267" s="16" t="str">
        <f>IFERROR(__xludf.DUMMYFUNCTION("""COMPUTED_VALUE"""),"pdavis@utilant.com")</f>
        <v>pdavis@utilant.com</v>
      </c>
      <c r="G267" s="16" t="str">
        <f>IFERROR(__xludf.DUMMYFUNCTION("""COMPUTED_VALUE"""),"Aaron Shaw")</f>
        <v>Aaron Shaw</v>
      </c>
      <c r="H267" s="16" t="str">
        <f>IFERROR(__xludf.DUMMYFUNCTION("""COMPUTED_VALUE"""),"PartnerConnect - Technology")</f>
        <v>PartnerConnect - Technology</v>
      </c>
      <c r="I267" s="16" t="str">
        <f>IFERROR(__xludf.DUMMYFUNCTION("""COMPUTED_VALUE"""),"1738 Elmwood Ave #104")</f>
        <v>1738 Elmwood Ave #104</v>
      </c>
      <c r="J267" s="16"/>
      <c r="K267" s="16" t="str">
        <f>IFERROR(__xludf.DUMMYFUNCTION("""COMPUTED_VALUE"""),"Buffalo")</f>
        <v>Buffalo</v>
      </c>
      <c r="L267" s="16" t="str">
        <f>IFERROR(__xludf.DUMMYFUNCTION("""COMPUTED_VALUE"""),"New York")</f>
        <v>New York</v>
      </c>
      <c r="M267" s="16">
        <f>IFERROR(__xludf.DUMMYFUNCTION("""COMPUTED_VALUE"""),14207.0)</f>
        <v>14207</v>
      </c>
      <c r="N267" s="16" t="str">
        <f>IFERROR(__xludf.DUMMYFUNCTION("""COMPUTED_VALUE"""),"United States")</f>
        <v>United States</v>
      </c>
      <c r="O267" s="16" t="str">
        <f>IFERROR(__xludf.DUMMYFUNCTION("""COMPUTED_VALUE"""),"Medium")</f>
        <v>Medium</v>
      </c>
      <c r="P267" s="16" t="b">
        <f>IFERROR(__xludf.DUMMYFUNCTION("""COMPUTED_VALUE"""),FALSE)</f>
        <v>0</v>
      </c>
      <c r="Q267" s="16" t="b">
        <f>IFERROR(__xludf.DUMMYFUNCTION("""COMPUTED_VALUE"""),TRUE)</f>
        <v>1</v>
      </c>
      <c r="R267" s="16" t="str">
        <f>IFERROR(__xludf.DUMMYFUNCTION("""COMPUTED_VALUE"""),"Business, Events, Marketing")</f>
        <v>Business, Events, Marketing</v>
      </c>
      <c r="S267" s="16" t="str">
        <f>IFERROR(__xludf.DUMMYFUNCTION("""COMPUTED_VALUE"""),"Majesco Loss Control")</f>
        <v>Majesco Loss Control</v>
      </c>
      <c r="T267" s="16" t="str">
        <f>IFERROR(__xludf.DUMMYFUNCTION("""COMPUTED_VALUE"""),"Current Partner")</f>
        <v>Current Partner</v>
      </c>
      <c r="U267" s="16" t="b">
        <f>IFERROR(__xludf.DUMMYFUNCTION("""COMPUTED_VALUE"""),FALSE)</f>
        <v>0</v>
      </c>
      <c r="V267" s="16"/>
      <c r="W267" s="16"/>
      <c r="X267" s="16"/>
    </row>
    <row r="268">
      <c r="A268" s="16" t="str">
        <f>IFERROR(__xludf.DUMMYFUNCTION("""COMPUTED_VALUE"""),"Eric")</f>
        <v>Eric</v>
      </c>
      <c r="B268" s="16" t="str">
        <f>IFERROR(__xludf.DUMMYFUNCTION("""COMPUTED_VALUE"""),"Braun")</f>
        <v>Braun</v>
      </c>
      <c r="C268" s="16"/>
      <c r="D268" s="16" t="str">
        <f>IFERROR(__xludf.DUMMYFUNCTION("""COMPUTED_VALUE"""),"Majesco Loss Control")</f>
        <v>Majesco Loss Control</v>
      </c>
      <c r="E268" s="16" t="str">
        <f>IFERROR(__xludf.DUMMYFUNCTION("""COMPUTED_VALUE"""),"Growth")</f>
        <v>Growth</v>
      </c>
      <c r="F268" s="16" t="str">
        <f>IFERROR(__xludf.DUMMYFUNCTION("""COMPUTED_VALUE"""),"ericb@utilant.com")</f>
        <v>ericb@utilant.com</v>
      </c>
      <c r="G268" s="16" t="str">
        <f>IFERROR(__xludf.DUMMYFUNCTION("""COMPUTED_VALUE"""),"Aaron Shaw")</f>
        <v>Aaron Shaw</v>
      </c>
      <c r="H268" s="16" t="str">
        <f>IFERROR(__xludf.DUMMYFUNCTION("""COMPUTED_VALUE"""),"PartnerConnect - Technology")</f>
        <v>PartnerConnect - Technology</v>
      </c>
      <c r="I268" s="16" t="str">
        <f>IFERROR(__xludf.DUMMYFUNCTION("""COMPUTED_VALUE"""),"412 Mt Kemble Ave
")</f>
        <v>412 Mt Kemble Ave
</v>
      </c>
      <c r="J268" s="16" t="str">
        <f>IFERROR(__xludf.DUMMYFUNCTION("""COMPUTED_VALUE"""),"Ste 110C")</f>
        <v>Ste 110C</v>
      </c>
      <c r="K268" s="16" t="str">
        <f>IFERROR(__xludf.DUMMYFUNCTION("""COMPUTED_VALUE"""),"Morristown")</f>
        <v>Morristown</v>
      </c>
      <c r="L268" s="16" t="str">
        <f>IFERROR(__xludf.DUMMYFUNCTION("""COMPUTED_VALUE"""),"New Jersey")</f>
        <v>New Jersey</v>
      </c>
      <c r="M268" s="16">
        <f>IFERROR(__xludf.DUMMYFUNCTION("""COMPUTED_VALUE"""),7960.0)</f>
        <v>7960</v>
      </c>
      <c r="N268" s="16" t="str">
        <f>IFERROR(__xludf.DUMMYFUNCTION("""COMPUTED_VALUE"""),"United States")</f>
        <v>United States</v>
      </c>
      <c r="O268" s="16" t="str">
        <f>IFERROR(__xludf.DUMMYFUNCTION("""COMPUTED_VALUE"""),"Medium")</f>
        <v>Medium</v>
      </c>
      <c r="P268" s="16" t="b">
        <f>IFERROR(__xludf.DUMMYFUNCTION("""COMPUTED_VALUE"""),FALSE)</f>
        <v>0</v>
      </c>
      <c r="Q268" s="16" t="b">
        <f>IFERROR(__xludf.DUMMYFUNCTION("""COMPUTED_VALUE"""),TRUE)</f>
        <v>1</v>
      </c>
      <c r="R268" s="16" t="str">
        <f>IFERROR(__xludf.DUMMYFUNCTION("""COMPUTED_VALUE"""),"Business, Events, Marketing")</f>
        <v>Business, Events, Marketing</v>
      </c>
      <c r="S268" s="16" t="str">
        <f>IFERROR(__xludf.DUMMYFUNCTION("""COMPUTED_VALUE"""),"Majesco Loss Control")</f>
        <v>Majesco Loss Control</v>
      </c>
      <c r="T268" s="16" t="str">
        <f>IFERROR(__xludf.DUMMYFUNCTION("""COMPUTED_VALUE"""),"Current Partner")</f>
        <v>Current Partner</v>
      </c>
      <c r="U268" s="16" t="b">
        <f>IFERROR(__xludf.DUMMYFUNCTION("""COMPUTED_VALUE"""),FALSE)</f>
        <v>0</v>
      </c>
      <c r="V268" s="16"/>
      <c r="W268" s="16"/>
      <c r="X268" s="16"/>
    </row>
    <row r="269">
      <c r="A269" s="16" t="str">
        <f>IFERROR(__xludf.DUMMYFUNCTION("""COMPUTED_VALUE"""),"Melis")</f>
        <v>Melis</v>
      </c>
      <c r="B269" s="16" t="str">
        <f>IFERROR(__xludf.DUMMYFUNCTION("""COMPUTED_VALUE"""),"Carroll")</f>
        <v>Carroll</v>
      </c>
      <c r="C269" s="16" t="str">
        <f>IFERROR(__xludf.DUMMYFUNCTION("""COMPUTED_VALUE"""),"Vice President, Product Marketing")</f>
        <v>Vice President, Product Marketing</v>
      </c>
      <c r="D269" s="16" t="str">
        <f>IFERROR(__xludf.DUMMYFUNCTION("""COMPUTED_VALUE"""),"Majesco Loss Control")</f>
        <v>Majesco Loss Control</v>
      </c>
      <c r="E269" s="16" t="str">
        <f>IFERROR(__xludf.DUMMYFUNCTION("""COMPUTED_VALUE"""),"Growth")</f>
        <v>Growth</v>
      </c>
      <c r="F269" s="16" t="str">
        <f>IFERROR(__xludf.DUMMYFUNCTION("""COMPUTED_VALUE"""),"melis.carroll@majesco.com")</f>
        <v>melis.carroll@majesco.com</v>
      </c>
      <c r="G269" s="16" t="str">
        <f>IFERROR(__xludf.DUMMYFUNCTION("""COMPUTED_VALUE"""),"Aaron Shaw")</f>
        <v>Aaron Shaw</v>
      </c>
      <c r="H269" s="16" t="str">
        <f>IFERROR(__xludf.DUMMYFUNCTION("""COMPUTED_VALUE"""),"PartnerConnect - Technology")</f>
        <v>PartnerConnect - Technology</v>
      </c>
      <c r="I269" s="16"/>
      <c r="J269" s="16"/>
      <c r="K269" s="16"/>
      <c r="L269" s="16"/>
      <c r="M269" s="16"/>
      <c r="N269" s="16" t="str">
        <f>IFERROR(__xludf.DUMMYFUNCTION("""COMPUTED_VALUE"""),"United States")</f>
        <v>United States</v>
      </c>
      <c r="O269" s="16" t="str">
        <f>IFERROR(__xludf.DUMMYFUNCTION("""COMPUTED_VALUE"""),"Medium")</f>
        <v>Medium</v>
      </c>
      <c r="P269" s="16" t="b">
        <f>IFERROR(__xludf.DUMMYFUNCTION("""COMPUTED_VALUE"""),TRUE)</f>
        <v>1</v>
      </c>
      <c r="Q269" s="16" t="b">
        <f>IFERROR(__xludf.DUMMYFUNCTION("""COMPUTED_VALUE"""),FALSE)</f>
        <v>0</v>
      </c>
      <c r="R269" s="16" t="str">
        <f>IFERROR(__xludf.DUMMYFUNCTION("""COMPUTED_VALUE"""),"Admin, Events, Marketing")</f>
        <v>Admin, Events, Marketing</v>
      </c>
      <c r="S269" s="16" t="str">
        <f>IFERROR(__xludf.DUMMYFUNCTION("""COMPUTED_VALUE"""),"Majesco Loss Control")</f>
        <v>Majesco Loss Control</v>
      </c>
      <c r="T269" s="16" t="str">
        <f>IFERROR(__xludf.DUMMYFUNCTION("""COMPUTED_VALUE"""),"Current Partner")</f>
        <v>Current Partner</v>
      </c>
      <c r="U269" s="16" t="b">
        <f>IFERROR(__xludf.DUMMYFUNCTION("""COMPUTED_VALUE"""),FALSE)</f>
        <v>0</v>
      </c>
      <c r="V269" s="16"/>
      <c r="W269" s="16"/>
      <c r="X269" s="16"/>
    </row>
    <row r="270">
      <c r="A270" s="16" t="str">
        <f>IFERROR(__xludf.DUMMYFUNCTION("""COMPUTED_VALUE"""),"Carrie")</f>
        <v>Carrie</v>
      </c>
      <c r="B270" s="16" t="str">
        <f>IFERROR(__xludf.DUMMYFUNCTION("""COMPUTED_VALUE"""),"Warren")</f>
        <v>Warren</v>
      </c>
      <c r="C270" s="16" t="str">
        <f>IFERROR(__xludf.DUMMYFUNCTION("""COMPUTED_VALUE"""),"Product Marketing Specialist")</f>
        <v>Product Marketing Specialist</v>
      </c>
      <c r="D270" s="16" t="str">
        <f>IFERROR(__xludf.DUMMYFUNCTION("""COMPUTED_VALUE"""),"Majesco Loss Control")</f>
        <v>Majesco Loss Control</v>
      </c>
      <c r="E270" s="16" t="str">
        <f>IFERROR(__xludf.DUMMYFUNCTION("""COMPUTED_VALUE"""),"Growth")</f>
        <v>Growth</v>
      </c>
      <c r="F270" s="16" t="str">
        <f>IFERROR(__xludf.DUMMYFUNCTION("""COMPUTED_VALUE"""),"carrie.warren@majesco.com")</f>
        <v>carrie.warren@majesco.com</v>
      </c>
      <c r="G270" s="16" t="str">
        <f>IFERROR(__xludf.DUMMYFUNCTION("""COMPUTED_VALUE"""),"Aaron Shaw")</f>
        <v>Aaron Shaw</v>
      </c>
      <c r="H270" s="16" t="str">
        <f>IFERROR(__xludf.DUMMYFUNCTION("""COMPUTED_VALUE"""),"PartnerConnect - Technology")</f>
        <v>PartnerConnect - Technology</v>
      </c>
      <c r="I270" s="16"/>
      <c r="J270" s="16"/>
      <c r="K270" s="16"/>
      <c r="L270" s="16"/>
      <c r="M270" s="16"/>
      <c r="N270" s="16" t="str">
        <f>IFERROR(__xludf.DUMMYFUNCTION("""COMPUTED_VALUE"""),"United States")</f>
        <v>United States</v>
      </c>
      <c r="O270" s="16" t="str">
        <f>IFERROR(__xludf.DUMMYFUNCTION("""COMPUTED_VALUE"""),"Medium")</f>
        <v>Medium</v>
      </c>
      <c r="P270" s="16" t="b">
        <f>IFERROR(__xludf.DUMMYFUNCTION("""COMPUTED_VALUE"""),TRUE)</f>
        <v>1</v>
      </c>
      <c r="Q270" s="16" t="b">
        <f>IFERROR(__xludf.DUMMYFUNCTION("""COMPUTED_VALUE"""),FALSE)</f>
        <v>0</v>
      </c>
      <c r="R270" s="16" t="str">
        <f>IFERROR(__xludf.DUMMYFUNCTION("""COMPUTED_VALUE"""),"Admin, Events, Marketing")</f>
        <v>Admin, Events, Marketing</v>
      </c>
      <c r="S270" s="16" t="str">
        <f>IFERROR(__xludf.DUMMYFUNCTION("""COMPUTED_VALUE"""),"Majesco Loss Control")</f>
        <v>Majesco Loss Control</v>
      </c>
      <c r="T270" s="16" t="str">
        <f>IFERROR(__xludf.DUMMYFUNCTION("""COMPUTED_VALUE"""),"Current Partner")</f>
        <v>Current Partner</v>
      </c>
      <c r="U270" s="16" t="b">
        <f>IFERROR(__xludf.DUMMYFUNCTION("""COMPUTED_VALUE"""),FALSE)</f>
        <v>0</v>
      </c>
      <c r="V270" s="16"/>
      <c r="W270" s="16"/>
      <c r="X270" s="16"/>
    </row>
    <row r="271">
      <c r="A271" s="16" t="str">
        <f>IFERROR(__xludf.DUMMYFUNCTION("""COMPUTED_VALUE"""),"Holly")</f>
        <v>Holly</v>
      </c>
      <c r="B271" s="16" t="str">
        <f>IFERROR(__xludf.DUMMYFUNCTION("""COMPUTED_VALUE"""),"Dunne")</f>
        <v>Dunne</v>
      </c>
      <c r="C271" s="16"/>
      <c r="D271" s="16" t="str">
        <f>IFERROR(__xludf.DUMMYFUNCTION("""COMPUTED_VALUE"""),"Manifest Climate")</f>
        <v>Manifest Climate</v>
      </c>
      <c r="E271" s="16" t="str">
        <f>IFERROR(__xludf.DUMMYFUNCTION("""COMPUTED_VALUE"""),"Insurtech Vanguard")</f>
        <v>Insurtech Vanguard</v>
      </c>
      <c r="F271" s="16" t="str">
        <f>IFERROR(__xludf.DUMMYFUNCTION("""COMPUTED_VALUE"""),"holly.dunne@manifestclimate.com")</f>
        <v>holly.dunne@manifestclimate.com</v>
      </c>
      <c r="G271" s="16" t="str">
        <f>IFERROR(__xludf.DUMMYFUNCTION("""COMPUTED_VALUE"""),"Shannon Spies")</f>
        <v>Shannon Spies</v>
      </c>
      <c r="H271" s="16"/>
      <c r="I271" s="16"/>
      <c r="J271" s="16"/>
      <c r="K271" s="16"/>
      <c r="L271" s="16"/>
      <c r="M271" s="16"/>
      <c r="N271" s="16"/>
      <c r="O271" s="16"/>
      <c r="P271" s="16" t="b">
        <f>IFERROR(__xludf.DUMMYFUNCTION("""COMPUTED_VALUE"""),TRUE)</f>
        <v>1</v>
      </c>
      <c r="Q271" s="16" t="b">
        <f>IFERROR(__xludf.DUMMYFUNCTION("""COMPUTED_VALUE"""),FALSE)</f>
        <v>0</v>
      </c>
      <c r="R271" s="16" t="str">
        <f>IFERROR(__xludf.DUMMYFUNCTION("""COMPUTED_VALUE"""),"")</f>
        <v/>
      </c>
      <c r="S271" s="16" t="str">
        <f>IFERROR(__xludf.DUMMYFUNCTION("""COMPUTED_VALUE"""),"Manifest Climate")</f>
        <v>Manifest Climate</v>
      </c>
      <c r="T271" s="16" t="str">
        <f>IFERROR(__xludf.DUMMYFUNCTION("""COMPUTED_VALUE"""),"Current Vanguard")</f>
        <v>Current Vanguard</v>
      </c>
      <c r="U271" s="16" t="b">
        <f>IFERROR(__xludf.DUMMYFUNCTION("""COMPUTED_VALUE"""),FALSE)</f>
        <v>0</v>
      </c>
      <c r="V271" s="16"/>
      <c r="W271" s="16"/>
      <c r="X271" s="16"/>
    </row>
    <row r="272">
      <c r="A272" s="16" t="str">
        <f>IFERROR(__xludf.DUMMYFUNCTION("""COMPUTED_VALUE"""),"Graeme")</f>
        <v>Graeme</v>
      </c>
      <c r="B272" s="16" t="str">
        <f>IFERROR(__xludf.DUMMYFUNCTION("""COMPUTED_VALUE"""),"Asquith")</f>
        <v>Asquith</v>
      </c>
      <c r="C272" s="16" t="str">
        <f>IFERROR(__xludf.DUMMYFUNCTION("""COMPUTED_VALUE"""),"UK Managing Director")</f>
        <v>UK Managing Director</v>
      </c>
      <c r="D272" s="16" t="str">
        <f>IFERROR(__xludf.DUMMYFUNCTION("""COMPUTED_VALUE"""),"mea platform")</f>
        <v>mea platform</v>
      </c>
      <c r="E272" s="16" t="str">
        <f>IFERROR(__xludf.DUMMYFUNCTION("""COMPUTED_VALUE"""),"Insurtech Vanguard")</f>
        <v>Insurtech Vanguard</v>
      </c>
      <c r="F272" s="16" t="str">
        <f>IFERROR(__xludf.DUMMYFUNCTION("""COMPUTED_VALUE"""),"graeme.asquith@meaplatform.com")</f>
        <v>graeme.asquith@meaplatform.com</v>
      </c>
      <c r="G272" s="16" t="str">
        <f>IFERROR(__xludf.DUMMYFUNCTION("""COMPUTED_VALUE"""),"Shannon Spies")</f>
        <v>Shannon Spies</v>
      </c>
      <c r="H272" s="16"/>
      <c r="I272" s="16"/>
      <c r="J272" s="16"/>
      <c r="K272" s="16" t="str">
        <f>IFERROR(__xludf.DUMMYFUNCTION("""COMPUTED_VALUE"""),"London")</f>
        <v>London</v>
      </c>
      <c r="L272" s="16"/>
      <c r="M272" s="16"/>
      <c r="N272" s="16" t="str">
        <f>IFERROR(__xludf.DUMMYFUNCTION("""COMPUTED_VALUE"""),"United Kingdom")</f>
        <v>United Kingdom</v>
      </c>
      <c r="O272" s="16"/>
      <c r="P272" s="16" t="b">
        <f>IFERROR(__xludf.DUMMYFUNCTION("""COMPUTED_VALUE"""),TRUE)</f>
        <v>1</v>
      </c>
      <c r="Q272" s="16" t="b">
        <f>IFERROR(__xludf.DUMMYFUNCTION("""COMPUTED_VALUE"""),FALSE)</f>
        <v>0</v>
      </c>
      <c r="R272" s="16" t="str">
        <f>IFERROR(__xludf.DUMMYFUNCTION("""COMPUTED_VALUE"""),"")</f>
        <v/>
      </c>
      <c r="S272" s="16" t="str">
        <f>IFERROR(__xludf.DUMMYFUNCTION("""COMPUTED_VALUE"""),"mea platform")</f>
        <v>mea platform</v>
      </c>
      <c r="T272" s="16" t="str">
        <f>IFERROR(__xludf.DUMMYFUNCTION("""COMPUTED_VALUE"""),"Current Vanguard")</f>
        <v>Current Vanguard</v>
      </c>
      <c r="U272" s="16" t="b">
        <f>IFERROR(__xludf.DUMMYFUNCTION("""COMPUTED_VALUE"""),FALSE)</f>
        <v>0</v>
      </c>
      <c r="V272" s="16"/>
      <c r="W272" s="16"/>
      <c r="X272" s="16"/>
    </row>
    <row r="273">
      <c r="A273" s="16" t="str">
        <f>IFERROR(__xludf.DUMMYFUNCTION("""COMPUTED_VALUE"""),"Glenn")</f>
        <v>Glenn</v>
      </c>
      <c r="B273" s="16" t="str">
        <f>IFERROR(__xludf.DUMMYFUNCTION("""COMPUTED_VALUE"""),"Manlongat")</f>
        <v>Manlongat</v>
      </c>
      <c r="C273" s="16" t="str">
        <f>IFERROR(__xludf.DUMMYFUNCTION("""COMPUTED_VALUE"""),"Director, Global Strategic Alliances")</f>
        <v>Director, Global Strategic Alliances</v>
      </c>
      <c r="D273" s="16" t="str">
        <f>IFERROR(__xludf.DUMMYFUNCTION("""COMPUTED_VALUE"""),"Medallia")</f>
        <v>Medallia</v>
      </c>
      <c r="E273" s="16" t="str">
        <f>IFERROR(__xludf.DUMMYFUNCTION("""COMPUTED_VALUE"""),"Growth")</f>
        <v>Growth</v>
      </c>
      <c r="F273" s="16" t="str">
        <f>IFERROR(__xludf.DUMMYFUNCTION("""COMPUTED_VALUE"""),"gmanlongat@medallia.com")</f>
        <v>gmanlongat@medallia.com</v>
      </c>
      <c r="G273" s="16" t="str">
        <f>IFERROR(__xludf.DUMMYFUNCTION("""COMPUTED_VALUE"""),"Aaron Shaw")</f>
        <v>Aaron Shaw</v>
      </c>
      <c r="H273" s="16" t="str">
        <f>IFERROR(__xludf.DUMMYFUNCTION("""COMPUTED_VALUE"""),"PartnerConnect - Technology")</f>
        <v>PartnerConnect - Technology</v>
      </c>
      <c r="I273" s="16" t="str">
        <f>IFERROR(__xludf.DUMMYFUNCTION("""COMPUTED_VALUE"""),"450 Concar Drive")</f>
        <v>450 Concar Drive</v>
      </c>
      <c r="J273" s="16"/>
      <c r="K273" s="16" t="str">
        <f>IFERROR(__xludf.DUMMYFUNCTION("""COMPUTED_VALUE"""),"San Mateo")</f>
        <v>San Mateo</v>
      </c>
      <c r="L273" s="16" t="str">
        <f>IFERROR(__xludf.DUMMYFUNCTION("""COMPUTED_VALUE"""),"California")</f>
        <v>California</v>
      </c>
      <c r="M273" s="16">
        <f>IFERROR(__xludf.DUMMYFUNCTION("""COMPUTED_VALUE"""),94402.0)</f>
        <v>94402</v>
      </c>
      <c r="N273" s="16" t="str">
        <f>IFERROR(__xludf.DUMMYFUNCTION("""COMPUTED_VALUE"""),"United States")</f>
        <v>United States</v>
      </c>
      <c r="O273" s="16" t="str">
        <f>IFERROR(__xludf.DUMMYFUNCTION("""COMPUTED_VALUE"""),"Low")</f>
        <v>Low</v>
      </c>
      <c r="P273" s="16" t="b">
        <f>IFERROR(__xludf.DUMMYFUNCTION("""COMPUTED_VALUE"""),TRUE)</f>
        <v>1</v>
      </c>
      <c r="Q273" s="16" t="b">
        <f>IFERROR(__xludf.DUMMYFUNCTION("""COMPUTED_VALUE"""),TRUE)</f>
        <v>1</v>
      </c>
      <c r="R273" s="16" t="str">
        <f>IFERROR(__xludf.DUMMYFUNCTION("""COMPUTED_VALUE"""),"Admin, Business, Events, Legal / Contracts, Marketing, Main Billing Contact, Billing Contact  LMS Training Fees, Client Partner / Partner Account Executive")</f>
        <v>Admin, Business, Events, Legal / Contracts, Marketing, Main Billing Contact, Billing Contact  LMS Training Fees, Client Partner / Partner Account Executive</v>
      </c>
      <c r="S273" s="16" t="str">
        <f>IFERROR(__xludf.DUMMYFUNCTION("""COMPUTED_VALUE"""),"Medallia")</f>
        <v>Medallia</v>
      </c>
      <c r="T273" s="16" t="str">
        <f>IFERROR(__xludf.DUMMYFUNCTION("""COMPUTED_VALUE"""),"Current Partner")</f>
        <v>Current Partner</v>
      </c>
      <c r="U273" s="16" t="b">
        <f>IFERROR(__xludf.DUMMYFUNCTION("""COMPUTED_VALUE"""),FALSE)</f>
        <v>0</v>
      </c>
      <c r="V273" s="16"/>
      <c r="W273" s="16"/>
      <c r="X273" s="16"/>
    </row>
    <row r="274">
      <c r="A274" s="16" t="str">
        <f>IFERROR(__xludf.DUMMYFUNCTION("""COMPUTED_VALUE"""),"Dave")</f>
        <v>Dave</v>
      </c>
      <c r="B274" s="16" t="str">
        <f>IFERROR(__xludf.DUMMYFUNCTION("""COMPUTED_VALUE"""),"Murphy")</f>
        <v>Murphy</v>
      </c>
      <c r="C274" s="16"/>
      <c r="D274" s="16" t="str">
        <f>IFERROR(__xludf.DUMMYFUNCTION("""COMPUTED_VALUE"""),"Microsoft")</f>
        <v>Microsoft</v>
      </c>
      <c r="E274" s="16" t="str">
        <f>IFERROR(__xludf.DUMMYFUNCTION("""COMPUTED_VALUE"""),"Advantage")</f>
        <v>Advantage</v>
      </c>
      <c r="F274" s="16" t="str">
        <f>IFERROR(__xludf.DUMMYFUNCTION("""COMPUTED_VALUE"""),"davmurp@microsoft.com")</f>
        <v>davmurp@microsoft.com</v>
      </c>
      <c r="G274" s="16" t="str">
        <f>IFERROR(__xludf.DUMMYFUNCTION("""COMPUTED_VALUE"""),"Fatima Aoulagha-Bannou")</f>
        <v>Fatima Aoulagha-Bannou</v>
      </c>
      <c r="H274" s="16" t="str">
        <f>IFERROR(__xludf.DUMMYFUNCTION("""COMPUTED_VALUE"""),"PartnerConnect - Technology")</f>
        <v>PartnerConnect - Technology</v>
      </c>
      <c r="I274" s="16" t="str">
        <f>IFERROR(__xludf.DUMMYFUNCTION("""COMPUTED_VALUE"""),"One Microsoft Way")</f>
        <v>One Microsoft Way</v>
      </c>
      <c r="J274" s="16"/>
      <c r="K274" s="16" t="str">
        <f>IFERROR(__xludf.DUMMYFUNCTION("""COMPUTED_VALUE"""),"Redmond")</f>
        <v>Redmond</v>
      </c>
      <c r="L274" s="16" t="str">
        <f>IFERROR(__xludf.DUMMYFUNCTION("""COMPUTED_VALUE"""),"Washington")</f>
        <v>Washington</v>
      </c>
      <c r="M274" s="16">
        <f>IFERROR(__xludf.DUMMYFUNCTION("""COMPUTED_VALUE"""),98052.0)</f>
        <v>98052</v>
      </c>
      <c r="N274" s="16" t="str">
        <f>IFERROR(__xludf.DUMMYFUNCTION("""COMPUTED_VALUE"""),"United States")</f>
        <v>United States</v>
      </c>
      <c r="O274" s="16" t="str">
        <f>IFERROR(__xludf.DUMMYFUNCTION("""COMPUTED_VALUE"""),"Medium")</f>
        <v>Medium</v>
      </c>
      <c r="P274" s="16" t="b">
        <f>IFERROR(__xludf.DUMMYFUNCTION("""COMPUTED_VALUE"""),TRUE)</f>
        <v>1</v>
      </c>
      <c r="Q274" s="16" t="b">
        <f>IFERROR(__xludf.DUMMYFUNCTION("""COMPUTED_VALUE"""),FALSE)</f>
        <v>0</v>
      </c>
      <c r="R274" s="16" t="str">
        <f>IFERROR(__xludf.DUMMYFUNCTION("""COMPUTED_VALUE"""),"")</f>
        <v/>
      </c>
      <c r="S274" s="16" t="str">
        <f>IFERROR(__xludf.DUMMYFUNCTION("""COMPUTED_VALUE"""),"Microsoft")</f>
        <v>Microsoft</v>
      </c>
      <c r="T274" s="16" t="str">
        <f>IFERROR(__xludf.DUMMYFUNCTION("""COMPUTED_VALUE"""),"Current Partner")</f>
        <v>Current Partner</v>
      </c>
      <c r="U274" s="16" t="b">
        <f>IFERROR(__xludf.DUMMYFUNCTION("""COMPUTED_VALUE"""),FALSE)</f>
        <v>0</v>
      </c>
      <c r="V274" s="16"/>
      <c r="W274" s="16"/>
      <c r="X274" s="16"/>
    </row>
    <row r="275">
      <c r="A275" s="16" t="str">
        <f>IFERROR(__xludf.DUMMYFUNCTION("""COMPUTED_VALUE"""),"Kathy")</f>
        <v>Kathy</v>
      </c>
      <c r="B275" s="16" t="str">
        <f>IFERROR(__xludf.DUMMYFUNCTION("""COMPUTED_VALUE"""),"Townend")</f>
        <v>Townend</v>
      </c>
      <c r="C275" s="16" t="str">
        <f>IFERROR(__xludf.DUMMYFUNCTION("""COMPUTED_VALUE"""),"Marketing")</f>
        <v>Marketing</v>
      </c>
      <c r="D275" s="16" t="str">
        <f>IFERROR(__xludf.DUMMYFUNCTION("""COMPUTED_VALUE"""),"Mitchell International, Inc.")</f>
        <v>Mitchell International, Inc.</v>
      </c>
      <c r="E275" s="16" t="str">
        <f>IFERROR(__xludf.DUMMYFUNCTION("""COMPUTED_VALUE"""),"Premier")</f>
        <v>Premier</v>
      </c>
      <c r="F275" s="16" t="str">
        <f>IFERROR(__xludf.DUMMYFUNCTION("""COMPUTED_VALUE"""),"kathy.townend@mitchell.com")</f>
        <v>kathy.townend@mitchell.com</v>
      </c>
      <c r="G275" s="16" t="str">
        <f>IFERROR(__xludf.DUMMYFUNCTION("""COMPUTED_VALUE"""),"Tim Kennedy")</f>
        <v>Tim Kennedy</v>
      </c>
      <c r="H275" s="16" t="str">
        <f>IFERROR(__xludf.DUMMYFUNCTION("""COMPUTED_VALUE"""),"PartnerConnect - Technology")</f>
        <v>PartnerConnect - Technology</v>
      </c>
      <c r="I275" s="16"/>
      <c r="J275" s="16"/>
      <c r="K275" s="16" t="str">
        <f>IFERROR(__xludf.DUMMYFUNCTION("""COMPUTED_VALUE"""),"San Diego")</f>
        <v>San Diego</v>
      </c>
      <c r="L275" s="16" t="str">
        <f>IFERROR(__xludf.DUMMYFUNCTION("""COMPUTED_VALUE"""),"CA")</f>
        <v>CA</v>
      </c>
      <c r="M275" s="16"/>
      <c r="N275" s="16" t="str">
        <f>IFERROR(__xludf.DUMMYFUNCTION("""COMPUTED_VALUE"""),"United States")</f>
        <v>United States</v>
      </c>
      <c r="O275" s="16" t="str">
        <f>IFERROR(__xludf.DUMMYFUNCTION("""COMPUTED_VALUE"""),"High")</f>
        <v>High</v>
      </c>
      <c r="P275" s="16" t="b">
        <f>IFERROR(__xludf.DUMMYFUNCTION("""COMPUTED_VALUE"""),FALSE)</f>
        <v>0</v>
      </c>
      <c r="Q275" s="16" t="b">
        <f>IFERROR(__xludf.DUMMYFUNCTION("""COMPUTED_VALUE"""),TRUE)</f>
        <v>1</v>
      </c>
      <c r="R275" s="16" t="str">
        <f>IFERROR(__xludf.DUMMYFUNCTION("""COMPUTED_VALUE"""),"Business, Marketing")</f>
        <v>Business, Marketing</v>
      </c>
      <c r="S275" s="16" t="str">
        <f>IFERROR(__xludf.DUMMYFUNCTION("""COMPUTED_VALUE"""),"Enlyte")</f>
        <v>Enlyte</v>
      </c>
      <c r="T275" s="16" t="str">
        <f>IFERROR(__xludf.DUMMYFUNCTION("""COMPUTED_VALUE"""),"Current Partner")</f>
        <v>Current Partner</v>
      </c>
      <c r="U275" s="16" t="b">
        <f>IFERROR(__xludf.DUMMYFUNCTION("""COMPUTED_VALUE"""),FALSE)</f>
        <v>0</v>
      </c>
      <c r="V275" s="16"/>
      <c r="W275" s="16"/>
      <c r="X275" s="16"/>
    </row>
    <row r="276">
      <c r="A276" s="16" t="str">
        <f>IFERROR(__xludf.DUMMYFUNCTION("""COMPUTED_VALUE"""),"Amy")</f>
        <v>Amy</v>
      </c>
      <c r="B276" s="16" t="str">
        <f>IFERROR(__xludf.DUMMYFUNCTION("""COMPUTED_VALUE"""),"Harvey")</f>
        <v>Harvey</v>
      </c>
      <c r="C276" s="16" t="str">
        <f>IFERROR(__xludf.DUMMYFUNCTION("""COMPUTED_VALUE"""),"Sr. Director, Event Marketing  &amp; Programs")</f>
        <v>Sr. Director, Event Marketing  &amp; Programs</v>
      </c>
      <c r="D276" s="16" t="str">
        <f>IFERROR(__xludf.DUMMYFUNCTION("""COMPUTED_VALUE"""),"Mitchell International, Inc.")</f>
        <v>Mitchell International, Inc.</v>
      </c>
      <c r="E276" s="16" t="str">
        <f>IFERROR(__xludf.DUMMYFUNCTION("""COMPUTED_VALUE"""),"Premier")</f>
        <v>Premier</v>
      </c>
      <c r="F276" s="16" t="str">
        <f>IFERROR(__xludf.DUMMYFUNCTION("""COMPUTED_VALUE"""),"amy.harvey@enlyte.com")</f>
        <v>amy.harvey@enlyte.com</v>
      </c>
      <c r="G276" s="16" t="str">
        <f>IFERROR(__xludf.DUMMYFUNCTION("""COMPUTED_VALUE"""),"Tim Kennedy")</f>
        <v>Tim Kennedy</v>
      </c>
      <c r="H276" s="16" t="str">
        <f>IFERROR(__xludf.DUMMYFUNCTION("""COMPUTED_VALUE"""),"PartnerConnect - Technology")</f>
        <v>PartnerConnect - Technology</v>
      </c>
      <c r="I276" s="16" t="str">
        <f>IFERROR(__xludf.DUMMYFUNCTION("""COMPUTED_VALUE"""),"9771 Clairemont Mesa Blvd, Ste. A,")</f>
        <v>9771 Clairemont Mesa Blvd, Ste. A,</v>
      </c>
      <c r="J276" s="16"/>
      <c r="K276" s="16" t="str">
        <f>IFERROR(__xludf.DUMMYFUNCTION("""COMPUTED_VALUE"""),"SAN DIEGO")</f>
        <v>SAN DIEGO</v>
      </c>
      <c r="L276" s="16" t="str">
        <f>IFERROR(__xludf.DUMMYFUNCTION("""COMPUTED_VALUE"""),"California")</f>
        <v>California</v>
      </c>
      <c r="M276" s="16">
        <f>IFERROR(__xludf.DUMMYFUNCTION("""COMPUTED_VALUE"""),92124.0)</f>
        <v>92124</v>
      </c>
      <c r="N276" s="16" t="str">
        <f>IFERROR(__xludf.DUMMYFUNCTION("""COMPUTED_VALUE"""),"United States")</f>
        <v>United States</v>
      </c>
      <c r="O276" s="16" t="str">
        <f>IFERROR(__xludf.DUMMYFUNCTION("""COMPUTED_VALUE"""),"High")</f>
        <v>High</v>
      </c>
      <c r="P276" s="16" t="b">
        <f>IFERROR(__xludf.DUMMYFUNCTION("""COMPUTED_VALUE"""),TRUE)</f>
        <v>1</v>
      </c>
      <c r="Q276" s="16" t="b">
        <f>IFERROR(__xludf.DUMMYFUNCTION("""COMPUTED_VALUE"""),TRUE)</f>
        <v>1</v>
      </c>
      <c r="R276" s="16" t="str">
        <f>IFERROR(__xludf.DUMMYFUNCTION("""COMPUTED_VALUE"""),"Admin, Business, Events, Marketing, Technical, Training")</f>
        <v>Admin, Business, Events, Marketing, Technical, Training</v>
      </c>
      <c r="S276" s="16" t="str">
        <f>IFERROR(__xludf.DUMMYFUNCTION("""COMPUTED_VALUE"""),"Enlyte")</f>
        <v>Enlyte</v>
      </c>
      <c r="T276" s="16" t="str">
        <f>IFERROR(__xludf.DUMMYFUNCTION("""COMPUTED_VALUE"""),"Current Partner")</f>
        <v>Current Partner</v>
      </c>
      <c r="U276" s="16" t="b">
        <f>IFERROR(__xludf.DUMMYFUNCTION("""COMPUTED_VALUE"""),FALSE)</f>
        <v>0</v>
      </c>
      <c r="V276" s="16"/>
      <c r="W276" s="16"/>
      <c r="X276" s="16"/>
    </row>
    <row r="277">
      <c r="A277" s="16" t="str">
        <f>IFERROR(__xludf.DUMMYFUNCTION("""COMPUTED_VALUE"""),"Rosie")</f>
        <v>Rosie</v>
      </c>
      <c r="B277" s="16" t="str">
        <f>IFERROR(__xludf.DUMMYFUNCTION("""COMPUTED_VALUE"""),"Slaughter")</f>
        <v>Slaughter</v>
      </c>
      <c r="C277" s="16"/>
      <c r="D277" s="16" t="str">
        <f>IFERROR(__xludf.DUMMYFUNCTION("""COMPUTED_VALUE"""),"Monoova Payments Pty Ltd")</f>
        <v>Monoova Payments Pty Ltd</v>
      </c>
      <c r="E277" s="16" t="str">
        <f>IFERROR(__xludf.DUMMYFUNCTION("""COMPUTED_VALUE"""),"Growth")</f>
        <v>Growth</v>
      </c>
      <c r="F277" s="16" t="str">
        <f>IFERROR(__xludf.DUMMYFUNCTION("""COMPUTED_VALUE"""),"rosie.slaughter@monoova.com")</f>
        <v>rosie.slaughter@monoova.com</v>
      </c>
      <c r="G277" s="16" t="str">
        <f>IFERROR(__xludf.DUMMYFUNCTION("""COMPUTED_VALUE"""),"Ketaki Padhye")</f>
        <v>Ketaki Padhye</v>
      </c>
      <c r="H277" s="16" t="str">
        <f>IFERROR(__xludf.DUMMYFUNCTION("""COMPUTED_VALUE"""),"PartnerConnect - Technology")</f>
        <v>PartnerConnect - Technology</v>
      </c>
      <c r="I277" s="16" t="str">
        <f>IFERROR(__xludf.DUMMYFUNCTION("""COMPUTED_VALUE"""),"Level 7/80 Pacific Highway")</f>
        <v>Level 7/80 Pacific Highway</v>
      </c>
      <c r="J277" s="16"/>
      <c r="K277" s="16" t="str">
        <f>IFERROR(__xludf.DUMMYFUNCTION("""COMPUTED_VALUE"""),"North Sydney")</f>
        <v>North Sydney</v>
      </c>
      <c r="L277" s="16"/>
      <c r="M277" s="16" t="str">
        <f>IFERROR(__xludf.DUMMYFUNCTION("""COMPUTED_VALUE"""),"NSW 2060")</f>
        <v>NSW 2060</v>
      </c>
      <c r="N277" s="16" t="str">
        <f>IFERROR(__xludf.DUMMYFUNCTION("""COMPUTED_VALUE"""),"Australia")</f>
        <v>Australia</v>
      </c>
      <c r="O277" s="16" t="str">
        <f>IFERROR(__xludf.DUMMYFUNCTION("""COMPUTED_VALUE"""),"Medium")</f>
        <v>Medium</v>
      </c>
      <c r="P277" s="16" t="b">
        <f>IFERROR(__xludf.DUMMYFUNCTION("""COMPUTED_VALUE"""),TRUE)</f>
        <v>1</v>
      </c>
      <c r="Q277" s="16" t="b">
        <f>IFERROR(__xludf.DUMMYFUNCTION("""COMPUTED_VALUE"""),FALSE)</f>
        <v>0</v>
      </c>
      <c r="R277" s="16" t="str">
        <f>IFERROR(__xludf.DUMMYFUNCTION("""COMPUTED_VALUE"""),"Admin, Business, Events, Marketing, Training, Main Billing Contact, Billing Contact  LMS Training Fees")</f>
        <v>Admin, Business, Events, Marketing, Training, Main Billing Contact, Billing Contact  LMS Training Fees</v>
      </c>
      <c r="S277" s="16" t="str">
        <f>IFERROR(__xludf.DUMMYFUNCTION("""COMPUTED_VALUE"""),"Monoova")</f>
        <v>Monoova</v>
      </c>
      <c r="T277" s="16" t="str">
        <f>IFERROR(__xludf.DUMMYFUNCTION("""COMPUTED_VALUE"""),"Current Partner")</f>
        <v>Current Partner</v>
      </c>
      <c r="U277" s="16" t="b">
        <f>IFERROR(__xludf.DUMMYFUNCTION("""COMPUTED_VALUE"""),FALSE)</f>
        <v>0</v>
      </c>
      <c r="V277" s="16"/>
      <c r="W277" s="16"/>
      <c r="X277" s="16"/>
    </row>
    <row r="278">
      <c r="A278" s="16" t="str">
        <f>IFERROR(__xludf.DUMMYFUNCTION("""COMPUTED_VALUE"""),"Chopper (Shunsuke)")</f>
        <v>Chopper (Shunsuke)</v>
      </c>
      <c r="B278" s="16" t="str">
        <f>IFERROR(__xludf.DUMMYFUNCTION("""COMPUTED_VALUE"""),"Takeda")</f>
        <v>Takeda</v>
      </c>
      <c r="C278" s="16" t="str">
        <f>IFERROR(__xludf.DUMMYFUNCTION("""COMPUTED_VALUE"""),"Vice President of Insurance Corporate and Business Development")</f>
        <v>Vice President of Insurance Corporate and Business Development</v>
      </c>
      <c r="D278" s="16" t="str">
        <f>IFERROR(__xludf.DUMMYFUNCTION("""COMPUTED_VALUE"""),"MOTER Technologies")</f>
        <v>MOTER Technologies</v>
      </c>
      <c r="E278" s="16" t="str">
        <f>IFERROR(__xludf.DUMMYFUNCTION("""COMPUTED_VALUE"""),"Growth")</f>
        <v>Growth</v>
      </c>
      <c r="F278" s="16" t="str">
        <f>IFERROR(__xludf.DUMMYFUNCTION("""COMPUTED_VALUE"""),"chopper.takeda@aioiusa.com")</f>
        <v>chopper.takeda@aioiusa.com</v>
      </c>
      <c r="G278" s="16" t="str">
        <f>IFERROR(__xludf.DUMMYFUNCTION("""COMPUTED_VALUE"""),"Ketaki Padhye")</f>
        <v>Ketaki Padhye</v>
      </c>
      <c r="H278" s="16" t="str">
        <f>IFERROR(__xludf.DUMMYFUNCTION("""COMPUTED_VALUE"""),"PartnerConnect - Technology")</f>
        <v>PartnerConnect - Technology</v>
      </c>
      <c r="I278" s="16" t="str">
        <f>IFERROR(__xludf.DUMMYFUNCTION("""COMPUTED_VALUE"""),"21061 S. Western Ave")</f>
        <v>21061 S. Western Ave</v>
      </c>
      <c r="J278" s="16"/>
      <c r="K278" s="16" t="str">
        <f>IFERROR(__xludf.DUMMYFUNCTION("""COMPUTED_VALUE"""),"Torrance")</f>
        <v>Torrance</v>
      </c>
      <c r="L278" s="16" t="str">
        <f>IFERROR(__xludf.DUMMYFUNCTION("""COMPUTED_VALUE"""),"CALIFORNIA")</f>
        <v>CALIFORNIA</v>
      </c>
      <c r="M278" s="16">
        <f>IFERROR(__xludf.DUMMYFUNCTION("""COMPUTED_VALUE"""),90501.0)</f>
        <v>90501</v>
      </c>
      <c r="N278" s="16" t="str">
        <f>IFERROR(__xludf.DUMMYFUNCTION("""COMPUTED_VALUE"""),"United States")</f>
        <v>United States</v>
      </c>
      <c r="O278" s="16" t="str">
        <f>IFERROR(__xludf.DUMMYFUNCTION("""COMPUTED_VALUE"""),"Medium")</f>
        <v>Medium</v>
      </c>
      <c r="P278" s="16" t="b">
        <f>IFERROR(__xludf.DUMMYFUNCTION("""COMPUTED_VALUE"""),TRUE)</f>
        <v>1</v>
      </c>
      <c r="Q278" s="16" t="b">
        <f>IFERROR(__xludf.DUMMYFUNCTION("""COMPUTED_VALUE"""),FALSE)</f>
        <v>0</v>
      </c>
      <c r="R278" s="16" t="str">
        <f>IFERROR(__xludf.DUMMYFUNCTION("""COMPUTED_VALUE"""),"Business, Events, Marketing, Technical, Training")</f>
        <v>Business, Events, Marketing, Technical, Training</v>
      </c>
      <c r="S278" s="16" t="str">
        <f>IFERROR(__xludf.DUMMYFUNCTION("""COMPUTED_VALUE"""),"MOTER Technologies")</f>
        <v>MOTER Technologies</v>
      </c>
      <c r="T278" s="16" t="str">
        <f>IFERROR(__xludf.DUMMYFUNCTION("""COMPUTED_VALUE"""),"Current Partner")</f>
        <v>Current Partner</v>
      </c>
      <c r="U278" s="16" t="b">
        <f>IFERROR(__xludf.DUMMYFUNCTION("""COMPUTED_VALUE"""),FALSE)</f>
        <v>0</v>
      </c>
      <c r="V278" s="16"/>
      <c r="W278" s="16"/>
      <c r="X278" s="16"/>
    </row>
    <row r="279">
      <c r="A279" s="16" t="str">
        <f>IFERROR(__xludf.DUMMYFUNCTION("""COMPUTED_VALUE"""),"Dan")</f>
        <v>Dan</v>
      </c>
      <c r="B279" s="16" t="str">
        <f>IFERROR(__xludf.DUMMYFUNCTION("""COMPUTED_VALUE"""),"Novick")</f>
        <v>Novick</v>
      </c>
      <c r="C279" s="16" t="str">
        <f>IFERROR(__xludf.DUMMYFUNCTION("""COMPUTED_VALUE"""),"Managing Director")</f>
        <v>Managing Director</v>
      </c>
      <c r="D279" s="16" t="str">
        <f>IFERROR(__xludf.DUMMYFUNCTION("""COMPUTED_VALUE"""),"myVal")</f>
        <v>myVal</v>
      </c>
      <c r="E279" s="16" t="str">
        <f>IFERROR(__xludf.DUMMYFUNCTION("""COMPUTED_VALUE"""),"Insurtech Vanguard")</f>
        <v>Insurtech Vanguard</v>
      </c>
      <c r="F279" s="16" t="str">
        <f>IFERROR(__xludf.DUMMYFUNCTION("""COMPUTED_VALUE"""),"dan@myval.au")</f>
        <v>dan@myval.au</v>
      </c>
      <c r="G279" s="16" t="str">
        <f>IFERROR(__xludf.DUMMYFUNCTION("""COMPUTED_VALUE"""),"Shannon Spies")</f>
        <v>Shannon Spies</v>
      </c>
      <c r="H279" s="16"/>
      <c r="I279" s="16"/>
      <c r="J279" s="16"/>
      <c r="K279" s="16"/>
      <c r="L279" s="16"/>
      <c r="M279" s="16"/>
      <c r="N279" s="16" t="str">
        <f>IFERROR(__xludf.DUMMYFUNCTION("""COMPUTED_VALUE"""),"Australia")</f>
        <v>Australia</v>
      </c>
      <c r="O279" s="16" t="str">
        <f>IFERROR(__xludf.DUMMYFUNCTION("""COMPUTED_VALUE"""),"Medium")</f>
        <v>Medium</v>
      </c>
      <c r="P279" s="16" t="b">
        <f>IFERROR(__xludf.DUMMYFUNCTION("""COMPUTED_VALUE"""),TRUE)</f>
        <v>1</v>
      </c>
      <c r="Q279" s="16" t="b">
        <f>IFERROR(__xludf.DUMMYFUNCTION("""COMPUTED_VALUE"""),FALSE)</f>
        <v>0</v>
      </c>
      <c r="R279" s="16" t="str">
        <f>IFERROR(__xludf.DUMMYFUNCTION("""COMPUTED_VALUE"""),"")</f>
        <v/>
      </c>
      <c r="S279" s="16" t="str">
        <f>IFERROR(__xludf.DUMMYFUNCTION("""COMPUTED_VALUE"""),"myVal")</f>
        <v>myVal</v>
      </c>
      <c r="T279" s="16" t="str">
        <f>IFERROR(__xludf.DUMMYFUNCTION("""COMPUTED_VALUE"""),"Current Vanguard")</f>
        <v>Current Vanguard</v>
      </c>
      <c r="U279" s="16" t="b">
        <f>IFERROR(__xludf.DUMMYFUNCTION("""COMPUTED_VALUE"""),FALSE)</f>
        <v>0</v>
      </c>
      <c r="V279" s="16"/>
      <c r="W279" s="16"/>
      <c r="X279" s="16"/>
    </row>
    <row r="280">
      <c r="A280" s="16" t="str">
        <f>IFERROR(__xludf.DUMMYFUNCTION("""COMPUTED_VALUE"""),"Neil")</f>
        <v>Neil</v>
      </c>
      <c r="B280" s="16" t="str">
        <f>IFERROR(__xludf.DUMMYFUNCTION("""COMPUTED_VALUE"""),"Griffiths")</f>
        <v>Griffiths</v>
      </c>
      <c r="C280" s="16" t="str">
        <f>IFERROR(__xludf.DUMMYFUNCTION("""COMPUTED_VALUE"""),"Chief Client Officer")</f>
        <v>Chief Client Officer</v>
      </c>
      <c r="D280" s="16" t="str">
        <f>IFERROR(__xludf.DUMMYFUNCTION("""COMPUTED_VALUE"""),"n2uitive Corporation")</f>
        <v>n2uitive Corporation</v>
      </c>
      <c r="E280" s="16" t="str">
        <f>IFERROR(__xludf.DUMMYFUNCTION("""COMPUTED_VALUE"""),"Growth")</f>
        <v>Growth</v>
      </c>
      <c r="F280" s="16" t="str">
        <f>IFERROR(__xludf.DUMMYFUNCTION("""COMPUTED_VALUE"""),"neilg@n2uitive.com")</f>
        <v>neilg@n2uitive.com</v>
      </c>
      <c r="G280" s="16" t="str">
        <f>IFERROR(__xludf.DUMMYFUNCTION("""COMPUTED_VALUE"""),"Aaron Shaw")</f>
        <v>Aaron Shaw</v>
      </c>
      <c r="H280" s="16" t="str">
        <f>IFERROR(__xludf.DUMMYFUNCTION("""COMPUTED_VALUE"""),"PartnerConnect - Technology")</f>
        <v>PartnerConnect - Technology</v>
      </c>
      <c r="I280" s="16" t="str">
        <f>IFERROR(__xludf.DUMMYFUNCTION("""COMPUTED_VALUE"""),"1818 Westlake Ave N")</f>
        <v>1818 Westlake Ave N</v>
      </c>
      <c r="J280" s="16"/>
      <c r="K280" s="16" t="str">
        <f>IFERROR(__xludf.DUMMYFUNCTION("""COMPUTED_VALUE"""),"Seattle")</f>
        <v>Seattle</v>
      </c>
      <c r="L280" s="16" t="str">
        <f>IFERROR(__xludf.DUMMYFUNCTION("""COMPUTED_VALUE"""),"Washington")</f>
        <v>Washington</v>
      </c>
      <c r="M280" s="16">
        <f>IFERROR(__xludf.DUMMYFUNCTION("""COMPUTED_VALUE"""),98109.0)</f>
        <v>98109</v>
      </c>
      <c r="N280" s="16" t="str">
        <f>IFERROR(__xludf.DUMMYFUNCTION("""COMPUTED_VALUE"""),"United States")</f>
        <v>United States</v>
      </c>
      <c r="O280" s="16" t="str">
        <f>IFERROR(__xludf.DUMMYFUNCTION("""COMPUTED_VALUE"""),"Medium")</f>
        <v>Medium</v>
      </c>
      <c r="P280" s="16" t="b">
        <f>IFERROR(__xludf.DUMMYFUNCTION("""COMPUTED_VALUE"""),TRUE)</f>
        <v>1</v>
      </c>
      <c r="Q280" s="16" t="b">
        <f>IFERROR(__xludf.DUMMYFUNCTION("""COMPUTED_VALUE"""),TRUE)</f>
        <v>1</v>
      </c>
      <c r="R280" s="16" t="str">
        <f>IFERROR(__xludf.DUMMYFUNCTION("""COMPUTED_VALUE"""),"Admin, Business, Marketing")</f>
        <v>Admin, Business, Marketing</v>
      </c>
      <c r="S280" s="16" t="str">
        <f>IFERROR(__xludf.DUMMYFUNCTION("""COMPUTED_VALUE"""),"n2uitive")</f>
        <v>n2uitive</v>
      </c>
      <c r="T280" s="16" t="str">
        <f>IFERROR(__xludf.DUMMYFUNCTION("""COMPUTED_VALUE"""),"Current Partner")</f>
        <v>Current Partner</v>
      </c>
      <c r="U280" s="16" t="b">
        <f>IFERROR(__xludf.DUMMYFUNCTION("""COMPUTED_VALUE"""),FALSE)</f>
        <v>0</v>
      </c>
      <c r="V280" s="16"/>
      <c r="W280" s="16"/>
      <c r="X280" s="16"/>
    </row>
    <row r="281">
      <c r="A281" s="16" t="str">
        <f>IFERROR(__xludf.DUMMYFUNCTION("""COMPUTED_VALUE"""),"Josh")</f>
        <v>Josh</v>
      </c>
      <c r="B281" s="16" t="str">
        <f>IFERROR(__xludf.DUMMYFUNCTION("""COMPUTED_VALUE"""),"Cohen")</f>
        <v>Cohen</v>
      </c>
      <c r="C281" s="16" t="str">
        <f>IFERROR(__xludf.DUMMYFUNCTION("""COMPUTED_VALUE"""),"Head Of Sales")</f>
        <v>Head Of Sales</v>
      </c>
      <c r="D281" s="16" t="str">
        <f>IFERROR(__xludf.DUMMYFUNCTION("""COMPUTED_VALUE"""),"National Windscreens Pty Ltd")</f>
        <v>National Windscreens Pty Ltd</v>
      </c>
      <c r="E281" s="16" t="str">
        <f>IFERROR(__xludf.DUMMYFUNCTION("""COMPUTED_VALUE"""),"Growth")</f>
        <v>Growth</v>
      </c>
      <c r="F281" s="16" t="str">
        <f>IFERROR(__xludf.DUMMYFUNCTION("""COMPUTED_VALUE"""),"jcohen@nwg.com.au")</f>
        <v>jcohen@nwg.com.au</v>
      </c>
      <c r="G281" s="16" t="str">
        <f>IFERROR(__xludf.DUMMYFUNCTION("""COMPUTED_VALUE"""),"Ketaki Padhye")</f>
        <v>Ketaki Padhye</v>
      </c>
      <c r="H281" s="16" t="str">
        <f>IFERROR(__xludf.DUMMYFUNCTION("""COMPUTED_VALUE"""),"PartnerConnect - Technology")</f>
        <v>PartnerConnect - Technology</v>
      </c>
      <c r="I281" s="16"/>
      <c r="J281" s="16"/>
      <c r="K281" s="16"/>
      <c r="L281" s="16"/>
      <c r="M281" s="16"/>
      <c r="N281" s="16" t="str">
        <f>IFERROR(__xludf.DUMMYFUNCTION("""COMPUTED_VALUE"""),"Australia")</f>
        <v>Australia</v>
      </c>
      <c r="O281" s="16" t="str">
        <f>IFERROR(__xludf.DUMMYFUNCTION("""COMPUTED_VALUE"""),"Medium")</f>
        <v>Medium</v>
      </c>
      <c r="P281" s="16" t="b">
        <f>IFERROR(__xludf.DUMMYFUNCTION("""COMPUTED_VALUE"""),TRUE)</f>
        <v>1</v>
      </c>
      <c r="Q281" s="16" t="b">
        <f>IFERROR(__xludf.DUMMYFUNCTION("""COMPUTED_VALUE"""),FALSE)</f>
        <v>0</v>
      </c>
      <c r="R281" s="16" t="str">
        <f>IFERROR(__xludf.DUMMYFUNCTION("""COMPUTED_VALUE"""),"Admin")</f>
        <v>Admin</v>
      </c>
      <c r="S281" s="16" t="str">
        <f>IFERROR(__xludf.DUMMYFUNCTION("""COMPUTED_VALUE"""),"National Windscreens")</f>
        <v>National Windscreens</v>
      </c>
      <c r="T281" s="16" t="str">
        <f>IFERROR(__xludf.DUMMYFUNCTION("""COMPUTED_VALUE"""),"Current Partner")</f>
        <v>Current Partner</v>
      </c>
      <c r="U281" s="16" t="b">
        <f>IFERROR(__xludf.DUMMYFUNCTION("""COMPUTED_VALUE"""),FALSE)</f>
        <v>0</v>
      </c>
      <c r="V281" s="16"/>
      <c r="W281" s="16"/>
      <c r="X281" s="16"/>
    </row>
    <row r="282">
      <c r="A282" s="16" t="str">
        <f>IFERROR(__xludf.DUMMYFUNCTION("""COMPUTED_VALUE"""),"Jude")</f>
        <v>Jude</v>
      </c>
      <c r="B282" s="16" t="str">
        <f>IFERROR(__xludf.DUMMYFUNCTION("""COMPUTED_VALUE"""),"Fontenot")</f>
        <v>Fontenot</v>
      </c>
      <c r="C282" s="16" t="str">
        <f>IFERROR(__xludf.DUMMYFUNCTION("""COMPUTED_VALUE"""),"Product Owner")</f>
        <v>Product Owner</v>
      </c>
      <c r="D282" s="16" t="str">
        <f>IFERROR(__xludf.DUMMYFUNCTION("""COMPUTED_VALUE"""),"Nation Safe Drivers")</f>
        <v>Nation Safe Drivers</v>
      </c>
      <c r="E282" s="16" t="str">
        <f>IFERROR(__xludf.DUMMYFUNCTION("""COMPUTED_VALUE"""),"Growth")</f>
        <v>Growth</v>
      </c>
      <c r="F282" s="16" t="str">
        <f>IFERROR(__xludf.DUMMYFUNCTION("""COMPUTED_VALUE"""),"jfontenot@nationsafedrivers.com")</f>
        <v>jfontenot@nationsafedrivers.com</v>
      </c>
      <c r="G282" s="16" t="str">
        <f>IFERROR(__xludf.DUMMYFUNCTION("""COMPUTED_VALUE"""),"Rod Gowin")</f>
        <v>Rod Gowin</v>
      </c>
      <c r="H282" s="16" t="str">
        <f>IFERROR(__xludf.DUMMYFUNCTION("""COMPUTED_VALUE"""),"PartnerConnect - Technology")</f>
        <v>PartnerConnect - Technology</v>
      </c>
      <c r="I282" s="16" t="str">
        <f>IFERROR(__xludf.DUMMYFUNCTION("""COMPUTED_VALUE"""),"5600 Broken Sound Blvd NW")</f>
        <v>5600 Broken Sound Blvd NW</v>
      </c>
      <c r="J282" s="16"/>
      <c r="K282" s="16" t="str">
        <f>IFERROR(__xludf.DUMMYFUNCTION("""COMPUTED_VALUE"""),"Boca Raton")</f>
        <v>Boca Raton</v>
      </c>
      <c r="L282" s="16" t="str">
        <f>IFERROR(__xludf.DUMMYFUNCTION("""COMPUTED_VALUE"""),"Florida")</f>
        <v>Florida</v>
      </c>
      <c r="M282" s="16">
        <f>IFERROR(__xludf.DUMMYFUNCTION("""COMPUTED_VALUE"""),33487.0)</f>
        <v>33487</v>
      </c>
      <c r="N282" s="16" t="str">
        <f>IFERROR(__xludf.DUMMYFUNCTION("""COMPUTED_VALUE"""),"United States")</f>
        <v>United States</v>
      </c>
      <c r="O282" s="16" t="str">
        <f>IFERROR(__xludf.DUMMYFUNCTION("""COMPUTED_VALUE"""),"Medium")</f>
        <v>Medium</v>
      </c>
      <c r="P282" s="16" t="b">
        <f>IFERROR(__xludf.DUMMYFUNCTION("""COMPUTED_VALUE"""),TRUE)</f>
        <v>1</v>
      </c>
      <c r="Q282" s="16" t="b">
        <f>IFERROR(__xludf.DUMMYFUNCTION("""COMPUTED_VALUE"""),FALSE)</f>
        <v>0</v>
      </c>
      <c r="R282" s="16" t="str">
        <f>IFERROR(__xludf.DUMMYFUNCTION("""COMPUTED_VALUE"""),"Admin, Business, Support, Billing Contact  LMS Training Fees, Delivery Lead / BA")</f>
        <v>Admin, Business, Support, Billing Contact  LMS Training Fees, Delivery Lead / BA</v>
      </c>
      <c r="S282" s="16" t="str">
        <f>IFERROR(__xludf.DUMMYFUNCTION("""COMPUTED_VALUE"""),"NSD")</f>
        <v>NSD</v>
      </c>
      <c r="T282" s="16" t="str">
        <f>IFERROR(__xludf.DUMMYFUNCTION("""COMPUTED_VALUE"""),"Current Partner")</f>
        <v>Current Partner</v>
      </c>
      <c r="U282" s="16" t="b">
        <f>IFERROR(__xludf.DUMMYFUNCTION("""COMPUTED_VALUE"""),FALSE)</f>
        <v>0</v>
      </c>
      <c r="V282" s="16"/>
      <c r="W282" s="16"/>
      <c r="X282" s="16"/>
    </row>
    <row r="283">
      <c r="A283" s="16" t="str">
        <f>IFERROR(__xludf.DUMMYFUNCTION("""COMPUTED_VALUE"""),"Todd")</f>
        <v>Todd</v>
      </c>
      <c r="B283" s="16" t="str">
        <f>IFERROR(__xludf.DUMMYFUNCTION("""COMPUTED_VALUE"""),"Pugh")</f>
        <v>Pugh</v>
      </c>
      <c r="C283" s="16" t="str">
        <f>IFERROR(__xludf.DUMMYFUNCTION("""COMPUTED_VALUE"""),"Chief Evangelist")</f>
        <v>Chief Evangelist</v>
      </c>
      <c r="D283" s="16" t="str">
        <f>IFERROR(__xludf.DUMMYFUNCTION("""COMPUTED_VALUE"""),"Nativeorange")</f>
        <v>Nativeorange</v>
      </c>
      <c r="E283" s="16"/>
      <c r="F283" s="16" t="str">
        <f>IFERROR(__xludf.DUMMYFUNCTION("""COMPUTED_VALUE"""),"toddp@nativeorange.ai")</f>
        <v>toddp@nativeorange.ai</v>
      </c>
      <c r="G283" s="16" t="str">
        <f>IFERROR(__xludf.DUMMYFUNCTION("""COMPUTED_VALUE"""),"Eric Apse")</f>
        <v>Eric Apse</v>
      </c>
      <c r="H283" s="16"/>
      <c r="I283" s="16"/>
      <c r="J283" s="16"/>
      <c r="K283" s="16"/>
      <c r="L283" s="16"/>
      <c r="M283" s="16"/>
      <c r="N283" s="16"/>
      <c r="O283" s="16"/>
      <c r="P283" s="16" t="b">
        <f>IFERROR(__xludf.DUMMYFUNCTION("""COMPUTED_VALUE"""),TRUE)</f>
        <v>1</v>
      </c>
      <c r="Q283" s="16" t="b">
        <f>IFERROR(__xludf.DUMMYFUNCTION("""COMPUTED_VALUE"""),FALSE)</f>
        <v>0</v>
      </c>
      <c r="R283" s="16" t="str">
        <f>IFERROR(__xludf.DUMMYFUNCTION("""COMPUTED_VALUE"""),"Admin")</f>
        <v>Admin</v>
      </c>
      <c r="S283" s="16"/>
      <c r="T283" s="16" t="str">
        <f>IFERROR(__xludf.DUMMYFUNCTION("""COMPUTED_VALUE"""),"Current Vanguard")</f>
        <v>Current Vanguard</v>
      </c>
      <c r="U283" s="16" t="b">
        <f>IFERROR(__xludf.DUMMYFUNCTION("""COMPUTED_VALUE"""),FALSE)</f>
        <v>0</v>
      </c>
      <c r="V283" s="16"/>
      <c r="W283" s="16"/>
      <c r="X283" s="16"/>
    </row>
    <row r="284">
      <c r="A284" s="16" t="str">
        <f>IFERROR(__xludf.DUMMYFUNCTION("""COMPUTED_VALUE"""),"David")</f>
        <v>David</v>
      </c>
      <c r="B284" s="16" t="str">
        <f>IFERROR(__xludf.DUMMYFUNCTION("""COMPUTED_VALUE"""),"Lyman")</f>
        <v>Lyman</v>
      </c>
      <c r="C284" s="16" t="str">
        <f>IFERROR(__xludf.DUMMYFUNCTION("""COMPUTED_VALUE"""),"Co-Founder &amp; CEO")</f>
        <v>Co-Founder &amp; CEO</v>
      </c>
      <c r="D284" s="16" t="str">
        <f>IFERROR(__xludf.DUMMYFUNCTION("""COMPUTED_VALUE"""),"Nearmap US, Inc.")</f>
        <v>Nearmap US, Inc.</v>
      </c>
      <c r="E284" s="16" t="str">
        <f>IFERROR(__xludf.DUMMYFUNCTION("""COMPUTED_VALUE"""),"Advantage")</f>
        <v>Advantage</v>
      </c>
      <c r="F284" s="16" t="str">
        <f>IFERROR(__xludf.DUMMYFUNCTION("""COMPUTED_VALUE"""),"dlyman@betterview.net")</f>
        <v>dlyman@betterview.net</v>
      </c>
      <c r="G284" s="16" t="str">
        <f>IFERROR(__xludf.DUMMYFUNCTION("""COMPUTED_VALUE"""),"Aaron Shaw")</f>
        <v>Aaron Shaw</v>
      </c>
      <c r="H284" s="16" t="str">
        <f>IFERROR(__xludf.DUMMYFUNCTION("""COMPUTED_VALUE"""),"PartnerConnect - Technology")</f>
        <v>PartnerConnect - Technology</v>
      </c>
      <c r="I284" s="16" t="str">
        <f>IFERROR(__xludf.DUMMYFUNCTION("""COMPUTED_VALUE"""),"643 7th Street #200")</f>
        <v>643 7th Street #200</v>
      </c>
      <c r="J284" s="16"/>
      <c r="K284" s="16" t="str">
        <f>IFERROR(__xludf.DUMMYFUNCTION("""COMPUTED_VALUE"""),"San Francisco")</f>
        <v>San Francisco</v>
      </c>
      <c r="L284" s="16" t="str">
        <f>IFERROR(__xludf.DUMMYFUNCTION("""COMPUTED_VALUE"""),"CA")</f>
        <v>CA</v>
      </c>
      <c r="M284" s="16">
        <f>IFERROR(__xludf.DUMMYFUNCTION("""COMPUTED_VALUE"""),94103.0)</f>
        <v>94103</v>
      </c>
      <c r="N284" s="16" t="str">
        <f>IFERROR(__xludf.DUMMYFUNCTION("""COMPUTED_VALUE"""),"United States")</f>
        <v>United States</v>
      </c>
      <c r="O284" s="16" t="str">
        <f>IFERROR(__xludf.DUMMYFUNCTION("""COMPUTED_VALUE"""),"High")</f>
        <v>High</v>
      </c>
      <c r="P284" s="16" t="b">
        <f>IFERROR(__xludf.DUMMYFUNCTION("""COMPUTED_VALUE"""),TRUE)</f>
        <v>1</v>
      </c>
      <c r="Q284" s="16" t="b">
        <f>IFERROR(__xludf.DUMMYFUNCTION("""COMPUTED_VALUE"""),TRUE)</f>
        <v>1</v>
      </c>
      <c r="R284" s="16" t="str">
        <f>IFERROR(__xludf.DUMMYFUNCTION("""COMPUTED_VALUE"""),"Business, Events, Marketing")</f>
        <v>Business, Events, Marketing</v>
      </c>
      <c r="S284" s="16" t="str">
        <f>IFERROR(__xludf.DUMMYFUNCTION("""COMPUTED_VALUE"""),"Nearmap")</f>
        <v>Nearmap</v>
      </c>
      <c r="T284" s="16" t="str">
        <f>IFERROR(__xludf.DUMMYFUNCTION("""COMPUTED_VALUE"""),"Current Partner")</f>
        <v>Current Partner</v>
      </c>
      <c r="U284" s="16" t="b">
        <f>IFERROR(__xludf.DUMMYFUNCTION("""COMPUTED_VALUE"""),FALSE)</f>
        <v>0</v>
      </c>
      <c r="V284" s="16"/>
      <c r="W284" s="16"/>
      <c r="X284" s="16"/>
    </row>
    <row r="285">
      <c r="A285" s="16" t="str">
        <f>IFERROR(__xludf.DUMMYFUNCTION("""COMPUTED_VALUE"""),"David")</f>
        <v>David</v>
      </c>
      <c r="B285" s="16" t="str">
        <f>IFERROR(__xludf.DUMMYFUNCTION("""COMPUTED_VALUE"""),"Tobias")</f>
        <v>Tobias</v>
      </c>
      <c r="C285" s="16" t="str">
        <f>IFERROR(__xludf.DUMMYFUNCTION("""COMPUTED_VALUE"""),"Co-Founder")</f>
        <v>Co-Founder</v>
      </c>
      <c r="D285" s="16" t="str">
        <f>IFERROR(__xludf.DUMMYFUNCTION("""COMPUTED_VALUE"""),"Nearmap US, Inc.")</f>
        <v>Nearmap US, Inc.</v>
      </c>
      <c r="E285" s="16" t="str">
        <f>IFERROR(__xludf.DUMMYFUNCTION("""COMPUTED_VALUE"""),"Advantage")</f>
        <v>Advantage</v>
      </c>
      <c r="F285" s="16" t="str">
        <f>IFERROR(__xludf.DUMMYFUNCTION("""COMPUTED_VALUE"""),"dtobias@betterview.net")</f>
        <v>dtobias@betterview.net</v>
      </c>
      <c r="G285" s="16" t="str">
        <f>IFERROR(__xludf.DUMMYFUNCTION("""COMPUTED_VALUE"""),"Aaron Shaw")</f>
        <v>Aaron Shaw</v>
      </c>
      <c r="H285" s="16" t="str">
        <f>IFERROR(__xludf.DUMMYFUNCTION("""COMPUTED_VALUE"""),"PartnerConnect - Technology")</f>
        <v>PartnerConnect - Technology</v>
      </c>
      <c r="I285" s="16" t="str">
        <f>IFERROR(__xludf.DUMMYFUNCTION("""COMPUTED_VALUE"""),"1850 Ashton Blvd, Ste 500")</f>
        <v>1850 Ashton Blvd, Ste 500</v>
      </c>
      <c r="J285" s="16"/>
      <c r="K285" s="16" t="str">
        <f>IFERROR(__xludf.DUMMYFUNCTION("""COMPUTED_VALUE"""),"Lehi")</f>
        <v>Lehi</v>
      </c>
      <c r="L285" s="16" t="str">
        <f>IFERROR(__xludf.DUMMYFUNCTION("""COMPUTED_VALUE"""),"Utah")</f>
        <v>Utah</v>
      </c>
      <c r="M285" s="16">
        <f>IFERROR(__xludf.DUMMYFUNCTION("""COMPUTED_VALUE"""),84043.0)</f>
        <v>84043</v>
      </c>
      <c r="N285" s="16" t="str">
        <f>IFERROR(__xludf.DUMMYFUNCTION("""COMPUTED_VALUE"""),"United States")</f>
        <v>United States</v>
      </c>
      <c r="O285" s="16" t="str">
        <f>IFERROR(__xludf.DUMMYFUNCTION("""COMPUTED_VALUE"""),"High")</f>
        <v>High</v>
      </c>
      <c r="P285" s="16" t="b">
        <f>IFERROR(__xludf.DUMMYFUNCTION("""COMPUTED_VALUE"""),TRUE)</f>
        <v>1</v>
      </c>
      <c r="Q285" s="16" t="b">
        <f>IFERROR(__xludf.DUMMYFUNCTION("""COMPUTED_VALUE"""),TRUE)</f>
        <v>1</v>
      </c>
      <c r="R285" s="16" t="str">
        <f>IFERROR(__xludf.DUMMYFUNCTION("""COMPUTED_VALUE"""),"Business")</f>
        <v>Business</v>
      </c>
      <c r="S285" s="16" t="str">
        <f>IFERROR(__xludf.DUMMYFUNCTION("""COMPUTED_VALUE"""),"Nearmap")</f>
        <v>Nearmap</v>
      </c>
      <c r="T285" s="16" t="str">
        <f>IFERROR(__xludf.DUMMYFUNCTION("""COMPUTED_VALUE"""),"Current Partner")</f>
        <v>Current Partner</v>
      </c>
      <c r="U285" s="16" t="b">
        <f>IFERROR(__xludf.DUMMYFUNCTION("""COMPUTED_VALUE"""),FALSE)</f>
        <v>0</v>
      </c>
      <c r="V285" s="16"/>
      <c r="W285" s="16"/>
      <c r="X285" s="16"/>
    </row>
    <row r="286">
      <c r="A286" s="16" t="str">
        <f>IFERROR(__xludf.DUMMYFUNCTION("""COMPUTED_VALUE"""),"Armin")</f>
        <v>Armin</v>
      </c>
      <c r="B286" s="16" t="str">
        <f>IFERROR(__xludf.DUMMYFUNCTION("""COMPUTED_VALUE"""),"Monajemi")</f>
        <v>Monajemi</v>
      </c>
      <c r="C286" s="16" t="str">
        <f>IFERROR(__xludf.DUMMYFUNCTION("""COMPUTED_VALUE"""),"Vice President, Content Partnership &amp; Pricing")</f>
        <v>Vice President, Content Partnership &amp; Pricing</v>
      </c>
      <c r="D286" s="16" t="str">
        <f>IFERROR(__xludf.DUMMYFUNCTION("""COMPUTED_VALUE"""),"Nearmap US, Inc.")</f>
        <v>Nearmap US, Inc.</v>
      </c>
      <c r="E286" s="16" t="str">
        <f>IFERROR(__xludf.DUMMYFUNCTION("""COMPUTED_VALUE"""),"Advantage")</f>
        <v>Advantage</v>
      </c>
      <c r="F286" s="16" t="str">
        <f>IFERROR(__xludf.DUMMYFUNCTION("""COMPUTED_VALUE"""),"armin.monajemi@nearmap.com")</f>
        <v>armin.monajemi@nearmap.com</v>
      </c>
      <c r="G286" s="16" t="str">
        <f>IFERROR(__xludf.DUMMYFUNCTION("""COMPUTED_VALUE"""),"Aaron Shaw")</f>
        <v>Aaron Shaw</v>
      </c>
      <c r="H286" s="16" t="str">
        <f>IFERROR(__xludf.DUMMYFUNCTION("""COMPUTED_VALUE"""),"PartnerConnect - Technology")</f>
        <v>PartnerConnect - Technology</v>
      </c>
      <c r="I286" s="16" t="str">
        <f>IFERROR(__xludf.DUMMYFUNCTION("""COMPUTED_VALUE"""),"1850 Ashton Blvd")</f>
        <v>1850 Ashton Blvd</v>
      </c>
      <c r="J286" s="16"/>
      <c r="K286" s="16" t="str">
        <f>IFERROR(__xludf.DUMMYFUNCTION("""COMPUTED_VALUE"""),"Lehi")</f>
        <v>Lehi</v>
      </c>
      <c r="L286" s="16" t="str">
        <f>IFERROR(__xludf.DUMMYFUNCTION("""COMPUTED_VALUE"""),"Utah")</f>
        <v>Utah</v>
      </c>
      <c r="M286" s="16">
        <f>IFERROR(__xludf.DUMMYFUNCTION("""COMPUTED_VALUE"""),84043.0)</f>
        <v>84043</v>
      </c>
      <c r="N286" s="16" t="str">
        <f>IFERROR(__xludf.DUMMYFUNCTION("""COMPUTED_VALUE"""),"United States")</f>
        <v>United States</v>
      </c>
      <c r="O286" s="16" t="str">
        <f>IFERROR(__xludf.DUMMYFUNCTION("""COMPUTED_VALUE"""),"High")</f>
        <v>High</v>
      </c>
      <c r="P286" s="16" t="b">
        <f>IFERROR(__xludf.DUMMYFUNCTION("""COMPUTED_VALUE"""),TRUE)</f>
        <v>1</v>
      </c>
      <c r="Q286" s="16" t="b">
        <f>IFERROR(__xludf.DUMMYFUNCTION("""COMPUTED_VALUE"""),FALSE)</f>
        <v>0</v>
      </c>
      <c r="R286" s="16" t="str">
        <f>IFERROR(__xludf.DUMMYFUNCTION("""COMPUTED_VALUE"""),"Admin, Business")</f>
        <v>Admin, Business</v>
      </c>
      <c r="S286" s="16" t="str">
        <f>IFERROR(__xludf.DUMMYFUNCTION("""COMPUTED_VALUE"""),"Nearmap")</f>
        <v>Nearmap</v>
      </c>
      <c r="T286" s="16" t="str">
        <f>IFERROR(__xludf.DUMMYFUNCTION("""COMPUTED_VALUE"""),"Current Partner")</f>
        <v>Current Partner</v>
      </c>
      <c r="U286" s="16" t="b">
        <f>IFERROR(__xludf.DUMMYFUNCTION("""COMPUTED_VALUE"""),FALSE)</f>
        <v>0</v>
      </c>
      <c r="V286" s="16"/>
      <c r="W286" s="16"/>
      <c r="X286" s="16"/>
    </row>
    <row r="287">
      <c r="A287" s="16" t="str">
        <f>IFERROR(__xludf.DUMMYFUNCTION("""COMPUTED_VALUE"""),"Matthew")</f>
        <v>Matthew</v>
      </c>
      <c r="B287" s="16" t="str">
        <f>IFERROR(__xludf.DUMMYFUNCTION("""COMPUTED_VALUE"""),"Taylor")</f>
        <v>Taylor</v>
      </c>
      <c r="C287" s="16" t="str">
        <f>IFERROR(__xludf.DUMMYFUNCTION("""COMPUTED_VALUE"""),"Product Manager, Global Insurance")</f>
        <v>Product Manager, Global Insurance</v>
      </c>
      <c r="D287" s="16" t="str">
        <f>IFERROR(__xludf.DUMMYFUNCTION("""COMPUTED_VALUE"""),"Nearmap US, Inc.")</f>
        <v>Nearmap US, Inc.</v>
      </c>
      <c r="E287" s="16" t="str">
        <f>IFERROR(__xludf.DUMMYFUNCTION("""COMPUTED_VALUE"""),"Advantage")</f>
        <v>Advantage</v>
      </c>
      <c r="F287" s="16" t="str">
        <f>IFERROR(__xludf.DUMMYFUNCTION("""COMPUTED_VALUE"""),"matthew.taylor@nearmap.com")</f>
        <v>matthew.taylor@nearmap.com</v>
      </c>
      <c r="G287" s="16" t="str">
        <f>IFERROR(__xludf.DUMMYFUNCTION("""COMPUTED_VALUE"""),"Aaron Shaw")</f>
        <v>Aaron Shaw</v>
      </c>
      <c r="H287" s="16" t="str">
        <f>IFERROR(__xludf.DUMMYFUNCTION("""COMPUTED_VALUE"""),"PartnerConnect - Technology")</f>
        <v>PartnerConnect - Technology</v>
      </c>
      <c r="I287" s="16"/>
      <c r="J287" s="16"/>
      <c r="K287" s="16" t="str">
        <f>IFERROR(__xludf.DUMMYFUNCTION("""COMPUTED_VALUE"""),"South Jordan")</f>
        <v>South Jordan</v>
      </c>
      <c r="L287" s="16" t="str">
        <f>IFERROR(__xludf.DUMMYFUNCTION("""COMPUTED_VALUE"""),"UT")</f>
        <v>UT</v>
      </c>
      <c r="M287" s="16">
        <f>IFERROR(__xludf.DUMMYFUNCTION("""COMPUTED_VALUE"""),84095.0)</f>
        <v>84095</v>
      </c>
      <c r="N287" s="16" t="str">
        <f>IFERROR(__xludf.DUMMYFUNCTION("""COMPUTED_VALUE"""),"United States")</f>
        <v>United States</v>
      </c>
      <c r="O287" s="16" t="str">
        <f>IFERROR(__xludf.DUMMYFUNCTION("""COMPUTED_VALUE"""),"High")</f>
        <v>High</v>
      </c>
      <c r="P287" s="16" t="b">
        <f>IFERROR(__xludf.DUMMYFUNCTION("""COMPUTED_VALUE"""),TRUE)</f>
        <v>1</v>
      </c>
      <c r="Q287" s="16" t="b">
        <f>IFERROR(__xludf.DUMMYFUNCTION("""COMPUTED_VALUE"""),TRUE)</f>
        <v>1</v>
      </c>
      <c r="R287" s="16" t="str">
        <f>IFERROR(__xludf.DUMMYFUNCTION("""COMPUTED_VALUE"""),"Admin, Business, Marketing")</f>
        <v>Admin, Business, Marketing</v>
      </c>
      <c r="S287" s="16" t="str">
        <f>IFERROR(__xludf.DUMMYFUNCTION("""COMPUTED_VALUE"""),"Nearmap")</f>
        <v>Nearmap</v>
      </c>
      <c r="T287" s="16" t="str">
        <f>IFERROR(__xludf.DUMMYFUNCTION("""COMPUTED_VALUE"""),"Current Partner")</f>
        <v>Current Partner</v>
      </c>
      <c r="U287" s="16" t="b">
        <f>IFERROR(__xludf.DUMMYFUNCTION("""COMPUTED_VALUE"""),FALSE)</f>
        <v>0</v>
      </c>
      <c r="V287" s="16"/>
      <c r="W287" s="16"/>
      <c r="X287" s="16"/>
    </row>
    <row r="288">
      <c r="A288" s="16" t="str">
        <f>IFERROR(__xludf.DUMMYFUNCTION("""COMPUTED_VALUE"""),"Jack")</f>
        <v>Jack</v>
      </c>
      <c r="B288" s="16" t="str">
        <f>IFERROR(__xludf.DUMMYFUNCTION("""COMPUTED_VALUE"""),"Miller")</f>
        <v>Miller</v>
      </c>
      <c r="C288" s="16" t="str">
        <f>IFERROR(__xludf.DUMMYFUNCTION("""COMPUTED_VALUE"""),"CEO")</f>
        <v>CEO</v>
      </c>
      <c r="D288" s="16" t="str">
        <f>IFERROR(__xludf.DUMMYFUNCTION("""COMPUTED_VALUE"""),"nettle")</f>
        <v>nettle</v>
      </c>
      <c r="E288" s="16" t="str">
        <f>IFERROR(__xludf.DUMMYFUNCTION("""COMPUTED_VALUE"""),"Insurtech Vanguard")</f>
        <v>Insurtech Vanguard</v>
      </c>
      <c r="F288" s="16" t="str">
        <f>IFERROR(__xludf.DUMMYFUNCTION("""COMPUTED_VALUE"""),"jack@getnettle.com")</f>
        <v>jack@getnettle.com</v>
      </c>
      <c r="G288" s="16" t="str">
        <f>IFERROR(__xludf.DUMMYFUNCTION("""COMPUTED_VALUE"""),"Shannon Spies")</f>
        <v>Shannon Spies</v>
      </c>
      <c r="H288" s="16"/>
      <c r="I288" s="16" t="str">
        <f>IFERROR(__xludf.DUMMYFUNCTION("""COMPUTED_VALUE"""),"Nettle Limited, Shoreditch Exchange")</f>
        <v>Nettle Limited, Shoreditch Exchange</v>
      </c>
      <c r="J288" s="16"/>
      <c r="K288" s="16" t="str">
        <f>IFERROR(__xludf.DUMMYFUNCTION("""COMPUTED_VALUE"""),"London")</f>
        <v>London</v>
      </c>
      <c r="L288" s="16" t="str">
        <f>IFERROR(__xludf.DUMMYFUNCTION("""COMPUTED_VALUE"""),"Greater London")</f>
        <v>Greater London</v>
      </c>
      <c r="M288" s="16" t="str">
        <f>IFERROR(__xludf.DUMMYFUNCTION("""COMPUTED_VALUE"""),"E2 8JF")</f>
        <v>E2 8JF</v>
      </c>
      <c r="N288" s="16" t="str">
        <f>IFERROR(__xludf.DUMMYFUNCTION("""COMPUTED_VALUE"""),"United Kingdom")</f>
        <v>United Kingdom</v>
      </c>
      <c r="O288" s="16"/>
      <c r="P288" s="16" t="b">
        <f>IFERROR(__xludf.DUMMYFUNCTION("""COMPUTED_VALUE"""),TRUE)</f>
        <v>1</v>
      </c>
      <c r="Q288" s="16" t="b">
        <f>IFERROR(__xludf.DUMMYFUNCTION("""COMPUTED_VALUE"""),FALSE)</f>
        <v>0</v>
      </c>
      <c r="R288" s="16" t="str">
        <f>IFERROR(__xludf.DUMMYFUNCTION("""COMPUTED_VALUE"""),"")</f>
        <v/>
      </c>
      <c r="S288" s="16" t="str">
        <f>IFERROR(__xludf.DUMMYFUNCTION("""COMPUTED_VALUE"""),"Nettle")</f>
        <v>Nettle</v>
      </c>
      <c r="T288" s="16" t="str">
        <f>IFERROR(__xludf.DUMMYFUNCTION("""COMPUTED_VALUE"""),"Current Vanguard")</f>
        <v>Current Vanguard</v>
      </c>
      <c r="U288" s="16" t="b">
        <f>IFERROR(__xludf.DUMMYFUNCTION("""COMPUTED_VALUE"""),FALSE)</f>
        <v>0</v>
      </c>
      <c r="V288" s="16"/>
      <c r="W288" s="16"/>
      <c r="X288" s="16"/>
    </row>
    <row r="289">
      <c r="A289" s="16" t="str">
        <f>IFERROR(__xludf.DUMMYFUNCTION("""COMPUTED_VALUE"""),"Swapnil")</f>
        <v>Swapnil</v>
      </c>
      <c r="B289" s="16" t="str">
        <f>IFERROR(__xludf.DUMMYFUNCTION("""COMPUTED_VALUE"""),"Varshney")</f>
        <v>Varshney</v>
      </c>
      <c r="C289" s="16" t="str">
        <f>IFERROR(__xludf.DUMMYFUNCTION("""COMPUTED_VALUE"""),"Senior Manager, Business Development")</f>
        <v>Senior Manager, Business Development</v>
      </c>
      <c r="D289" s="16" t="str">
        <f>IFERROR(__xludf.DUMMYFUNCTION("""COMPUTED_VALUE"""),"Newgen Software Inc.")</f>
        <v>Newgen Software Inc.</v>
      </c>
      <c r="E289" s="16" t="str">
        <f>IFERROR(__xludf.DUMMYFUNCTION("""COMPUTED_VALUE"""),"Advantage")</f>
        <v>Advantage</v>
      </c>
      <c r="F289" s="16" t="str">
        <f>IFERROR(__xludf.DUMMYFUNCTION("""COMPUTED_VALUE"""),"swapnil.varshney@newgensoft.com")</f>
        <v>swapnil.varshney@newgensoft.com</v>
      </c>
      <c r="G289" s="16" t="str">
        <f>IFERROR(__xludf.DUMMYFUNCTION("""COMPUTED_VALUE"""),"Tim Kennedy")</f>
        <v>Tim Kennedy</v>
      </c>
      <c r="H289" s="16" t="str">
        <f>IFERROR(__xludf.DUMMYFUNCTION("""COMPUTED_VALUE"""),"PartnerConnect - Technology")</f>
        <v>PartnerConnect - Technology</v>
      </c>
      <c r="I289" s="16" t="str">
        <f>IFERROR(__xludf.DUMMYFUNCTION("""COMPUTED_VALUE"""),"1364 Beverly Road, Suite 300")</f>
        <v>1364 Beverly Road, Suite 300</v>
      </c>
      <c r="J289" s="16"/>
      <c r="K289" s="16" t="str">
        <f>IFERROR(__xludf.DUMMYFUNCTION("""COMPUTED_VALUE"""),"McLean")</f>
        <v>McLean</v>
      </c>
      <c r="L289" s="16" t="str">
        <f>IFERROR(__xludf.DUMMYFUNCTION("""COMPUTED_VALUE"""),"Virginia")</f>
        <v>Virginia</v>
      </c>
      <c r="M289" s="16">
        <f>IFERROR(__xludf.DUMMYFUNCTION("""COMPUTED_VALUE"""),22101.0)</f>
        <v>22101</v>
      </c>
      <c r="N289" s="16" t="str">
        <f>IFERROR(__xludf.DUMMYFUNCTION("""COMPUTED_VALUE"""),"United States")</f>
        <v>United States</v>
      </c>
      <c r="O289" s="16" t="str">
        <f>IFERROR(__xludf.DUMMYFUNCTION("""COMPUTED_VALUE"""),"High")</f>
        <v>High</v>
      </c>
      <c r="P289" s="16" t="b">
        <f>IFERROR(__xludf.DUMMYFUNCTION("""COMPUTED_VALUE"""),TRUE)</f>
        <v>1</v>
      </c>
      <c r="Q289" s="16" t="b">
        <f>IFERROR(__xludf.DUMMYFUNCTION("""COMPUTED_VALUE"""),TRUE)</f>
        <v>1</v>
      </c>
      <c r="R289" s="16" t="str">
        <f>IFERROR(__xludf.DUMMYFUNCTION("""COMPUTED_VALUE"""),"Admin, Business, Marketing, Support, Client Partner / Partner Account Executive")</f>
        <v>Admin, Business, Marketing, Support, Client Partner / Partner Account Executive</v>
      </c>
      <c r="S289" s="16" t="str">
        <f>IFERROR(__xludf.DUMMYFUNCTION("""COMPUTED_VALUE"""),"Newgen")</f>
        <v>Newgen</v>
      </c>
      <c r="T289" s="16" t="str">
        <f>IFERROR(__xludf.DUMMYFUNCTION("""COMPUTED_VALUE"""),"Current Partner")</f>
        <v>Current Partner</v>
      </c>
      <c r="U289" s="16" t="b">
        <f>IFERROR(__xludf.DUMMYFUNCTION("""COMPUTED_VALUE"""),FALSE)</f>
        <v>0</v>
      </c>
      <c r="V289" s="16"/>
      <c r="W289" s="16"/>
      <c r="X289" s="16"/>
    </row>
    <row r="290">
      <c r="A290" s="16" t="str">
        <f>IFERROR(__xludf.DUMMYFUNCTION("""COMPUTED_VALUE"""),"Andrew")</f>
        <v>Andrew</v>
      </c>
      <c r="B290" s="16" t="str">
        <f>IFERROR(__xludf.DUMMYFUNCTION("""COMPUTED_VALUE"""),"Lowe")</f>
        <v>Lowe</v>
      </c>
      <c r="C290" s="16" t="str">
        <f>IFERROR(__xludf.DUMMYFUNCTION("""COMPUTED_VALUE"""),"Global Insurance Stream Leader")</f>
        <v>Global Insurance Stream Leader</v>
      </c>
      <c r="D290" s="16" t="str">
        <f>IFERROR(__xludf.DUMMYFUNCTION("""COMPUTED_VALUE"""),"OCTO TELEMATICS")</f>
        <v>OCTO TELEMATICS</v>
      </c>
      <c r="E290" s="16" t="str">
        <f>IFERROR(__xludf.DUMMYFUNCTION("""COMPUTED_VALUE"""),"Growth")</f>
        <v>Growth</v>
      </c>
      <c r="F290" s="16" t="str">
        <f>IFERROR(__xludf.DUMMYFUNCTION("""COMPUTED_VALUE"""),"andrew.lowe_ext@octotelematics.com")</f>
        <v>andrew.lowe_ext@octotelematics.com</v>
      </c>
      <c r="G290" s="16" t="str">
        <f>IFERROR(__xludf.DUMMYFUNCTION("""COMPUTED_VALUE"""),"Tim Kennedy")</f>
        <v>Tim Kennedy</v>
      </c>
      <c r="H290" s="16" t="str">
        <f>IFERROR(__xludf.DUMMYFUNCTION("""COMPUTED_VALUE"""),"PartnerConnect - Technology")</f>
        <v>PartnerConnect - Technology</v>
      </c>
      <c r="I290" s="16" t="str">
        <f>IFERROR(__xludf.DUMMYFUNCTION("""COMPUTED_VALUE"""),"134 Rumford Ave, Suite 302")</f>
        <v>134 Rumford Ave, Suite 302</v>
      </c>
      <c r="J290" s="16"/>
      <c r="K290" s="16" t="str">
        <f>IFERROR(__xludf.DUMMYFUNCTION("""COMPUTED_VALUE"""),"Newton")</f>
        <v>Newton</v>
      </c>
      <c r="L290" s="16" t="str">
        <f>IFERROR(__xludf.DUMMYFUNCTION("""COMPUTED_VALUE"""),"Massachusetts")</f>
        <v>Massachusetts</v>
      </c>
      <c r="M290" s="16">
        <f>IFERROR(__xludf.DUMMYFUNCTION("""COMPUTED_VALUE"""),2466.0)</f>
        <v>2466</v>
      </c>
      <c r="N290" s="16" t="str">
        <f>IFERROR(__xludf.DUMMYFUNCTION("""COMPUTED_VALUE"""),"United States")</f>
        <v>United States</v>
      </c>
      <c r="O290" s="16" t="str">
        <f>IFERROR(__xludf.DUMMYFUNCTION("""COMPUTED_VALUE"""),"Medium")</f>
        <v>Medium</v>
      </c>
      <c r="P290" s="16" t="b">
        <f>IFERROR(__xludf.DUMMYFUNCTION("""COMPUTED_VALUE"""),TRUE)</f>
        <v>1</v>
      </c>
      <c r="Q290" s="16" t="b">
        <f>IFERROR(__xludf.DUMMYFUNCTION("""COMPUTED_VALUE"""),TRUE)</f>
        <v>1</v>
      </c>
      <c r="R290" s="16" t="str">
        <f>IFERROR(__xludf.DUMMYFUNCTION("""COMPUTED_VALUE"""),"")</f>
        <v/>
      </c>
      <c r="S290" s="16" t="str">
        <f>IFERROR(__xludf.DUMMYFUNCTION("""COMPUTED_VALUE"""),"OCTO")</f>
        <v>OCTO</v>
      </c>
      <c r="T290" s="16" t="str">
        <f>IFERROR(__xludf.DUMMYFUNCTION("""COMPUTED_VALUE"""),"Current Partner")</f>
        <v>Current Partner</v>
      </c>
      <c r="U290" s="16" t="b">
        <f>IFERROR(__xludf.DUMMYFUNCTION("""COMPUTED_VALUE"""),FALSE)</f>
        <v>0</v>
      </c>
      <c r="V290" s="16"/>
      <c r="W290" s="16"/>
      <c r="X290" s="16"/>
    </row>
    <row r="291">
      <c r="A291" s="16" t="str">
        <f>IFERROR(__xludf.DUMMYFUNCTION("""COMPUTED_VALUE"""),"Tiziano")</f>
        <v>Tiziano</v>
      </c>
      <c r="B291" s="16" t="str">
        <f>IFERROR(__xludf.DUMMYFUNCTION("""COMPUTED_VALUE"""),"Della Spina")</f>
        <v>Della Spina</v>
      </c>
      <c r="C291" s="16"/>
      <c r="D291" s="16" t="str">
        <f>IFERROR(__xludf.DUMMYFUNCTION("""COMPUTED_VALUE"""),"OCTO TELEMATICS")</f>
        <v>OCTO TELEMATICS</v>
      </c>
      <c r="E291" s="16" t="str">
        <f>IFERROR(__xludf.DUMMYFUNCTION("""COMPUTED_VALUE"""),"Growth")</f>
        <v>Growth</v>
      </c>
      <c r="F291" s="16" t="str">
        <f>IFERROR(__xludf.DUMMYFUNCTION("""COMPUTED_VALUE"""),"tiziano.dellaspina@octotelematics.com")</f>
        <v>tiziano.dellaspina@octotelematics.com</v>
      </c>
      <c r="G291" s="16" t="str">
        <f>IFERROR(__xludf.DUMMYFUNCTION("""COMPUTED_VALUE"""),"Tim Kennedy")</f>
        <v>Tim Kennedy</v>
      </c>
      <c r="H291" s="16" t="str">
        <f>IFERROR(__xludf.DUMMYFUNCTION("""COMPUTED_VALUE"""),"PartnerConnect - Technology")</f>
        <v>PartnerConnect - Technology</v>
      </c>
      <c r="I291" s="16" t="str">
        <f>IFERROR(__xludf.DUMMYFUNCTION("""COMPUTED_VALUE"""),"134 Rumford Ave, Suite 302")</f>
        <v>134 Rumford Ave, Suite 302</v>
      </c>
      <c r="J291" s="16"/>
      <c r="K291" s="16" t="str">
        <f>IFERROR(__xludf.DUMMYFUNCTION("""COMPUTED_VALUE"""),"Newton")</f>
        <v>Newton</v>
      </c>
      <c r="L291" s="16" t="str">
        <f>IFERROR(__xludf.DUMMYFUNCTION("""COMPUTED_VALUE"""),"Massachusetts")</f>
        <v>Massachusetts</v>
      </c>
      <c r="M291" s="16">
        <f>IFERROR(__xludf.DUMMYFUNCTION("""COMPUTED_VALUE"""),2466.0)</f>
        <v>2466</v>
      </c>
      <c r="N291" s="16" t="str">
        <f>IFERROR(__xludf.DUMMYFUNCTION("""COMPUTED_VALUE"""),"United States")</f>
        <v>United States</v>
      </c>
      <c r="O291" s="16" t="str">
        <f>IFERROR(__xludf.DUMMYFUNCTION("""COMPUTED_VALUE"""),"Medium")</f>
        <v>Medium</v>
      </c>
      <c r="P291" s="16" t="b">
        <f>IFERROR(__xludf.DUMMYFUNCTION("""COMPUTED_VALUE"""),FALSE)</f>
        <v>0</v>
      </c>
      <c r="Q291" s="16" t="b">
        <f>IFERROR(__xludf.DUMMYFUNCTION("""COMPUTED_VALUE"""),TRUE)</f>
        <v>1</v>
      </c>
      <c r="R291" s="16" t="str">
        <f>IFERROR(__xludf.DUMMYFUNCTION("""COMPUTED_VALUE"""),"Admin, Business, Marketing")</f>
        <v>Admin, Business, Marketing</v>
      </c>
      <c r="S291" s="16" t="str">
        <f>IFERROR(__xludf.DUMMYFUNCTION("""COMPUTED_VALUE"""),"OCTO")</f>
        <v>OCTO</v>
      </c>
      <c r="T291" s="16" t="str">
        <f>IFERROR(__xludf.DUMMYFUNCTION("""COMPUTED_VALUE"""),"Current Partner")</f>
        <v>Current Partner</v>
      </c>
      <c r="U291" s="16" t="b">
        <f>IFERROR(__xludf.DUMMYFUNCTION("""COMPUTED_VALUE"""),FALSE)</f>
        <v>0</v>
      </c>
      <c r="V291" s="16"/>
      <c r="W291" s="16"/>
      <c r="X291" s="16"/>
    </row>
    <row r="292">
      <c r="A292" s="16" t="str">
        <f>IFERROR(__xludf.DUMMYFUNCTION("""COMPUTED_VALUE"""),"Carmen")</f>
        <v>Carmen</v>
      </c>
      <c r="B292" s="16" t="str">
        <f>IFERROR(__xludf.DUMMYFUNCTION("""COMPUTED_VALUE"""),"Galderisi")</f>
        <v>Galderisi</v>
      </c>
      <c r="C292" s="16" t="str">
        <f>IFERROR(__xludf.DUMMYFUNCTION("""COMPUTED_VALUE"""),"Senior Marketing Event Specialist")</f>
        <v>Senior Marketing Event Specialist</v>
      </c>
      <c r="D292" s="16" t="str">
        <f>IFERROR(__xludf.DUMMYFUNCTION("""COMPUTED_VALUE"""),"ODG by MCG Health")</f>
        <v>ODG by MCG Health</v>
      </c>
      <c r="E292" s="16" t="str">
        <f>IFERROR(__xludf.DUMMYFUNCTION("""COMPUTED_VALUE"""),"Growth")</f>
        <v>Growth</v>
      </c>
      <c r="F292" s="16" t="str">
        <f>IFERROR(__xludf.DUMMYFUNCTION("""COMPUTED_VALUE"""),"carmen.galderisi@mcg.com")</f>
        <v>carmen.galderisi@mcg.com</v>
      </c>
      <c r="G292" s="16" t="str">
        <f>IFERROR(__xludf.DUMMYFUNCTION("""COMPUTED_VALUE"""),"Eric Apse")</f>
        <v>Eric Apse</v>
      </c>
      <c r="H292" s="16" t="str">
        <f>IFERROR(__xludf.DUMMYFUNCTION("""COMPUTED_VALUE"""),"PartnerConnect - Technology")</f>
        <v>PartnerConnect - Technology</v>
      </c>
      <c r="I292" s="16" t="str">
        <f>IFERROR(__xludf.DUMMYFUNCTION("""COMPUTED_VALUE"""),"2801 Via Fortuna, Suite 660")</f>
        <v>2801 Via Fortuna, Suite 660</v>
      </c>
      <c r="J292" s="16"/>
      <c r="K292" s="16" t="str">
        <f>IFERROR(__xludf.DUMMYFUNCTION("""COMPUTED_VALUE"""),"Austin")</f>
        <v>Austin</v>
      </c>
      <c r="L292" s="16" t="str">
        <f>IFERROR(__xludf.DUMMYFUNCTION("""COMPUTED_VALUE"""),"TEXAS")</f>
        <v>TEXAS</v>
      </c>
      <c r="M292" s="16">
        <f>IFERROR(__xludf.DUMMYFUNCTION("""COMPUTED_VALUE"""),78746.0)</f>
        <v>78746</v>
      </c>
      <c r="N292" s="16" t="str">
        <f>IFERROR(__xludf.DUMMYFUNCTION("""COMPUTED_VALUE"""),"United States")</f>
        <v>United States</v>
      </c>
      <c r="O292" s="16" t="str">
        <f>IFERROR(__xludf.DUMMYFUNCTION("""COMPUTED_VALUE"""),"Medium")</f>
        <v>Medium</v>
      </c>
      <c r="P292" s="16" t="b">
        <f>IFERROR(__xludf.DUMMYFUNCTION("""COMPUTED_VALUE"""),FALSE)</f>
        <v>0</v>
      </c>
      <c r="Q292" s="16" t="b">
        <f>IFERROR(__xludf.DUMMYFUNCTION("""COMPUTED_VALUE"""),TRUE)</f>
        <v>1</v>
      </c>
      <c r="R292" s="16" t="str">
        <f>IFERROR(__xludf.DUMMYFUNCTION("""COMPUTED_VALUE"""),"Events, Marketing")</f>
        <v>Events, Marketing</v>
      </c>
      <c r="S292" s="16" t="str">
        <f>IFERROR(__xludf.DUMMYFUNCTION("""COMPUTED_VALUE"""),"ODG")</f>
        <v>ODG</v>
      </c>
      <c r="T292" s="16" t="str">
        <f>IFERROR(__xludf.DUMMYFUNCTION("""COMPUTED_VALUE"""),"Current Partner")</f>
        <v>Current Partner</v>
      </c>
      <c r="U292" s="16" t="b">
        <f>IFERROR(__xludf.DUMMYFUNCTION("""COMPUTED_VALUE"""),FALSE)</f>
        <v>0</v>
      </c>
      <c r="V292" s="16"/>
      <c r="W292" s="16"/>
      <c r="X292" s="16"/>
    </row>
    <row r="293">
      <c r="A293" s="16" t="str">
        <f>IFERROR(__xludf.DUMMYFUNCTION("""COMPUTED_VALUE"""),"Rebecca")</f>
        <v>Rebecca</v>
      </c>
      <c r="B293" s="16" t="str">
        <f>IFERROR(__xludf.DUMMYFUNCTION("""COMPUTED_VALUE"""),"Thompson")</f>
        <v>Thompson</v>
      </c>
      <c r="C293" s="16" t="str">
        <f>IFERROR(__xludf.DUMMYFUNCTION("""COMPUTED_VALUE"""),"Senior Strategic Partnerships Manager")</f>
        <v>Senior Strategic Partnerships Manager</v>
      </c>
      <c r="D293" s="16" t="str">
        <f>IFERROR(__xludf.DUMMYFUNCTION("""COMPUTED_VALUE"""),"ODG by MCG Health")</f>
        <v>ODG by MCG Health</v>
      </c>
      <c r="E293" s="16" t="str">
        <f>IFERROR(__xludf.DUMMYFUNCTION("""COMPUTED_VALUE"""),"Growth")</f>
        <v>Growth</v>
      </c>
      <c r="F293" s="16" t="str">
        <f>IFERROR(__xludf.DUMMYFUNCTION("""COMPUTED_VALUE"""),"rebecca.thompson@mcg.com")</f>
        <v>rebecca.thompson@mcg.com</v>
      </c>
      <c r="G293" s="16" t="str">
        <f>IFERROR(__xludf.DUMMYFUNCTION("""COMPUTED_VALUE"""),"Eric Apse")</f>
        <v>Eric Apse</v>
      </c>
      <c r="H293" s="16" t="str">
        <f>IFERROR(__xludf.DUMMYFUNCTION("""COMPUTED_VALUE"""),"PartnerConnect - Technology")</f>
        <v>PartnerConnect - Technology</v>
      </c>
      <c r="I293" s="16"/>
      <c r="J293" s="16"/>
      <c r="K293" s="16"/>
      <c r="L293" s="16"/>
      <c r="M293" s="16"/>
      <c r="N293" s="16" t="str">
        <f>IFERROR(__xludf.DUMMYFUNCTION("""COMPUTED_VALUE"""),"United States")</f>
        <v>United States</v>
      </c>
      <c r="O293" s="16" t="str">
        <f>IFERROR(__xludf.DUMMYFUNCTION("""COMPUTED_VALUE"""),"Medium")</f>
        <v>Medium</v>
      </c>
      <c r="P293" s="16" t="b">
        <f>IFERROR(__xludf.DUMMYFUNCTION("""COMPUTED_VALUE"""),TRUE)</f>
        <v>1</v>
      </c>
      <c r="Q293" s="16" t="b">
        <f>IFERROR(__xludf.DUMMYFUNCTION("""COMPUTED_VALUE"""),FALSE)</f>
        <v>0</v>
      </c>
      <c r="R293" s="16" t="str">
        <f>IFERROR(__xludf.DUMMYFUNCTION("""COMPUTED_VALUE"""),"Admin, Business")</f>
        <v>Admin, Business</v>
      </c>
      <c r="S293" s="16" t="str">
        <f>IFERROR(__xludf.DUMMYFUNCTION("""COMPUTED_VALUE"""),"ODG")</f>
        <v>ODG</v>
      </c>
      <c r="T293" s="16" t="str">
        <f>IFERROR(__xludf.DUMMYFUNCTION("""COMPUTED_VALUE"""),"Current Partner")</f>
        <v>Current Partner</v>
      </c>
      <c r="U293" s="16" t="b">
        <f>IFERROR(__xludf.DUMMYFUNCTION("""COMPUTED_VALUE"""),FALSE)</f>
        <v>0</v>
      </c>
      <c r="V293" s="16"/>
      <c r="W293" s="16"/>
      <c r="X293" s="16"/>
    </row>
    <row r="294">
      <c r="A294" s="16" t="str">
        <f>IFERROR(__xludf.DUMMYFUNCTION("""COMPUTED_VALUE"""),"Ken")</f>
        <v>Ken</v>
      </c>
      <c r="B294" s="16" t="str">
        <f>IFERROR(__xludf.DUMMYFUNCTION("""COMPUTED_VALUE"""),"Eagleson")</f>
        <v>Eagleson</v>
      </c>
      <c r="C294" s="16" t="str">
        <f>IFERROR(__xludf.DUMMYFUNCTION("""COMPUTED_VALUE"""),"VP, Insurance Solutions")</f>
        <v>VP, Insurance Solutions</v>
      </c>
      <c r="D294" s="16" t="str">
        <f>IFERROR(__xludf.DUMMYFUNCTION("""COMPUTED_VALUE"""),"OEConnection LLC")</f>
        <v>OEConnection LLC</v>
      </c>
      <c r="E294" s="16" t="str">
        <f>IFERROR(__xludf.DUMMYFUNCTION("""COMPUTED_VALUE"""),"Growth")</f>
        <v>Growth</v>
      </c>
      <c r="F294" s="16" t="str">
        <f>IFERROR(__xludf.DUMMYFUNCTION("""COMPUTED_VALUE"""),"ken.eagleson@oeconnection.com")</f>
        <v>ken.eagleson@oeconnection.com</v>
      </c>
      <c r="G294" s="16" t="str">
        <f>IFERROR(__xludf.DUMMYFUNCTION("""COMPUTED_VALUE"""),"Rod Gowin")</f>
        <v>Rod Gowin</v>
      </c>
      <c r="H294" s="16" t="str">
        <f>IFERROR(__xludf.DUMMYFUNCTION("""COMPUTED_VALUE"""),"PartnerConnect - Technology")</f>
        <v>PartnerConnect - Technology</v>
      </c>
      <c r="I294" s="16" t="str">
        <f>IFERROR(__xludf.DUMMYFUNCTION("""COMPUTED_VALUE"""),"10 Rocky Wood Drive")</f>
        <v>10 Rocky Wood Drive</v>
      </c>
      <c r="J294" s="16"/>
      <c r="K294" s="16" t="str">
        <f>IFERROR(__xludf.DUMMYFUNCTION("""COMPUTED_VALUE"""),"Sandy Hook")</f>
        <v>Sandy Hook</v>
      </c>
      <c r="L294" s="16" t="str">
        <f>IFERROR(__xludf.DUMMYFUNCTION("""COMPUTED_VALUE"""),"Connecticut")</f>
        <v>Connecticut</v>
      </c>
      <c r="M294" s="16">
        <f>IFERROR(__xludf.DUMMYFUNCTION("""COMPUTED_VALUE"""),6482.0)</f>
        <v>6482</v>
      </c>
      <c r="N294" s="16" t="str">
        <f>IFERROR(__xludf.DUMMYFUNCTION("""COMPUTED_VALUE"""),"United States")</f>
        <v>United States</v>
      </c>
      <c r="O294" s="16" t="str">
        <f>IFERROR(__xludf.DUMMYFUNCTION("""COMPUTED_VALUE"""),"Low")</f>
        <v>Low</v>
      </c>
      <c r="P294" s="16" t="b">
        <f>IFERROR(__xludf.DUMMYFUNCTION("""COMPUTED_VALUE"""),TRUE)</f>
        <v>1</v>
      </c>
      <c r="Q294" s="16" t="b">
        <f>IFERROR(__xludf.DUMMYFUNCTION("""COMPUTED_VALUE"""),FALSE)</f>
        <v>0</v>
      </c>
      <c r="R294" s="16" t="str">
        <f>IFERROR(__xludf.DUMMYFUNCTION("""COMPUTED_VALUE"""),"Admin, Business")</f>
        <v>Admin, Business</v>
      </c>
      <c r="S294" s="16" t="str">
        <f>IFERROR(__xludf.DUMMYFUNCTION("""COMPUTED_VALUE"""),"NuGen")</f>
        <v>NuGen</v>
      </c>
      <c r="T294" s="16" t="str">
        <f>IFERROR(__xludf.DUMMYFUNCTION("""COMPUTED_VALUE"""),"Current Partner")</f>
        <v>Current Partner</v>
      </c>
      <c r="U294" s="16" t="b">
        <f>IFERROR(__xludf.DUMMYFUNCTION("""COMPUTED_VALUE"""),FALSE)</f>
        <v>0</v>
      </c>
      <c r="V294" s="16"/>
      <c r="W294" s="16"/>
      <c r="X294" s="16"/>
    </row>
    <row r="295">
      <c r="A295" s="16" t="str">
        <f>IFERROR(__xludf.DUMMYFUNCTION("""COMPUTED_VALUE"""),"Brooke")</f>
        <v>Brooke</v>
      </c>
      <c r="B295" s="16" t="str">
        <f>IFERROR(__xludf.DUMMYFUNCTION("""COMPUTED_VALUE"""),"Sacrider")</f>
        <v>Sacrider</v>
      </c>
      <c r="C295" s="16" t="str">
        <f>IFERROR(__xludf.DUMMYFUNCTION("""COMPUTED_VALUE"""),"VP, Marketing")</f>
        <v>VP, Marketing</v>
      </c>
      <c r="D295" s="16" t="str">
        <f>IFERROR(__xludf.DUMMYFUNCTION("""COMPUTED_VALUE"""),"One Inc")</f>
        <v>One Inc</v>
      </c>
      <c r="E295" s="16" t="str">
        <f>IFERROR(__xludf.DUMMYFUNCTION("""COMPUTED_VALUE"""),"Premier")</f>
        <v>Premier</v>
      </c>
      <c r="F295" s="16" t="str">
        <f>IFERROR(__xludf.DUMMYFUNCTION("""COMPUTED_VALUE"""),"bsacrider@oneinc.com")</f>
        <v>bsacrider@oneinc.com</v>
      </c>
      <c r="G295" s="16" t="str">
        <f>IFERROR(__xludf.DUMMYFUNCTION("""COMPUTED_VALUE"""),"Kelly Clayton")</f>
        <v>Kelly Clayton</v>
      </c>
      <c r="H295" s="16" t="str">
        <f>IFERROR(__xludf.DUMMYFUNCTION("""COMPUTED_VALUE"""),"PartnerConnect - Technology")</f>
        <v>PartnerConnect - Technology</v>
      </c>
      <c r="I295" s="16" t="str">
        <f>IFERROR(__xludf.DUMMYFUNCTION("""COMPUTED_VALUE"""),"620 Coolidge Drive")</f>
        <v>620 Coolidge Drive</v>
      </c>
      <c r="J295" s="16"/>
      <c r="K295" s="16" t="str">
        <f>IFERROR(__xludf.DUMMYFUNCTION("""COMPUTED_VALUE"""),"Folsom")</f>
        <v>Folsom</v>
      </c>
      <c r="L295" s="16" t="str">
        <f>IFERROR(__xludf.DUMMYFUNCTION("""COMPUTED_VALUE"""),"California")</f>
        <v>California</v>
      </c>
      <c r="M295" s="16">
        <f>IFERROR(__xludf.DUMMYFUNCTION("""COMPUTED_VALUE"""),95630.0)</f>
        <v>95630</v>
      </c>
      <c r="N295" s="16" t="str">
        <f>IFERROR(__xludf.DUMMYFUNCTION("""COMPUTED_VALUE"""),"United States")</f>
        <v>United States</v>
      </c>
      <c r="O295" s="16" t="str">
        <f>IFERROR(__xludf.DUMMYFUNCTION("""COMPUTED_VALUE"""),"Strategic")</f>
        <v>Strategic</v>
      </c>
      <c r="P295" s="16" t="b">
        <f>IFERROR(__xludf.DUMMYFUNCTION("""COMPUTED_VALUE"""),FALSE)</f>
        <v>0</v>
      </c>
      <c r="Q295" s="16" t="b">
        <f>IFERROR(__xludf.DUMMYFUNCTION("""COMPUTED_VALUE"""),TRUE)</f>
        <v>1</v>
      </c>
      <c r="R295" s="16" t="str">
        <f>IFERROR(__xludf.DUMMYFUNCTION("""COMPUTED_VALUE"""),"Business, Events, Marketing")</f>
        <v>Business, Events, Marketing</v>
      </c>
      <c r="S295" s="16" t="str">
        <f>IFERROR(__xludf.DUMMYFUNCTION("""COMPUTED_VALUE"""),"One Inc")</f>
        <v>One Inc</v>
      </c>
      <c r="T295" s="16" t="str">
        <f>IFERROR(__xludf.DUMMYFUNCTION("""COMPUTED_VALUE"""),"Current Partner")</f>
        <v>Current Partner</v>
      </c>
      <c r="U295" s="16" t="b">
        <f>IFERROR(__xludf.DUMMYFUNCTION("""COMPUTED_VALUE"""),FALSE)</f>
        <v>0</v>
      </c>
      <c r="V295" s="16"/>
      <c r="W295" s="16"/>
      <c r="X295" s="16"/>
    </row>
    <row r="296">
      <c r="A296" s="16" t="str">
        <f>IFERROR(__xludf.DUMMYFUNCTION("""COMPUTED_VALUE"""),"Mark")</f>
        <v>Mark</v>
      </c>
      <c r="B296" s="16" t="str">
        <f>IFERROR(__xludf.DUMMYFUNCTION("""COMPUTED_VALUE"""),"Cicero")</f>
        <v>Cicero</v>
      </c>
      <c r="C296" s="16" t="str">
        <f>IFERROR(__xludf.DUMMYFUNCTION("""COMPUTED_VALUE"""),"Director, Alliances")</f>
        <v>Director, Alliances</v>
      </c>
      <c r="D296" s="16" t="str">
        <f>IFERROR(__xludf.DUMMYFUNCTION("""COMPUTED_VALUE"""),"One Inc")</f>
        <v>One Inc</v>
      </c>
      <c r="E296" s="16" t="str">
        <f>IFERROR(__xludf.DUMMYFUNCTION("""COMPUTED_VALUE"""),"Premier")</f>
        <v>Premier</v>
      </c>
      <c r="F296" s="16" t="str">
        <f>IFERROR(__xludf.DUMMYFUNCTION("""COMPUTED_VALUE"""),"mcicero@oneinc.com")</f>
        <v>mcicero@oneinc.com</v>
      </c>
      <c r="G296" s="16" t="str">
        <f>IFERROR(__xludf.DUMMYFUNCTION("""COMPUTED_VALUE"""),"Kelly Clayton")</f>
        <v>Kelly Clayton</v>
      </c>
      <c r="H296" s="16" t="str">
        <f>IFERROR(__xludf.DUMMYFUNCTION("""COMPUTED_VALUE"""),"PartnerConnect - Technology")</f>
        <v>PartnerConnect - Technology</v>
      </c>
      <c r="I296" s="16" t="str">
        <f>IFERROR(__xludf.DUMMYFUNCTION("""COMPUTED_VALUE"""),"620 Coolidge Drive")</f>
        <v>620 Coolidge Drive</v>
      </c>
      <c r="J296" s="16"/>
      <c r="K296" s="16" t="str">
        <f>IFERROR(__xludf.DUMMYFUNCTION("""COMPUTED_VALUE"""),"Folsom")</f>
        <v>Folsom</v>
      </c>
      <c r="L296" s="16" t="str">
        <f>IFERROR(__xludf.DUMMYFUNCTION("""COMPUTED_VALUE"""),"CALIFORNIA")</f>
        <v>CALIFORNIA</v>
      </c>
      <c r="M296" s="16">
        <f>IFERROR(__xludf.DUMMYFUNCTION("""COMPUTED_VALUE"""),95630.0)</f>
        <v>95630</v>
      </c>
      <c r="N296" s="16" t="str">
        <f>IFERROR(__xludf.DUMMYFUNCTION("""COMPUTED_VALUE"""),"United States")</f>
        <v>United States</v>
      </c>
      <c r="O296" s="16" t="str">
        <f>IFERROR(__xludf.DUMMYFUNCTION("""COMPUTED_VALUE"""),"Strategic")</f>
        <v>Strategic</v>
      </c>
      <c r="P296" s="16" t="b">
        <f>IFERROR(__xludf.DUMMYFUNCTION("""COMPUTED_VALUE"""),TRUE)</f>
        <v>1</v>
      </c>
      <c r="Q296" s="16" t="b">
        <f>IFERROR(__xludf.DUMMYFUNCTION("""COMPUTED_VALUE"""),FALSE)</f>
        <v>0</v>
      </c>
      <c r="R296" s="16" t="str">
        <f>IFERROR(__xludf.DUMMYFUNCTION("""COMPUTED_VALUE"""),"Admin, Business, Marketing")</f>
        <v>Admin, Business, Marketing</v>
      </c>
      <c r="S296" s="16" t="str">
        <f>IFERROR(__xludf.DUMMYFUNCTION("""COMPUTED_VALUE"""),"One Inc")</f>
        <v>One Inc</v>
      </c>
      <c r="T296" s="16" t="str">
        <f>IFERROR(__xludf.DUMMYFUNCTION("""COMPUTED_VALUE"""),"Current Partner")</f>
        <v>Current Partner</v>
      </c>
      <c r="U296" s="16" t="b">
        <f>IFERROR(__xludf.DUMMYFUNCTION("""COMPUTED_VALUE"""),FALSE)</f>
        <v>0</v>
      </c>
      <c r="V296" s="16"/>
      <c r="W296" s="16"/>
      <c r="X296" s="16"/>
    </row>
    <row r="297">
      <c r="A297" s="16" t="str">
        <f>IFERROR(__xludf.DUMMYFUNCTION("""COMPUTED_VALUE"""),"Ian")</f>
        <v>Ian</v>
      </c>
      <c r="B297" s="16" t="str">
        <f>IFERROR(__xludf.DUMMYFUNCTION("""COMPUTED_VALUE"""),"Drysdale")</f>
        <v>Drysdale</v>
      </c>
      <c r="C297" s="16" t="str">
        <f>IFERROR(__xludf.DUMMYFUNCTION("""COMPUTED_VALUE"""),"Chief Executive Officer")</f>
        <v>Chief Executive Officer</v>
      </c>
      <c r="D297" s="16" t="str">
        <f>IFERROR(__xludf.DUMMYFUNCTION("""COMPUTED_VALUE"""),"One Inc")</f>
        <v>One Inc</v>
      </c>
      <c r="E297" s="16" t="str">
        <f>IFERROR(__xludf.DUMMYFUNCTION("""COMPUTED_VALUE"""),"Premier")</f>
        <v>Premier</v>
      </c>
      <c r="F297" s="16" t="str">
        <f>IFERROR(__xludf.DUMMYFUNCTION("""COMPUTED_VALUE"""),"idrysdale@oneinc.com")</f>
        <v>idrysdale@oneinc.com</v>
      </c>
      <c r="G297" s="16" t="str">
        <f>IFERROR(__xludf.DUMMYFUNCTION("""COMPUTED_VALUE"""),"Kelly Clayton")</f>
        <v>Kelly Clayton</v>
      </c>
      <c r="H297" s="16" t="str">
        <f>IFERROR(__xludf.DUMMYFUNCTION("""COMPUTED_VALUE"""),"PartnerConnect - Technology")</f>
        <v>PartnerConnect - Technology</v>
      </c>
      <c r="I297" s="16" t="str">
        <f>IFERROR(__xludf.DUMMYFUNCTION("""COMPUTED_VALUE"""),"620 Coolidge Drive")</f>
        <v>620 Coolidge Drive</v>
      </c>
      <c r="J297" s="16"/>
      <c r="K297" s="16" t="str">
        <f>IFERROR(__xludf.DUMMYFUNCTION("""COMPUTED_VALUE"""),"Folsom")</f>
        <v>Folsom</v>
      </c>
      <c r="L297" s="16" t="str">
        <f>IFERROR(__xludf.DUMMYFUNCTION("""COMPUTED_VALUE"""),"California")</f>
        <v>California</v>
      </c>
      <c r="M297" s="16">
        <f>IFERROR(__xludf.DUMMYFUNCTION("""COMPUTED_VALUE"""),95630.0)</f>
        <v>95630</v>
      </c>
      <c r="N297" s="16" t="str">
        <f>IFERROR(__xludf.DUMMYFUNCTION("""COMPUTED_VALUE"""),"United States")</f>
        <v>United States</v>
      </c>
      <c r="O297" s="16" t="str">
        <f>IFERROR(__xludf.DUMMYFUNCTION("""COMPUTED_VALUE"""),"Strategic")</f>
        <v>Strategic</v>
      </c>
      <c r="P297" s="16" t="b">
        <f>IFERROR(__xludf.DUMMYFUNCTION("""COMPUTED_VALUE"""),FALSE)</f>
        <v>0</v>
      </c>
      <c r="Q297" s="16" t="b">
        <f>IFERROR(__xludf.DUMMYFUNCTION("""COMPUTED_VALUE"""),TRUE)</f>
        <v>1</v>
      </c>
      <c r="R297" s="16" t="str">
        <f>IFERROR(__xludf.DUMMYFUNCTION("""COMPUTED_VALUE"""),"Business, Marketing")</f>
        <v>Business, Marketing</v>
      </c>
      <c r="S297" s="16" t="str">
        <f>IFERROR(__xludf.DUMMYFUNCTION("""COMPUTED_VALUE"""),"One Inc")</f>
        <v>One Inc</v>
      </c>
      <c r="T297" s="16" t="str">
        <f>IFERROR(__xludf.DUMMYFUNCTION("""COMPUTED_VALUE"""),"Current Partner")</f>
        <v>Current Partner</v>
      </c>
      <c r="U297" s="16" t="b">
        <f>IFERROR(__xludf.DUMMYFUNCTION("""COMPUTED_VALUE"""),FALSE)</f>
        <v>0</v>
      </c>
      <c r="V297" s="16"/>
      <c r="W297" s="16"/>
      <c r="X297" s="16"/>
    </row>
    <row r="298">
      <c r="A298" s="16" t="str">
        <f>IFERROR(__xludf.DUMMYFUNCTION("""COMPUTED_VALUE"""),"Drago")</f>
        <v>Drago</v>
      </c>
      <c r="B298" s="16" t="str">
        <f>IFERROR(__xludf.DUMMYFUNCTION("""COMPUTED_VALUE"""),"Dzerve")</f>
        <v>Dzerve</v>
      </c>
      <c r="C298" s="16" t="str">
        <f>IFERROR(__xludf.DUMMYFUNCTION("""COMPUTED_VALUE"""),"SVP - Business Development")</f>
        <v>SVP - Business Development</v>
      </c>
      <c r="D298" s="16" t="str">
        <f>IFERROR(__xludf.DUMMYFUNCTION("""COMPUTED_VALUE"""),"One Inc")</f>
        <v>One Inc</v>
      </c>
      <c r="E298" s="16" t="str">
        <f>IFERROR(__xludf.DUMMYFUNCTION("""COMPUTED_VALUE"""),"Premier")</f>
        <v>Premier</v>
      </c>
      <c r="F298" s="16" t="str">
        <f>IFERROR(__xludf.DUMMYFUNCTION("""COMPUTED_VALUE"""),"ddzerve@oneinc.com")</f>
        <v>ddzerve@oneinc.com</v>
      </c>
      <c r="G298" s="16" t="str">
        <f>IFERROR(__xludf.DUMMYFUNCTION("""COMPUTED_VALUE"""),"Kelly Clayton")</f>
        <v>Kelly Clayton</v>
      </c>
      <c r="H298" s="16" t="str">
        <f>IFERROR(__xludf.DUMMYFUNCTION("""COMPUTED_VALUE"""),"PartnerConnect - Technology")</f>
        <v>PartnerConnect - Technology</v>
      </c>
      <c r="I298" s="16" t="str">
        <f>IFERROR(__xludf.DUMMYFUNCTION("""COMPUTED_VALUE"""),"620 Coolidge Drive")</f>
        <v>620 Coolidge Drive</v>
      </c>
      <c r="J298" s="16"/>
      <c r="K298" s="16" t="str">
        <f>IFERROR(__xludf.DUMMYFUNCTION("""COMPUTED_VALUE"""),"Folsom")</f>
        <v>Folsom</v>
      </c>
      <c r="L298" s="16" t="str">
        <f>IFERROR(__xludf.DUMMYFUNCTION("""COMPUTED_VALUE"""),"California")</f>
        <v>California</v>
      </c>
      <c r="M298" s="16">
        <f>IFERROR(__xludf.DUMMYFUNCTION("""COMPUTED_VALUE"""),95630.0)</f>
        <v>95630</v>
      </c>
      <c r="N298" s="16" t="str">
        <f>IFERROR(__xludf.DUMMYFUNCTION("""COMPUTED_VALUE"""),"United States")</f>
        <v>United States</v>
      </c>
      <c r="O298" s="16" t="str">
        <f>IFERROR(__xludf.DUMMYFUNCTION("""COMPUTED_VALUE"""),"Strategic")</f>
        <v>Strategic</v>
      </c>
      <c r="P298" s="16" t="b">
        <f>IFERROR(__xludf.DUMMYFUNCTION("""COMPUTED_VALUE"""),TRUE)</f>
        <v>1</v>
      </c>
      <c r="Q298" s="16" t="b">
        <f>IFERROR(__xludf.DUMMYFUNCTION("""COMPUTED_VALUE"""),FALSE)</f>
        <v>0</v>
      </c>
      <c r="R298" s="16" t="str">
        <f>IFERROR(__xludf.DUMMYFUNCTION("""COMPUTED_VALUE"""),"Admin, Business")</f>
        <v>Admin, Business</v>
      </c>
      <c r="S298" s="16" t="str">
        <f>IFERROR(__xludf.DUMMYFUNCTION("""COMPUTED_VALUE"""),"One Inc")</f>
        <v>One Inc</v>
      </c>
      <c r="T298" s="16" t="str">
        <f>IFERROR(__xludf.DUMMYFUNCTION("""COMPUTED_VALUE"""),"Current Partner")</f>
        <v>Current Partner</v>
      </c>
      <c r="U298" s="16" t="b">
        <f>IFERROR(__xludf.DUMMYFUNCTION("""COMPUTED_VALUE"""),FALSE)</f>
        <v>0</v>
      </c>
      <c r="V298" s="16"/>
      <c r="W298" s="16"/>
      <c r="X298" s="16"/>
    </row>
    <row r="299">
      <c r="A299" s="16" t="str">
        <f>IFERROR(__xludf.DUMMYFUNCTION("""COMPUTED_VALUE"""),"George")</f>
        <v>George</v>
      </c>
      <c r="B299" s="16" t="str">
        <f>IFERROR(__xludf.DUMMYFUNCTION("""COMPUTED_VALUE"""),"Kostakos")</f>
        <v>Kostakos</v>
      </c>
      <c r="C299" s="16" t="str">
        <f>IFERROR(__xludf.DUMMYFUNCTION("""COMPUTED_VALUE"""),"VIce President Strategic Alliances")</f>
        <v>VIce President Strategic Alliances</v>
      </c>
      <c r="D299" s="16" t="str">
        <f>IFERROR(__xludf.DUMMYFUNCTION("""COMPUTED_VALUE"""),"One Inc")</f>
        <v>One Inc</v>
      </c>
      <c r="E299" s="16" t="str">
        <f>IFERROR(__xludf.DUMMYFUNCTION("""COMPUTED_VALUE"""),"Premier")</f>
        <v>Premier</v>
      </c>
      <c r="F299" s="16" t="str">
        <f>IFERROR(__xludf.DUMMYFUNCTION("""COMPUTED_VALUE"""),"gkostakos@oneinc.com")</f>
        <v>gkostakos@oneinc.com</v>
      </c>
      <c r="G299" s="16" t="str">
        <f>IFERROR(__xludf.DUMMYFUNCTION("""COMPUTED_VALUE"""),"Kelly Clayton")</f>
        <v>Kelly Clayton</v>
      </c>
      <c r="H299" s="16" t="str">
        <f>IFERROR(__xludf.DUMMYFUNCTION("""COMPUTED_VALUE"""),"PartnerConnect - Technology")</f>
        <v>PartnerConnect - Technology</v>
      </c>
      <c r="I299" s="16" t="str">
        <f>IFERROR(__xludf.DUMMYFUNCTION("""COMPUTED_VALUE"""),"620 Coolidge Drive")</f>
        <v>620 Coolidge Drive</v>
      </c>
      <c r="J299" s="16"/>
      <c r="K299" s="16" t="str">
        <f>IFERROR(__xludf.DUMMYFUNCTION("""COMPUTED_VALUE"""),"Folsom")</f>
        <v>Folsom</v>
      </c>
      <c r="L299" s="16" t="str">
        <f>IFERROR(__xludf.DUMMYFUNCTION("""COMPUTED_VALUE"""),"California")</f>
        <v>California</v>
      </c>
      <c r="M299" s="16">
        <f>IFERROR(__xludf.DUMMYFUNCTION("""COMPUTED_VALUE"""),95630.0)</f>
        <v>95630</v>
      </c>
      <c r="N299" s="16" t="str">
        <f>IFERROR(__xludf.DUMMYFUNCTION("""COMPUTED_VALUE"""),"United States")</f>
        <v>United States</v>
      </c>
      <c r="O299" s="16" t="str">
        <f>IFERROR(__xludf.DUMMYFUNCTION("""COMPUTED_VALUE"""),"Strategic")</f>
        <v>Strategic</v>
      </c>
      <c r="P299" s="16" t="b">
        <f>IFERROR(__xludf.DUMMYFUNCTION("""COMPUTED_VALUE"""),TRUE)</f>
        <v>1</v>
      </c>
      <c r="Q299" s="16" t="b">
        <f>IFERROR(__xludf.DUMMYFUNCTION("""COMPUTED_VALUE"""),FALSE)</f>
        <v>0</v>
      </c>
      <c r="R299" s="16" t="str">
        <f>IFERROR(__xludf.DUMMYFUNCTION("""COMPUTED_VALUE"""),"Admin")</f>
        <v>Admin</v>
      </c>
      <c r="S299" s="16" t="str">
        <f>IFERROR(__xludf.DUMMYFUNCTION("""COMPUTED_VALUE"""),"One Inc")</f>
        <v>One Inc</v>
      </c>
      <c r="T299" s="16" t="str">
        <f>IFERROR(__xludf.DUMMYFUNCTION("""COMPUTED_VALUE"""),"Current Partner")</f>
        <v>Current Partner</v>
      </c>
      <c r="U299" s="16" t="b">
        <f>IFERROR(__xludf.DUMMYFUNCTION("""COMPUTED_VALUE"""),FALSE)</f>
        <v>0</v>
      </c>
      <c r="V299" s="16"/>
      <c r="W299" s="16"/>
      <c r="X299" s="16"/>
    </row>
    <row r="300">
      <c r="A300" s="16" t="str">
        <f>IFERROR(__xludf.DUMMYFUNCTION("""COMPUTED_VALUE"""),"Bretton")</f>
        <v>Bretton</v>
      </c>
      <c r="B300" s="16" t="str">
        <f>IFERROR(__xludf.DUMMYFUNCTION("""COMPUTED_VALUE"""),"Jackson")</f>
        <v>Jackson</v>
      </c>
      <c r="C300" s="16" t="str">
        <f>IFERROR(__xludf.DUMMYFUNCTION("""COMPUTED_VALUE"""),"Reseller Channel Manager")</f>
        <v>Reseller Channel Manager</v>
      </c>
      <c r="D300" s="16" t="str">
        <f>IFERROR(__xludf.DUMMYFUNCTION("""COMPUTED_VALUE"""),"OneSpan Canada Inc. (VASCO eSignLive)")</f>
        <v>OneSpan Canada Inc. (VASCO eSignLive)</v>
      </c>
      <c r="E300" s="16" t="str">
        <f>IFERROR(__xludf.DUMMYFUNCTION("""COMPUTED_VALUE"""),"Advantage")</f>
        <v>Advantage</v>
      </c>
      <c r="F300" s="16" t="str">
        <f>IFERROR(__xludf.DUMMYFUNCTION("""COMPUTED_VALUE"""),"bretton.jackson@onespan.com")</f>
        <v>bretton.jackson@onespan.com</v>
      </c>
      <c r="G300" s="16" t="str">
        <f>IFERROR(__xludf.DUMMYFUNCTION("""COMPUTED_VALUE"""),"Lisa Vingerhoet")</f>
        <v>Lisa Vingerhoet</v>
      </c>
      <c r="H300" s="16" t="str">
        <f>IFERROR(__xludf.DUMMYFUNCTION("""COMPUTED_VALUE"""),"PartnerConnect - Technology")</f>
        <v>PartnerConnect - Technology</v>
      </c>
      <c r="I300" s="16" t="str">
        <f>IFERROR(__xludf.DUMMYFUNCTION("""COMPUTED_VALUE"""),"1 Marina Park Drive, Unit 1410 02210")</f>
        <v>1 Marina Park Drive, Unit 1410 02210</v>
      </c>
      <c r="J300" s="16"/>
      <c r="K300" s="16" t="str">
        <f>IFERROR(__xludf.DUMMYFUNCTION("""COMPUTED_VALUE"""),"Boston, MA")</f>
        <v>Boston, MA</v>
      </c>
      <c r="L300" s="16" t="str">
        <f>IFERROR(__xludf.DUMMYFUNCTION("""COMPUTED_VALUE"""),"Massachusetts")</f>
        <v>Massachusetts</v>
      </c>
      <c r="M300" s="16">
        <f>IFERROR(__xludf.DUMMYFUNCTION("""COMPUTED_VALUE"""),2210.0)</f>
        <v>2210</v>
      </c>
      <c r="N300" s="16" t="str">
        <f>IFERROR(__xludf.DUMMYFUNCTION("""COMPUTED_VALUE"""),"United States")</f>
        <v>United States</v>
      </c>
      <c r="O300" s="16" t="str">
        <f>IFERROR(__xludf.DUMMYFUNCTION("""COMPUTED_VALUE"""),"Medium")</f>
        <v>Medium</v>
      </c>
      <c r="P300" s="16" t="b">
        <f>IFERROR(__xludf.DUMMYFUNCTION("""COMPUTED_VALUE"""),TRUE)</f>
        <v>1</v>
      </c>
      <c r="Q300" s="16" t="b">
        <f>IFERROR(__xludf.DUMMYFUNCTION("""COMPUTED_VALUE"""),TRUE)</f>
        <v>1</v>
      </c>
      <c r="R300" s="16" t="str">
        <f>IFERROR(__xludf.DUMMYFUNCTION("""COMPUTED_VALUE"""),"Admin, Business, Events, Support")</f>
        <v>Admin, Business, Events, Support</v>
      </c>
      <c r="S300" s="16" t="str">
        <f>IFERROR(__xludf.DUMMYFUNCTION("""COMPUTED_VALUE"""),"OneSpan")</f>
        <v>OneSpan</v>
      </c>
      <c r="T300" s="16" t="str">
        <f>IFERROR(__xludf.DUMMYFUNCTION("""COMPUTED_VALUE"""),"Current Partner")</f>
        <v>Current Partner</v>
      </c>
      <c r="U300" s="16" t="b">
        <f>IFERROR(__xludf.DUMMYFUNCTION("""COMPUTED_VALUE"""),FALSE)</f>
        <v>0</v>
      </c>
      <c r="V300" s="16"/>
      <c r="W300" s="16"/>
      <c r="X300" s="16"/>
    </row>
    <row r="301">
      <c r="A301" s="16" t="str">
        <f>IFERROR(__xludf.DUMMYFUNCTION("""COMPUTED_VALUE"""),"Scott")</f>
        <v>Scott</v>
      </c>
      <c r="B301" s="16" t="str">
        <f>IFERROR(__xludf.DUMMYFUNCTION("""COMPUTED_VALUE"""),"Eklund")</f>
        <v>Eklund</v>
      </c>
      <c r="C301" s="16" t="str">
        <f>IFERROR(__xludf.DUMMYFUNCTION("""COMPUTED_VALUE"""),"Sr. Demand Generation Manager")</f>
        <v>Sr. Demand Generation Manager</v>
      </c>
      <c r="D301" s="16" t="str">
        <f>IFERROR(__xludf.DUMMYFUNCTION("""COMPUTED_VALUE"""),"OneSpan Canada Inc. (VASCO eSignLive)")</f>
        <v>OneSpan Canada Inc. (VASCO eSignLive)</v>
      </c>
      <c r="E301" s="16" t="str">
        <f>IFERROR(__xludf.DUMMYFUNCTION("""COMPUTED_VALUE"""),"Advantage")</f>
        <v>Advantage</v>
      </c>
      <c r="F301" s="16" t="str">
        <f>IFERROR(__xludf.DUMMYFUNCTION("""COMPUTED_VALUE"""),"scott.eklund@onespan.com")</f>
        <v>scott.eklund@onespan.com</v>
      </c>
      <c r="G301" s="16" t="str">
        <f>IFERROR(__xludf.DUMMYFUNCTION("""COMPUTED_VALUE"""),"Lisa Vingerhoet")</f>
        <v>Lisa Vingerhoet</v>
      </c>
      <c r="H301" s="16" t="str">
        <f>IFERROR(__xludf.DUMMYFUNCTION("""COMPUTED_VALUE"""),"PartnerConnect - Technology")</f>
        <v>PartnerConnect - Technology</v>
      </c>
      <c r="I301" s="16" t="str">
        <f>IFERROR(__xludf.DUMMYFUNCTION("""COMPUTED_VALUE"""),"8200 Decarie Suite 300")</f>
        <v>8200 Decarie Suite 300</v>
      </c>
      <c r="J301" s="16"/>
      <c r="K301" s="16" t="str">
        <f>IFERROR(__xludf.DUMMYFUNCTION("""COMPUTED_VALUE"""),"Montreal")</f>
        <v>Montreal</v>
      </c>
      <c r="L301" s="16" t="str">
        <f>IFERROR(__xludf.DUMMYFUNCTION("""COMPUTED_VALUE"""),"Quebec")</f>
        <v>Quebec</v>
      </c>
      <c r="M301" s="16" t="str">
        <f>IFERROR(__xludf.DUMMYFUNCTION("""COMPUTED_VALUE"""),"H4P 2P5")</f>
        <v>H4P 2P5</v>
      </c>
      <c r="N301" s="16" t="str">
        <f>IFERROR(__xludf.DUMMYFUNCTION("""COMPUTED_VALUE"""),"Canada")</f>
        <v>Canada</v>
      </c>
      <c r="O301" s="16" t="str">
        <f>IFERROR(__xludf.DUMMYFUNCTION("""COMPUTED_VALUE"""),"Medium")</f>
        <v>Medium</v>
      </c>
      <c r="P301" s="16" t="b">
        <f>IFERROR(__xludf.DUMMYFUNCTION("""COMPUTED_VALUE"""),FALSE)</f>
        <v>0</v>
      </c>
      <c r="Q301" s="16" t="b">
        <f>IFERROR(__xludf.DUMMYFUNCTION("""COMPUTED_VALUE"""),TRUE)</f>
        <v>1</v>
      </c>
      <c r="R301" s="16" t="str">
        <f>IFERROR(__xludf.DUMMYFUNCTION("""COMPUTED_VALUE"""),"Events, Marketing")</f>
        <v>Events, Marketing</v>
      </c>
      <c r="S301" s="16" t="str">
        <f>IFERROR(__xludf.DUMMYFUNCTION("""COMPUTED_VALUE"""),"OneSpan")</f>
        <v>OneSpan</v>
      </c>
      <c r="T301" s="16" t="str">
        <f>IFERROR(__xludf.DUMMYFUNCTION("""COMPUTED_VALUE"""),"Current Partner")</f>
        <v>Current Partner</v>
      </c>
      <c r="U301" s="16" t="b">
        <f>IFERROR(__xludf.DUMMYFUNCTION("""COMPUTED_VALUE"""),FALSE)</f>
        <v>0</v>
      </c>
      <c r="V301" s="16"/>
      <c r="W301" s="16"/>
      <c r="X301" s="16"/>
    </row>
    <row r="302">
      <c r="A302" s="16" t="str">
        <f>IFERROR(__xludf.DUMMYFUNCTION("""COMPUTED_VALUE"""),"Natalie")</f>
        <v>Natalie</v>
      </c>
      <c r="B302" s="16" t="str">
        <f>IFERROR(__xludf.DUMMYFUNCTION("""COMPUTED_VALUE"""),"Prescott")</f>
        <v>Prescott</v>
      </c>
      <c r="C302" s="16" t="str">
        <f>IFERROR(__xludf.DUMMYFUNCTION("""COMPUTED_VALUE"""),"Sr. Director of Sales Operations")</f>
        <v>Sr. Director of Sales Operations</v>
      </c>
      <c r="D302" s="16" t="str">
        <f>IFERROR(__xludf.DUMMYFUNCTION("""COMPUTED_VALUE"""),"Ontellus")</f>
        <v>Ontellus</v>
      </c>
      <c r="E302" s="16" t="str">
        <f>IFERROR(__xludf.DUMMYFUNCTION("""COMPUTED_VALUE"""),"Growth")</f>
        <v>Growth</v>
      </c>
      <c r="F302" s="16" t="str">
        <f>IFERROR(__xludf.DUMMYFUNCTION("""COMPUTED_VALUE"""),"natalie.prescott@ontellus.com")</f>
        <v>natalie.prescott@ontellus.com</v>
      </c>
      <c r="G302" s="16" t="str">
        <f>IFERROR(__xludf.DUMMYFUNCTION("""COMPUTED_VALUE"""),"Eric Apse")</f>
        <v>Eric Apse</v>
      </c>
      <c r="H302" s="16" t="str">
        <f>IFERROR(__xludf.DUMMYFUNCTION("""COMPUTED_VALUE"""),"PartnerConnect - Technology")</f>
        <v>PartnerConnect - Technology</v>
      </c>
      <c r="I302" s="16" t="str">
        <f>IFERROR(__xludf.DUMMYFUNCTION("""COMPUTED_VALUE"""),"910 Louisiana St.")</f>
        <v>910 Louisiana St.</v>
      </c>
      <c r="J302" s="16"/>
      <c r="K302" s="16" t="str">
        <f>IFERROR(__xludf.DUMMYFUNCTION("""COMPUTED_VALUE"""),"Houston")</f>
        <v>Houston</v>
      </c>
      <c r="L302" s="16" t="str">
        <f>IFERROR(__xludf.DUMMYFUNCTION("""COMPUTED_VALUE"""),"Texas")</f>
        <v>Texas</v>
      </c>
      <c r="M302" s="16">
        <f>IFERROR(__xludf.DUMMYFUNCTION("""COMPUTED_VALUE"""),77002.0)</f>
        <v>77002</v>
      </c>
      <c r="N302" s="16" t="str">
        <f>IFERROR(__xludf.DUMMYFUNCTION("""COMPUTED_VALUE"""),"United States")</f>
        <v>United States</v>
      </c>
      <c r="O302" s="16" t="str">
        <f>IFERROR(__xludf.DUMMYFUNCTION("""COMPUTED_VALUE"""),"Medium")</f>
        <v>Medium</v>
      </c>
      <c r="P302" s="16" t="b">
        <f>IFERROR(__xludf.DUMMYFUNCTION("""COMPUTED_VALUE"""),TRUE)</f>
        <v>1</v>
      </c>
      <c r="Q302" s="16" t="b">
        <f>IFERROR(__xludf.DUMMYFUNCTION("""COMPUTED_VALUE"""),TRUE)</f>
        <v>1</v>
      </c>
      <c r="R302" s="16" t="str">
        <f>IFERROR(__xludf.DUMMYFUNCTION("""COMPUTED_VALUE"""),"Admin, Business, Events, Marketing, Technical, Client Partner / Partner Account Executive")</f>
        <v>Admin, Business, Events, Marketing, Technical, Client Partner / Partner Account Executive</v>
      </c>
      <c r="S302" s="16" t="str">
        <f>IFERROR(__xludf.DUMMYFUNCTION("""COMPUTED_VALUE"""),"Ontellus")</f>
        <v>Ontellus</v>
      </c>
      <c r="T302" s="16" t="str">
        <f>IFERROR(__xludf.DUMMYFUNCTION("""COMPUTED_VALUE"""),"Current Partner")</f>
        <v>Current Partner</v>
      </c>
      <c r="U302" s="16" t="b">
        <f>IFERROR(__xludf.DUMMYFUNCTION("""COMPUTED_VALUE"""),FALSE)</f>
        <v>0</v>
      </c>
      <c r="V302" s="16"/>
      <c r="W302" s="16"/>
      <c r="X302" s="16"/>
    </row>
    <row r="303">
      <c r="A303" s="16" t="str">
        <f>IFERROR(__xludf.DUMMYFUNCTION("""COMPUTED_VALUE"""),"Michael")</f>
        <v>Michael</v>
      </c>
      <c r="B303" s="16" t="str">
        <f>IFERROR(__xludf.DUMMYFUNCTION("""COMPUTED_VALUE"""),"McLaughlin")</f>
        <v>McLaughlin</v>
      </c>
      <c r="C303" s="16" t="str">
        <f>IFERROR(__xludf.DUMMYFUNCTION("""COMPUTED_VALUE"""),"VP Alliances")</f>
        <v>VP Alliances</v>
      </c>
      <c r="D303" s="16" t="str">
        <f>IFERROR(__xludf.DUMMYFUNCTION("""COMPUTED_VALUE"""),"OpenDialog AI")</f>
        <v>OpenDialog AI</v>
      </c>
      <c r="E303" s="16" t="str">
        <f>IFERROR(__xludf.DUMMYFUNCTION("""COMPUTED_VALUE"""),"Insurtech Vanguard")</f>
        <v>Insurtech Vanguard</v>
      </c>
      <c r="F303" s="16" t="str">
        <f>IFERROR(__xludf.DUMMYFUNCTION("""COMPUTED_VALUE"""),"michael.mclaughlin@opendialog.ai")</f>
        <v>michael.mclaughlin@opendialog.ai</v>
      </c>
      <c r="G303" s="16" t="str">
        <f>IFERROR(__xludf.DUMMYFUNCTION("""COMPUTED_VALUE"""),"Shannon Spies")</f>
        <v>Shannon Spies</v>
      </c>
      <c r="H303" s="16"/>
      <c r="I303" s="16" t="str">
        <f>IFERROR(__xludf.DUMMYFUNCTION("""COMPUTED_VALUE"""),"Three Tuns House")</f>
        <v>Three Tuns House</v>
      </c>
      <c r="J303" s="16"/>
      <c r="K303" s="16" t="str">
        <f>IFERROR(__xludf.DUMMYFUNCTION("""COMPUTED_VALUE"""),"London")</f>
        <v>London</v>
      </c>
      <c r="L303" s="16" t="str">
        <f>IFERROR(__xludf.DUMMYFUNCTION("""COMPUTED_VALUE"""),"London,City of")</f>
        <v>London,City of</v>
      </c>
      <c r="M303" s="16" t="str">
        <f>IFERROR(__xludf.DUMMYFUNCTION("""COMPUTED_VALUE"""),"SE1 1NL")</f>
        <v>SE1 1NL</v>
      </c>
      <c r="N303" s="16" t="str">
        <f>IFERROR(__xludf.DUMMYFUNCTION("""COMPUTED_VALUE"""),"United Kingdom")</f>
        <v>United Kingdom</v>
      </c>
      <c r="O303" s="16"/>
      <c r="P303" s="16" t="b">
        <f>IFERROR(__xludf.DUMMYFUNCTION("""COMPUTED_VALUE"""),TRUE)</f>
        <v>1</v>
      </c>
      <c r="Q303" s="16" t="b">
        <f>IFERROR(__xludf.DUMMYFUNCTION("""COMPUTED_VALUE"""),FALSE)</f>
        <v>0</v>
      </c>
      <c r="R303" s="16" t="str">
        <f>IFERROR(__xludf.DUMMYFUNCTION("""COMPUTED_VALUE"""),"")</f>
        <v/>
      </c>
      <c r="S303" s="16" t="str">
        <f>IFERROR(__xludf.DUMMYFUNCTION("""COMPUTED_VALUE"""),"OpenDialog AI")</f>
        <v>OpenDialog AI</v>
      </c>
      <c r="T303" s="16" t="str">
        <f>IFERROR(__xludf.DUMMYFUNCTION("""COMPUTED_VALUE"""),"Current Vanguard")</f>
        <v>Current Vanguard</v>
      </c>
      <c r="U303" s="16" t="b">
        <f>IFERROR(__xludf.DUMMYFUNCTION("""COMPUTED_VALUE"""),FALSE)</f>
        <v>0</v>
      </c>
      <c r="V303" s="16"/>
      <c r="W303" s="16"/>
      <c r="X303" s="16"/>
    </row>
    <row r="304">
      <c r="A304" s="16" t="str">
        <f>IFERROR(__xludf.DUMMYFUNCTION("""COMPUTED_VALUE"""),"Trisha")</f>
        <v>Trisha</v>
      </c>
      <c r="B304" s="16" t="str">
        <f>IFERROR(__xludf.DUMMYFUNCTION("""COMPUTED_VALUE"""),"Weiler")</f>
        <v>Weiler</v>
      </c>
      <c r="C304" s="16" t="str">
        <f>IFERROR(__xludf.DUMMYFUNCTION("""COMPUTED_VALUE"""),"Marketing Manager, Field Marketing &amp; Digital Demand, DXP")</f>
        <v>Marketing Manager, Field Marketing &amp; Digital Demand, DXP</v>
      </c>
      <c r="D304" s="16" t="str">
        <f>IFERROR(__xludf.DUMMYFUNCTION("""COMPUTED_VALUE"""),"Open Text Corporation")</f>
        <v>Open Text Corporation</v>
      </c>
      <c r="E304" s="16" t="str">
        <f>IFERROR(__xludf.DUMMYFUNCTION("""COMPUTED_VALUE"""),"Premier")</f>
        <v>Premier</v>
      </c>
      <c r="F304" s="16" t="str">
        <f>IFERROR(__xludf.DUMMYFUNCTION("""COMPUTED_VALUE"""),"tweiler@opentext.com")</f>
        <v>tweiler@opentext.com</v>
      </c>
      <c r="G304" s="16" t="str">
        <f>IFERROR(__xludf.DUMMYFUNCTION("""COMPUTED_VALUE"""),"Tim Kennedy")</f>
        <v>Tim Kennedy</v>
      </c>
      <c r="H304" s="16" t="str">
        <f>IFERROR(__xludf.DUMMYFUNCTION("""COMPUTED_VALUE"""),"PartnerConnect - Technology")</f>
        <v>PartnerConnect - Technology</v>
      </c>
      <c r="I304" s="16"/>
      <c r="J304" s="16"/>
      <c r="K304" s="16"/>
      <c r="L304" s="16"/>
      <c r="M304" s="16"/>
      <c r="N304" s="16" t="str">
        <f>IFERROR(__xludf.DUMMYFUNCTION("""COMPUTED_VALUE"""),"Canada")</f>
        <v>Canada</v>
      </c>
      <c r="O304" s="16" t="str">
        <f>IFERROR(__xludf.DUMMYFUNCTION("""COMPUTED_VALUE"""),"High")</f>
        <v>High</v>
      </c>
      <c r="P304" s="16" t="b">
        <f>IFERROR(__xludf.DUMMYFUNCTION("""COMPUTED_VALUE"""),FALSE)</f>
        <v>0</v>
      </c>
      <c r="Q304" s="16" t="b">
        <f>IFERROR(__xludf.DUMMYFUNCTION("""COMPUTED_VALUE"""),TRUE)</f>
        <v>1</v>
      </c>
      <c r="R304" s="16" t="str">
        <f>IFERROR(__xludf.DUMMYFUNCTION("""COMPUTED_VALUE"""),"Business, Marketing")</f>
        <v>Business, Marketing</v>
      </c>
      <c r="S304" s="16" t="str">
        <f>IFERROR(__xludf.DUMMYFUNCTION("""COMPUTED_VALUE"""),"OpenText")</f>
        <v>OpenText</v>
      </c>
      <c r="T304" s="16" t="str">
        <f>IFERROR(__xludf.DUMMYFUNCTION("""COMPUTED_VALUE"""),"Current Partner")</f>
        <v>Current Partner</v>
      </c>
      <c r="U304" s="16" t="b">
        <f>IFERROR(__xludf.DUMMYFUNCTION("""COMPUTED_VALUE"""),FALSE)</f>
        <v>0</v>
      </c>
      <c r="V304" s="16"/>
      <c r="W304" s="16"/>
      <c r="X304" s="16"/>
    </row>
    <row r="305">
      <c r="A305" s="16" t="str">
        <f>IFERROR(__xludf.DUMMYFUNCTION("""COMPUTED_VALUE"""),"Yibing")</f>
        <v>Yibing</v>
      </c>
      <c r="B305" s="16" t="str">
        <f>IFERROR(__xludf.DUMMYFUNCTION("""COMPUTED_VALUE"""),"Zhang")</f>
        <v>Zhang</v>
      </c>
      <c r="C305" s="16"/>
      <c r="D305" s="16" t="str">
        <f>IFERROR(__xludf.DUMMYFUNCTION("""COMPUTED_VALUE"""),"Open Text Corporation")</f>
        <v>Open Text Corporation</v>
      </c>
      <c r="E305" s="16" t="str">
        <f>IFERROR(__xludf.DUMMYFUNCTION("""COMPUTED_VALUE"""),"Premier")</f>
        <v>Premier</v>
      </c>
      <c r="F305" s="16" t="str">
        <f>IFERROR(__xludf.DUMMYFUNCTION("""COMPUTED_VALUE"""),"yibingz@opentext.com")</f>
        <v>yibingz@opentext.com</v>
      </c>
      <c r="G305" s="16" t="str">
        <f>IFERROR(__xludf.DUMMYFUNCTION("""COMPUTED_VALUE"""),"Tim Kennedy")</f>
        <v>Tim Kennedy</v>
      </c>
      <c r="H305" s="16" t="str">
        <f>IFERROR(__xludf.DUMMYFUNCTION("""COMPUTED_VALUE"""),"PartnerConnect - Technology")</f>
        <v>PartnerConnect - Technology</v>
      </c>
      <c r="I305" s="16" t="str">
        <f>IFERROR(__xludf.DUMMYFUNCTION("""COMPUTED_VALUE"""),"275 Frank Tompa Drive")</f>
        <v>275 Frank Tompa Drive</v>
      </c>
      <c r="J305" s="16"/>
      <c r="K305" s="16" t="str">
        <f>IFERROR(__xludf.DUMMYFUNCTION("""COMPUTED_VALUE"""),"Waterloo")</f>
        <v>Waterloo</v>
      </c>
      <c r="L305" s="16" t="str">
        <f>IFERROR(__xludf.DUMMYFUNCTION("""COMPUTED_VALUE"""),"Ontario")</f>
        <v>Ontario</v>
      </c>
      <c r="M305" s="16" t="str">
        <f>IFERROR(__xludf.DUMMYFUNCTION("""COMPUTED_VALUE"""),"N2L 0A1")</f>
        <v>N2L 0A1</v>
      </c>
      <c r="N305" s="16" t="str">
        <f>IFERROR(__xludf.DUMMYFUNCTION("""COMPUTED_VALUE"""),"Canada")</f>
        <v>Canada</v>
      </c>
      <c r="O305" s="16" t="str">
        <f>IFERROR(__xludf.DUMMYFUNCTION("""COMPUTED_VALUE"""),"High")</f>
        <v>High</v>
      </c>
      <c r="P305" s="16" t="b">
        <f>IFERROR(__xludf.DUMMYFUNCTION("""COMPUTED_VALUE"""),FALSE)</f>
        <v>0</v>
      </c>
      <c r="Q305" s="16" t="b">
        <f>IFERROR(__xludf.DUMMYFUNCTION("""COMPUTED_VALUE"""),TRUE)</f>
        <v>1</v>
      </c>
      <c r="R305" s="16" t="str">
        <f>IFERROR(__xludf.DUMMYFUNCTION("""COMPUTED_VALUE"""),"")</f>
        <v/>
      </c>
      <c r="S305" s="16" t="str">
        <f>IFERROR(__xludf.DUMMYFUNCTION("""COMPUTED_VALUE"""),"OpenText")</f>
        <v>OpenText</v>
      </c>
      <c r="T305" s="16" t="str">
        <f>IFERROR(__xludf.DUMMYFUNCTION("""COMPUTED_VALUE"""),"Current Partner")</f>
        <v>Current Partner</v>
      </c>
      <c r="U305" s="16" t="b">
        <f>IFERROR(__xludf.DUMMYFUNCTION("""COMPUTED_VALUE"""),FALSE)</f>
        <v>0</v>
      </c>
      <c r="V305" s="16"/>
      <c r="W305" s="16"/>
      <c r="X305" s="16"/>
    </row>
    <row r="306">
      <c r="A306" s="16" t="str">
        <f>IFERROR(__xludf.DUMMYFUNCTION("""COMPUTED_VALUE"""),"Randy")</f>
        <v>Randy</v>
      </c>
      <c r="B306" s="16" t="str">
        <f>IFERROR(__xludf.DUMMYFUNCTION("""COMPUTED_VALUE"""),"Sparks")</f>
        <v>Sparks</v>
      </c>
      <c r="C306" s="16"/>
      <c r="D306" s="16" t="str">
        <f>IFERROR(__xludf.DUMMYFUNCTION("""COMPUTED_VALUE"""),"Open Text Corporation")</f>
        <v>Open Text Corporation</v>
      </c>
      <c r="E306" s="16" t="str">
        <f>IFERROR(__xludf.DUMMYFUNCTION("""COMPUTED_VALUE"""),"Premier")</f>
        <v>Premier</v>
      </c>
      <c r="F306" s="16" t="str">
        <f>IFERROR(__xludf.DUMMYFUNCTION("""COMPUTED_VALUE"""),"rsparks@opentext.com")</f>
        <v>rsparks@opentext.com</v>
      </c>
      <c r="G306" s="16" t="str">
        <f>IFERROR(__xludf.DUMMYFUNCTION("""COMPUTED_VALUE"""),"Tim Kennedy")</f>
        <v>Tim Kennedy</v>
      </c>
      <c r="H306" s="16" t="str">
        <f>IFERROR(__xludf.DUMMYFUNCTION("""COMPUTED_VALUE"""),"PartnerConnect - Technology")</f>
        <v>PartnerConnect - Technology</v>
      </c>
      <c r="I306" s="16" t="str">
        <f>IFERROR(__xludf.DUMMYFUNCTION("""COMPUTED_VALUE"""),"275 Frank Tompa Drive")</f>
        <v>275 Frank Tompa Drive</v>
      </c>
      <c r="J306" s="16"/>
      <c r="K306" s="16" t="str">
        <f>IFERROR(__xludf.DUMMYFUNCTION("""COMPUTED_VALUE"""),"Waterloo")</f>
        <v>Waterloo</v>
      </c>
      <c r="L306" s="16" t="str">
        <f>IFERROR(__xludf.DUMMYFUNCTION("""COMPUTED_VALUE"""),"Ontario")</f>
        <v>Ontario</v>
      </c>
      <c r="M306" s="16" t="str">
        <f>IFERROR(__xludf.DUMMYFUNCTION("""COMPUTED_VALUE"""),"N2L 0A1")</f>
        <v>N2L 0A1</v>
      </c>
      <c r="N306" s="16" t="str">
        <f>IFERROR(__xludf.DUMMYFUNCTION("""COMPUTED_VALUE"""),"Canada")</f>
        <v>Canada</v>
      </c>
      <c r="O306" s="16" t="str">
        <f>IFERROR(__xludf.DUMMYFUNCTION("""COMPUTED_VALUE"""),"High")</f>
        <v>High</v>
      </c>
      <c r="P306" s="16" t="b">
        <f>IFERROR(__xludf.DUMMYFUNCTION("""COMPUTED_VALUE"""),FALSE)</f>
        <v>0</v>
      </c>
      <c r="Q306" s="16" t="b">
        <f>IFERROR(__xludf.DUMMYFUNCTION("""COMPUTED_VALUE"""),TRUE)</f>
        <v>1</v>
      </c>
      <c r="R306" s="16" t="str">
        <f>IFERROR(__xludf.DUMMYFUNCTION("""COMPUTED_VALUE"""),"")</f>
        <v/>
      </c>
      <c r="S306" s="16" t="str">
        <f>IFERROR(__xludf.DUMMYFUNCTION("""COMPUTED_VALUE"""),"OpenText")</f>
        <v>OpenText</v>
      </c>
      <c r="T306" s="16" t="str">
        <f>IFERROR(__xludf.DUMMYFUNCTION("""COMPUTED_VALUE"""),"Current Partner")</f>
        <v>Current Partner</v>
      </c>
      <c r="U306" s="16" t="b">
        <f>IFERROR(__xludf.DUMMYFUNCTION("""COMPUTED_VALUE"""),FALSE)</f>
        <v>0</v>
      </c>
      <c r="V306" s="16"/>
      <c r="W306" s="16"/>
      <c r="X306" s="16"/>
    </row>
    <row r="307">
      <c r="A307" s="16" t="str">
        <f>IFERROR(__xludf.DUMMYFUNCTION("""COMPUTED_VALUE"""),"Paul")</f>
        <v>Paul</v>
      </c>
      <c r="B307" s="16" t="str">
        <f>IFERROR(__xludf.DUMMYFUNCTION("""COMPUTED_VALUE"""),"Woods")</f>
        <v>Woods</v>
      </c>
      <c r="C307" s="16" t="str">
        <f>IFERROR(__xludf.DUMMYFUNCTION("""COMPUTED_VALUE"""),"Guidewire Strategic Alliance Manager")</f>
        <v>Guidewire Strategic Alliance Manager</v>
      </c>
      <c r="D307" s="16" t="str">
        <f>IFERROR(__xludf.DUMMYFUNCTION("""COMPUTED_VALUE"""),"Open Text Corporation")</f>
        <v>Open Text Corporation</v>
      </c>
      <c r="E307" s="16" t="str">
        <f>IFERROR(__xludf.DUMMYFUNCTION("""COMPUTED_VALUE"""),"Premier")</f>
        <v>Premier</v>
      </c>
      <c r="F307" s="16" t="str">
        <f>IFERROR(__xludf.DUMMYFUNCTION("""COMPUTED_VALUE"""),"pwoods@opentext.com")</f>
        <v>pwoods@opentext.com</v>
      </c>
      <c r="G307" s="16" t="str">
        <f>IFERROR(__xludf.DUMMYFUNCTION("""COMPUTED_VALUE"""),"Tim Kennedy")</f>
        <v>Tim Kennedy</v>
      </c>
      <c r="H307" s="16" t="str">
        <f>IFERROR(__xludf.DUMMYFUNCTION("""COMPUTED_VALUE"""),"PartnerConnect - Technology")</f>
        <v>PartnerConnect - Technology</v>
      </c>
      <c r="I307" s="16" t="str">
        <f>IFERROR(__xludf.DUMMYFUNCTION("""COMPUTED_VALUE"""),"1055 E. Colorado Blvd")</f>
        <v>1055 E. Colorado Blvd</v>
      </c>
      <c r="J307" s="16"/>
      <c r="K307" s="16" t="str">
        <f>IFERROR(__xludf.DUMMYFUNCTION("""COMPUTED_VALUE"""),"Pasadena")</f>
        <v>Pasadena</v>
      </c>
      <c r="L307" s="16" t="str">
        <f>IFERROR(__xludf.DUMMYFUNCTION("""COMPUTED_VALUE"""),"California")</f>
        <v>California</v>
      </c>
      <c r="M307" s="16">
        <f>IFERROR(__xludf.DUMMYFUNCTION("""COMPUTED_VALUE"""),91106.0)</f>
        <v>91106</v>
      </c>
      <c r="N307" s="16" t="str">
        <f>IFERROR(__xludf.DUMMYFUNCTION("""COMPUTED_VALUE"""),"United States")</f>
        <v>United States</v>
      </c>
      <c r="O307" s="16" t="str">
        <f>IFERROR(__xludf.DUMMYFUNCTION("""COMPUTED_VALUE"""),"High")</f>
        <v>High</v>
      </c>
      <c r="P307" s="16" t="b">
        <f>IFERROR(__xludf.DUMMYFUNCTION("""COMPUTED_VALUE"""),TRUE)</f>
        <v>1</v>
      </c>
      <c r="Q307" s="16" t="b">
        <f>IFERROR(__xludf.DUMMYFUNCTION("""COMPUTED_VALUE"""),FALSE)</f>
        <v>0</v>
      </c>
      <c r="R307" s="16" t="str">
        <f>IFERROR(__xludf.DUMMYFUNCTION("""COMPUTED_VALUE"""),"Admin, Business, Events, Legal / Contracts, Marketing, Support, Technical, Training, Delivery Lead / BA, Client Partner / Partner Account Executive")</f>
        <v>Admin, Business, Events, Legal / Contracts, Marketing, Support, Technical, Training, Delivery Lead / BA, Client Partner / Partner Account Executive</v>
      </c>
      <c r="S307" s="16" t="str">
        <f>IFERROR(__xludf.DUMMYFUNCTION("""COMPUTED_VALUE"""),"OpenText")</f>
        <v>OpenText</v>
      </c>
      <c r="T307" s="16" t="str">
        <f>IFERROR(__xludf.DUMMYFUNCTION("""COMPUTED_VALUE"""),"Current Partner")</f>
        <v>Current Partner</v>
      </c>
      <c r="U307" s="16" t="b">
        <f>IFERROR(__xludf.DUMMYFUNCTION("""COMPUTED_VALUE"""),FALSE)</f>
        <v>0</v>
      </c>
      <c r="V307" s="16"/>
      <c r="W307" s="16"/>
      <c r="X307" s="16"/>
    </row>
    <row r="308">
      <c r="A308" s="16" t="str">
        <f>IFERROR(__xludf.DUMMYFUNCTION("""COMPUTED_VALUE"""),"Michelle")</f>
        <v>Michelle</v>
      </c>
      <c r="B308" s="16" t="str">
        <f>IFERROR(__xludf.DUMMYFUNCTION("""COMPUTED_VALUE"""),"Bohlen")</f>
        <v>Bohlen</v>
      </c>
      <c r="C308" s="16" t="str">
        <f>IFERROR(__xludf.DUMMYFUNCTION("""COMPUTED_VALUE"""),"Marketing")</f>
        <v>Marketing</v>
      </c>
      <c r="D308" s="16" t="str">
        <f>IFERROR(__xludf.DUMMYFUNCTION("""COMPUTED_VALUE"""),"Optum Financial")</f>
        <v>Optum Financial</v>
      </c>
      <c r="E308" s="16" t="str">
        <f>IFERROR(__xludf.DUMMYFUNCTION("""COMPUTED_VALUE"""),"Growth")</f>
        <v>Growth</v>
      </c>
      <c r="F308" s="16" t="str">
        <f>IFERROR(__xludf.DUMMYFUNCTION("""COMPUTED_VALUE"""),"michelle.bohlen@optum.com")</f>
        <v>michelle.bohlen@optum.com</v>
      </c>
      <c r="G308" s="16" t="str">
        <f>IFERROR(__xludf.DUMMYFUNCTION("""COMPUTED_VALUE"""),"Aaron Shaw")</f>
        <v>Aaron Shaw</v>
      </c>
      <c r="H308" s="16" t="str">
        <f>IFERROR(__xludf.DUMMYFUNCTION("""COMPUTED_VALUE"""),"PartnerConnect - Technology")</f>
        <v>PartnerConnect - Technology</v>
      </c>
      <c r="I308" s="16" t="str">
        <f>IFERROR(__xludf.DUMMYFUNCTION("""COMPUTED_VALUE"""),"6300 Wayne Road")</f>
        <v>6300 Wayne Road</v>
      </c>
      <c r="J308" s="16"/>
      <c r="K308" s="16" t="str">
        <f>IFERROR(__xludf.DUMMYFUNCTION("""COMPUTED_VALUE"""),"Westland")</f>
        <v>Westland</v>
      </c>
      <c r="L308" s="16" t="str">
        <f>IFERROR(__xludf.DUMMYFUNCTION("""COMPUTED_VALUE"""),"Michigan")</f>
        <v>Michigan</v>
      </c>
      <c r="M308" s="16">
        <f>IFERROR(__xludf.DUMMYFUNCTION("""COMPUTED_VALUE"""),48185.0)</f>
        <v>48185</v>
      </c>
      <c r="N308" s="16" t="str">
        <f>IFERROR(__xludf.DUMMYFUNCTION("""COMPUTED_VALUE"""),"United States")</f>
        <v>United States</v>
      </c>
      <c r="O308" s="16" t="str">
        <f>IFERROR(__xludf.DUMMYFUNCTION("""COMPUTED_VALUE"""),"Medium")</f>
        <v>Medium</v>
      </c>
      <c r="P308" s="16" t="b">
        <f>IFERROR(__xludf.DUMMYFUNCTION("""COMPUTED_VALUE"""),FALSE)</f>
        <v>0</v>
      </c>
      <c r="Q308" s="16" t="b">
        <f>IFERROR(__xludf.DUMMYFUNCTION("""COMPUTED_VALUE"""),TRUE)</f>
        <v>1</v>
      </c>
      <c r="R308" s="16" t="str">
        <f>IFERROR(__xludf.DUMMYFUNCTION("""COMPUTED_VALUE"""),"Marketing")</f>
        <v>Marketing</v>
      </c>
      <c r="S308" s="16" t="str">
        <f>IFERROR(__xludf.DUMMYFUNCTION("""COMPUTED_VALUE"""),"Optum Financial")</f>
        <v>Optum Financial</v>
      </c>
      <c r="T308" s="16" t="str">
        <f>IFERROR(__xludf.DUMMYFUNCTION("""COMPUTED_VALUE"""),"Current Partner")</f>
        <v>Current Partner</v>
      </c>
      <c r="U308" s="16" t="b">
        <f>IFERROR(__xludf.DUMMYFUNCTION("""COMPUTED_VALUE"""),FALSE)</f>
        <v>0</v>
      </c>
      <c r="V308" s="16"/>
      <c r="W308" s="16"/>
      <c r="X308" s="16"/>
    </row>
    <row r="309">
      <c r="A309" s="16" t="str">
        <f>IFERROR(__xludf.DUMMYFUNCTION("""COMPUTED_VALUE"""),"Joe")</f>
        <v>Joe</v>
      </c>
      <c r="B309" s="16" t="str">
        <f>IFERROR(__xludf.DUMMYFUNCTION("""COMPUTED_VALUE"""),"Zappa")</f>
        <v>Zappa</v>
      </c>
      <c r="C309" s="16" t="str">
        <f>IFERROR(__xludf.DUMMYFUNCTION("""COMPUTED_VALUE"""),"SVP Payer Growth")</f>
        <v>SVP Payer Growth</v>
      </c>
      <c r="D309" s="16" t="str">
        <f>IFERROR(__xludf.DUMMYFUNCTION("""COMPUTED_VALUE"""),"Optum Financial")</f>
        <v>Optum Financial</v>
      </c>
      <c r="E309" s="16" t="str">
        <f>IFERROR(__xludf.DUMMYFUNCTION("""COMPUTED_VALUE"""),"Growth")</f>
        <v>Growth</v>
      </c>
      <c r="F309" s="16" t="str">
        <f>IFERROR(__xludf.DUMMYFUNCTION("""COMPUTED_VALUE"""),"joe.zappa@optum.com")</f>
        <v>joe.zappa@optum.com</v>
      </c>
      <c r="G309" s="16" t="str">
        <f>IFERROR(__xludf.DUMMYFUNCTION("""COMPUTED_VALUE"""),"Aaron Shaw")</f>
        <v>Aaron Shaw</v>
      </c>
      <c r="H309" s="16" t="str">
        <f>IFERROR(__xludf.DUMMYFUNCTION("""COMPUTED_VALUE"""),"PartnerConnect - Technology")</f>
        <v>PartnerConnect - Technology</v>
      </c>
      <c r="I309" s="16"/>
      <c r="J309" s="16"/>
      <c r="K309" s="16"/>
      <c r="L309" s="16"/>
      <c r="M309" s="16"/>
      <c r="N309" s="16" t="str">
        <f>IFERROR(__xludf.DUMMYFUNCTION("""COMPUTED_VALUE"""),"United States Minor Outlying Islands")</f>
        <v>United States Minor Outlying Islands</v>
      </c>
      <c r="O309" s="16" t="str">
        <f>IFERROR(__xludf.DUMMYFUNCTION("""COMPUTED_VALUE"""),"Medium")</f>
        <v>Medium</v>
      </c>
      <c r="P309" s="16" t="b">
        <f>IFERROR(__xludf.DUMMYFUNCTION("""COMPUTED_VALUE"""),FALSE)</f>
        <v>0</v>
      </c>
      <c r="Q309" s="16" t="b">
        <f>IFERROR(__xludf.DUMMYFUNCTION("""COMPUTED_VALUE"""),TRUE)</f>
        <v>1</v>
      </c>
      <c r="R309" s="16" t="str">
        <f>IFERROR(__xludf.DUMMYFUNCTION("""COMPUTED_VALUE"""),"Training")</f>
        <v>Training</v>
      </c>
      <c r="S309" s="16" t="str">
        <f>IFERROR(__xludf.DUMMYFUNCTION("""COMPUTED_VALUE"""),"Optum Financial")</f>
        <v>Optum Financial</v>
      </c>
      <c r="T309" s="16" t="str">
        <f>IFERROR(__xludf.DUMMYFUNCTION("""COMPUTED_VALUE"""),"Current Partner")</f>
        <v>Current Partner</v>
      </c>
      <c r="U309" s="16" t="b">
        <f>IFERROR(__xludf.DUMMYFUNCTION("""COMPUTED_VALUE"""),FALSE)</f>
        <v>0</v>
      </c>
      <c r="V309" s="16"/>
      <c r="W309" s="16"/>
      <c r="X309" s="16"/>
    </row>
    <row r="310">
      <c r="A310" s="16" t="str">
        <f>IFERROR(__xludf.DUMMYFUNCTION("""COMPUTED_VALUE"""),"Mariah")</f>
        <v>Mariah</v>
      </c>
      <c r="B310" s="16" t="str">
        <f>IFERROR(__xludf.DUMMYFUNCTION("""COMPUTED_VALUE"""),"Olson")</f>
        <v>Olson</v>
      </c>
      <c r="C310" s="16"/>
      <c r="D310" s="16" t="str">
        <f>IFERROR(__xludf.DUMMYFUNCTION("""COMPUTED_VALUE"""),"Optum Financial")</f>
        <v>Optum Financial</v>
      </c>
      <c r="E310" s="16" t="str">
        <f>IFERROR(__xludf.DUMMYFUNCTION("""COMPUTED_VALUE"""),"Growth")</f>
        <v>Growth</v>
      </c>
      <c r="F310" s="16" t="str">
        <f>IFERROR(__xludf.DUMMYFUNCTION("""COMPUTED_VALUE"""),"mariah.k.olson@optum.com")</f>
        <v>mariah.k.olson@optum.com</v>
      </c>
      <c r="G310" s="16" t="str">
        <f>IFERROR(__xludf.DUMMYFUNCTION("""COMPUTED_VALUE"""),"Aaron Shaw")</f>
        <v>Aaron Shaw</v>
      </c>
      <c r="H310" s="16" t="str">
        <f>IFERROR(__xludf.DUMMYFUNCTION("""COMPUTED_VALUE"""),"PartnerConnect - Technology")</f>
        <v>PartnerConnect - Technology</v>
      </c>
      <c r="I310" s="16"/>
      <c r="J310" s="16"/>
      <c r="K310" s="16"/>
      <c r="L310" s="16"/>
      <c r="M310" s="16"/>
      <c r="N310" s="16" t="str">
        <f>IFERROR(__xludf.DUMMYFUNCTION("""COMPUTED_VALUE"""),"United States")</f>
        <v>United States</v>
      </c>
      <c r="O310" s="16" t="str">
        <f>IFERROR(__xludf.DUMMYFUNCTION("""COMPUTED_VALUE"""),"Medium")</f>
        <v>Medium</v>
      </c>
      <c r="P310" s="16" t="b">
        <f>IFERROR(__xludf.DUMMYFUNCTION("""COMPUTED_VALUE"""),FALSE)</f>
        <v>0</v>
      </c>
      <c r="Q310" s="16" t="b">
        <f>IFERROR(__xludf.DUMMYFUNCTION("""COMPUTED_VALUE"""),TRUE)</f>
        <v>1</v>
      </c>
      <c r="R310" s="16" t="str">
        <f>IFERROR(__xludf.DUMMYFUNCTION("""COMPUTED_VALUE"""),"Business, Events, Marketing")</f>
        <v>Business, Events, Marketing</v>
      </c>
      <c r="S310" s="16" t="str">
        <f>IFERROR(__xludf.DUMMYFUNCTION("""COMPUTED_VALUE"""),"Optum Financial")</f>
        <v>Optum Financial</v>
      </c>
      <c r="T310" s="16" t="str">
        <f>IFERROR(__xludf.DUMMYFUNCTION("""COMPUTED_VALUE"""),"Current Partner")</f>
        <v>Current Partner</v>
      </c>
      <c r="U310" s="16" t="b">
        <f>IFERROR(__xludf.DUMMYFUNCTION("""COMPUTED_VALUE"""),FALSE)</f>
        <v>0</v>
      </c>
      <c r="V310" s="16"/>
      <c r="W310" s="16"/>
      <c r="X310" s="16"/>
    </row>
    <row r="311">
      <c r="A311" s="16" t="str">
        <f>IFERROR(__xludf.DUMMYFUNCTION("""COMPUTED_VALUE"""),"Haley")</f>
        <v>Haley</v>
      </c>
      <c r="B311" s="16" t="str">
        <f>IFERROR(__xludf.DUMMYFUNCTION("""COMPUTED_VALUE"""),"Knighten")</f>
        <v>Knighten</v>
      </c>
      <c r="C311" s="16"/>
      <c r="D311" s="16" t="str">
        <f>IFERROR(__xludf.DUMMYFUNCTION("""COMPUTED_VALUE"""),"Optum Financial")</f>
        <v>Optum Financial</v>
      </c>
      <c r="E311" s="16" t="str">
        <f>IFERROR(__xludf.DUMMYFUNCTION("""COMPUTED_VALUE"""),"Growth")</f>
        <v>Growth</v>
      </c>
      <c r="F311" s="16" t="str">
        <f>IFERROR(__xludf.DUMMYFUNCTION("""COMPUTED_VALUE"""),"haley.knighten@optum.com")</f>
        <v>haley.knighten@optum.com</v>
      </c>
      <c r="G311" s="16" t="str">
        <f>IFERROR(__xludf.DUMMYFUNCTION("""COMPUTED_VALUE"""),"Aaron Shaw")</f>
        <v>Aaron Shaw</v>
      </c>
      <c r="H311" s="16" t="str">
        <f>IFERROR(__xludf.DUMMYFUNCTION("""COMPUTED_VALUE"""),"PartnerConnect - Technology")</f>
        <v>PartnerConnect - Technology</v>
      </c>
      <c r="I311" s="16" t="str">
        <f>IFERROR(__xludf.DUMMYFUNCTION("""COMPUTED_VALUE"""),"3701 W. Plano Parkway, #200")</f>
        <v>3701 W. Plano Parkway, #200</v>
      </c>
      <c r="J311" s="16"/>
      <c r="K311" s="16" t="str">
        <f>IFERROR(__xludf.DUMMYFUNCTION("""COMPUTED_VALUE"""),"Plano")</f>
        <v>Plano</v>
      </c>
      <c r="L311" s="16" t="str">
        <f>IFERROR(__xludf.DUMMYFUNCTION("""COMPUTED_VALUE"""),"Texas")</f>
        <v>Texas</v>
      </c>
      <c r="M311" s="16">
        <f>IFERROR(__xludf.DUMMYFUNCTION("""COMPUTED_VALUE"""),75075.0)</f>
        <v>75075</v>
      </c>
      <c r="N311" s="16" t="str">
        <f>IFERROR(__xludf.DUMMYFUNCTION("""COMPUTED_VALUE"""),"United States")</f>
        <v>United States</v>
      </c>
      <c r="O311" s="16" t="str">
        <f>IFERROR(__xludf.DUMMYFUNCTION("""COMPUTED_VALUE"""),"Medium")</f>
        <v>Medium</v>
      </c>
      <c r="P311" s="16" t="b">
        <f>IFERROR(__xludf.DUMMYFUNCTION("""COMPUTED_VALUE"""),TRUE)</f>
        <v>1</v>
      </c>
      <c r="Q311" s="16" t="b">
        <f>IFERROR(__xludf.DUMMYFUNCTION("""COMPUTED_VALUE"""),TRUE)</f>
        <v>1</v>
      </c>
      <c r="R311" s="16" t="str">
        <f>IFERROR(__xludf.DUMMYFUNCTION("""COMPUTED_VALUE"""),"Admin, Business, Events, Legal / Contracts, Marketing, Support, Delivery Lead / BA, Client Partner / Partner Account Executive")</f>
        <v>Admin, Business, Events, Legal / Contracts, Marketing, Support, Delivery Lead / BA, Client Partner / Partner Account Executive</v>
      </c>
      <c r="S311" s="16" t="str">
        <f>IFERROR(__xludf.DUMMYFUNCTION("""COMPUTED_VALUE"""),"Optum Financial")</f>
        <v>Optum Financial</v>
      </c>
      <c r="T311" s="16" t="str">
        <f>IFERROR(__xludf.DUMMYFUNCTION("""COMPUTED_VALUE"""),"Current Partner")</f>
        <v>Current Partner</v>
      </c>
      <c r="U311" s="16" t="b">
        <f>IFERROR(__xludf.DUMMYFUNCTION("""COMPUTED_VALUE"""),FALSE)</f>
        <v>0</v>
      </c>
      <c r="V311" s="16"/>
      <c r="W311" s="16"/>
      <c r="X311" s="16"/>
    </row>
    <row r="312">
      <c r="A312" s="16" t="str">
        <f>IFERROR(__xludf.DUMMYFUNCTION("""COMPUTED_VALUE"""),"Kristin")</f>
        <v>Kristin</v>
      </c>
      <c r="B312" s="16" t="str">
        <f>IFERROR(__xludf.DUMMYFUNCTION("""COMPUTED_VALUE"""),"Rosicky")</f>
        <v>Rosicky</v>
      </c>
      <c r="C312" s="16" t="str">
        <f>IFERROR(__xludf.DUMMYFUNCTION("""COMPUTED_VALUE"""),"Director, Events")</f>
        <v>Director, Events</v>
      </c>
      <c r="D312" s="16" t="str">
        <f>IFERROR(__xludf.DUMMYFUNCTION("""COMPUTED_VALUE"""),"Optum Financial")</f>
        <v>Optum Financial</v>
      </c>
      <c r="E312" s="16" t="str">
        <f>IFERROR(__xludf.DUMMYFUNCTION("""COMPUTED_VALUE"""),"Growth")</f>
        <v>Growth</v>
      </c>
      <c r="F312" s="16" t="str">
        <f>IFERROR(__xludf.DUMMYFUNCTION("""COMPUTED_VALUE"""),"kristin.rosicky@optum.com")</f>
        <v>kristin.rosicky@optum.com</v>
      </c>
      <c r="G312" s="16" t="str">
        <f>IFERROR(__xludf.DUMMYFUNCTION("""COMPUTED_VALUE"""),"Aaron Shaw")</f>
        <v>Aaron Shaw</v>
      </c>
      <c r="H312" s="16" t="str">
        <f>IFERROR(__xludf.DUMMYFUNCTION("""COMPUTED_VALUE"""),"PartnerConnect - Technology")</f>
        <v>PartnerConnect - Technology</v>
      </c>
      <c r="I312" s="16"/>
      <c r="J312" s="16"/>
      <c r="K312" s="16"/>
      <c r="L312" s="16"/>
      <c r="M312" s="16"/>
      <c r="N312" s="16" t="str">
        <f>IFERROR(__xludf.DUMMYFUNCTION("""COMPUTED_VALUE"""),"United States")</f>
        <v>United States</v>
      </c>
      <c r="O312" s="16" t="str">
        <f>IFERROR(__xludf.DUMMYFUNCTION("""COMPUTED_VALUE"""),"Medium")</f>
        <v>Medium</v>
      </c>
      <c r="P312" s="16" t="b">
        <f>IFERROR(__xludf.DUMMYFUNCTION("""COMPUTED_VALUE"""),FALSE)</f>
        <v>0</v>
      </c>
      <c r="Q312" s="16" t="b">
        <f>IFERROR(__xludf.DUMMYFUNCTION("""COMPUTED_VALUE"""),TRUE)</f>
        <v>1</v>
      </c>
      <c r="R312" s="16" t="str">
        <f>IFERROR(__xludf.DUMMYFUNCTION("""COMPUTED_VALUE"""),"Events, Marketing")</f>
        <v>Events, Marketing</v>
      </c>
      <c r="S312" s="16" t="str">
        <f>IFERROR(__xludf.DUMMYFUNCTION("""COMPUTED_VALUE"""),"Optum Financial")</f>
        <v>Optum Financial</v>
      </c>
      <c r="T312" s="16" t="str">
        <f>IFERROR(__xludf.DUMMYFUNCTION("""COMPUTED_VALUE"""),"Current Partner")</f>
        <v>Current Partner</v>
      </c>
      <c r="U312" s="16" t="b">
        <f>IFERROR(__xludf.DUMMYFUNCTION("""COMPUTED_VALUE"""),FALSE)</f>
        <v>0</v>
      </c>
      <c r="V312" s="16"/>
      <c r="W312" s="16"/>
      <c r="X312" s="16"/>
    </row>
    <row r="313">
      <c r="A313" s="16" t="str">
        <f>IFERROR(__xludf.DUMMYFUNCTION("""COMPUTED_VALUE"""),"Jonathan")</f>
        <v>Jonathan</v>
      </c>
      <c r="B313" s="16" t="str">
        <f>IFERROR(__xludf.DUMMYFUNCTION("""COMPUTED_VALUE"""),"Cheung")</f>
        <v>Cheung</v>
      </c>
      <c r="C313" s="16" t="str">
        <f>IFERROR(__xludf.DUMMYFUNCTION("""COMPUTED_VALUE"""),"Director of Strategic Initiatives")</f>
        <v>Director of Strategic Initiatives</v>
      </c>
      <c r="D313" s="16" t="str">
        <f>IFERROR(__xludf.DUMMYFUNCTION("""COMPUTED_VALUE"""),"Paymentus")</f>
        <v>Paymentus</v>
      </c>
      <c r="E313" s="16" t="str">
        <f>IFERROR(__xludf.DUMMYFUNCTION("""COMPUTED_VALUE"""),"Advantage")</f>
        <v>Advantage</v>
      </c>
      <c r="F313" s="16" t="str">
        <f>IFERROR(__xludf.DUMMYFUNCTION("""COMPUTED_VALUE"""),"jonathancheung@paymentus.com")</f>
        <v>jonathancheung@paymentus.com</v>
      </c>
      <c r="G313" s="16" t="str">
        <f>IFERROR(__xludf.DUMMYFUNCTION("""COMPUTED_VALUE"""),"Shannon Spies")</f>
        <v>Shannon Spies</v>
      </c>
      <c r="H313" s="16" t="str">
        <f>IFERROR(__xludf.DUMMYFUNCTION("""COMPUTED_VALUE"""),"PartnerConnect - Technology")</f>
        <v>PartnerConnect - Technology</v>
      </c>
      <c r="I313" s="16"/>
      <c r="J313" s="16"/>
      <c r="K313" s="16" t="str">
        <f>IFERROR(__xludf.DUMMYFUNCTION("""COMPUTED_VALUE"""),"Charlotte")</f>
        <v>Charlotte</v>
      </c>
      <c r="L313" s="16" t="str">
        <f>IFERROR(__xludf.DUMMYFUNCTION("""COMPUTED_VALUE"""),"NC")</f>
        <v>NC</v>
      </c>
      <c r="M313" s="16">
        <f>IFERROR(__xludf.DUMMYFUNCTION("""COMPUTED_VALUE"""),28277.0)</f>
        <v>28277</v>
      </c>
      <c r="N313" s="16" t="str">
        <f>IFERROR(__xludf.DUMMYFUNCTION("""COMPUTED_VALUE"""),"United States")</f>
        <v>United States</v>
      </c>
      <c r="O313" s="16" t="str">
        <f>IFERROR(__xludf.DUMMYFUNCTION("""COMPUTED_VALUE"""),"Medium")</f>
        <v>Medium</v>
      </c>
      <c r="P313" s="16" t="b">
        <f>IFERROR(__xludf.DUMMYFUNCTION("""COMPUTED_VALUE"""),TRUE)</f>
        <v>1</v>
      </c>
      <c r="Q313" s="16" t="b">
        <f>IFERROR(__xludf.DUMMYFUNCTION("""COMPUTED_VALUE"""),FALSE)</f>
        <v>0</v>
      </c>
      <c r="R313" s="16" t="str">
        <f>IFERROR(__xludf.DUMMYFUNCTION("""COMPUTED_VALUE"""),"Admin, Business, Events, Legal / Contracts, Marketing, Support, Technical, Training, Main Billing Contact, Billing Contact  LMS Training Fees, Sales Solution Architect, Delivery Lead / BA, Client Partner / Partner Account Executive")</f>
        <v>Admin, Business, Events, Legal / Contracts, Marketing, Support, Technical, Training, Main Billing Contact, Billing Contact  LMS Training Fees, Sales Solution Architect, Delivery Lead / BA, Client Partner / Partner Account Executive</v>
      </c>
      <c r="S313" s="16" t="str">
        <f>IFERROR(__xludf.DUMMYFUNCTION("""COMPUTED_VALUE"""),"Paymentus")</f>
        <v>Paymentus</v>
      </c>
      <c r="T313" s="16" t="str">
        <f>IFERROR(__xludf.DUMMYFUNCTION("""COMPUTED_VALUE"""),"Current Partner")</f>
        <v>Current Partner</v>
      </c>
      <c r="U313" s="16" t="b">
        <f>IFERROR(__xludf.DUMMYFUNCTION("""COMPUTED_VALUE"""),FALSE)</f>
        <v>0</v>
      </c>
      <c r="V313" s="16"/>
      <c r="W313" s="16"/>
      <c r="X313" s="16"/>
    </row>
    <row r="314">
      <c r="A314" s="16" t="str">
        <f>IFERROR(__xludf.DUMMYFUNCTION("""COMPUTED_VALUE"""),"Annah")</f>
        <v>Annah</v>
      </c>
      <c r="B314" s="16" t="str">
        <f>IFERROR(__xludf.DUMMYFUNCTION("""COMPUTED_VALUE"""),"Burns")</f>
        <v>Burns</v>
      </c>
      <c r="C314" s="16"/>
      <c r="D314" s="16" t="str">
        <f>IFERROR(__xludf.DUMMYFUNCTION("""COMPUTED_VALUE"""),"Paymentus")</f>
        <v>Paymentus</v>
      </c>
      <c r="E314" s="16" t="str">
        <f>IFERROR(__xludf.DUMMYFUNCTION("""COMPUTED_VALUE"""),"Advantage")</f>
        <v>Advantage</v>
      </c>
      <c r="F314" s="16" t="str">
        <f>IFERROR(__xludf.DUMMYFUNCTION("""COMPUTED_VALUE"""),"aburns@paymentus.com")</f>
        <v>aburns@paymentus.com</v>
      </c>
      <c r="G314" s="16" t="str">
        <f>IFERROR(__xludf.DUMMYFUNCTION("""COMPUTED_VALUE"""),"Shannon Spies")</f>
        <v>Shannon Spies</v>
      </c>
      <c r="H314" s="16" t="str">
        <f>IFERROR(__xludf.DUMMYFUNCTION("""COMPUTED_VALUE"""),"PartnerConnect - Technology")</f>
        <v>PartnerConnect - Technology</v>
      </c>
      <c r="I314" s="16" t="str">
        <f>IFERROR(__xludf.DUMMYFUNCTION("""COMPUTED_VALUE"""),"13024 Ballantyne Corporate Place Suite 450")</f>
        <v>13024 Ballantyne Corporate Place Suite 450</v>
      </c>
      <c r="J314" s="16"/>
      <c r="K314" s="16" t="str">
        <f>IFERROR(__xludf.DUMMYFUNCTION("""COMPUTED_VALUE"""),"Charlotte")</f>
        <v>Charlotte</v>
      </c>
      <c r="L314" s="16" t="str">
        <f>IFERROR(__xludf.DUMMYFUNCTION("""COMPUTED_VALUE"""),"NC")</f>
        <v>NC</v>
      </c>
      <c r="M314" s="16">
        <f>IFERROR(__xludf.DUMMYFUNCTION("""COMPUTED_VALUE"""),28277.0)</f>
        <v>28277</v>
      </c>
      <c r="N314" s="16" t="str">
        <f>IFERROR(__xludf.DUMMYFUNCTION("""COMPUTED_VALUE"""),"United States")</f>
        <v>United States</v>
      </c>
      <c r="O314" s="16" t="str">
        <f>IFERROR(__xludf.DUMMYFUNCTION("""COMPUTED_VALUE"""),"Medium")</f>
        <v>Medium</v>
      </c>
      <c r="P314" s="16" t="b">
        <f>IFERROR(__xludf.DUMMYFUNCTION("""COMPUTED_VALUE"""),FALSE)</f>
        <v>0</v>
      </c>
      <c r="Q314" s="16" t="b">
        <f>IFERROR(__xludf.DUMMYFUNCTION("""COMPUTED_VALUE"""),TRUE)</f>
        <v>1</v>
      </c>
      <c r="R314" s="16" t="str">
        <f>IFERROR(__xludf.DUMMYFUNCTION("""COMPUTED_VALUE"""),"Events")</f>
        <v>Events</v>
      </c>
      <c r="S314" s="16" t="str">
        <f>IFERROR(__xludf.DUMMYFUNCTION("""COMPUTED_VALUE"""),"Paymentus")</f>
        <v>Paymentus</v>
      </c>
      <c r="T314" s="16" t="str">
        <f>IFERROR(__xludf.DUMMYFUNCTION("""COMPUTED_VALUE"""),"Current Partner")</f>
        <v>Current Partner</v>
      </c>
      <c r="U314" s="16" t="b">
        <f>IFERROR(__xludf.DUMMYFUNCTION("""COMPUTED_VALUE"""),FALSE)</f>
        <v>0</v>
      </c>
      <c r="V314" s="16"/>
      <c r="W314" s="16"/>
      <c r="X314" s="16"/>
    </row>
    <row r="315">
      <c r="A315" s="16" t="str">
        <f>IFERROR(__xludf.DUMMYFUNCTION("""COMPUTED_VALUE"""),"Brady")</f>
        <v>Brady</v>
      </c>
      <c r="B315" s="16" t="str">
        <f>IFERROR(__xludf.DUMMYFUNCTION("""COMPUTED_VALUE"""),"Fisher")</f>
        <v>Fisher</v>
      </c>
      <c r="C315" s="16"/>
      <c r="D315" s="16" t="str">
        <f>IFERROR(__xludf.DUMMYFUNCTION("""COMPUTED_VALUE"""),"Paymentus")</f>
        <v>Paymentus</v>
      </c>
      <c r="E315" s="16" t="str">
        <f>IFERROR(__xludf.DUMMYFUNCTION("""COMPUTED_VALUE"""),"Advantage")</f>
        <v>Advantage</v>
      </c>
      <c r="F315" s="16" t="str">
        <f>IFERROR(__xludf.DUMMYFUNCTION("""COMPUTED_VALUE"""),"bfisher@paymentus.com")</f>
        <v>bfisher@paymentus.com</v>
      </c>
      <c r="G315" s="16" t="str">
        <f>IFERROR(__xludf.DUMMYFUNCTION("""COMPUTED_VALUE"""),"Shannon Spies")</f>
        <v>Shannon Spies</v>
      </c>
      <c r="H315" s="16" t="str">
        <f>IFERROR(__xludf.DUMMYFUNCTION("""COMPUTED_VALUE"""),"PartnerConnect - Technology")</f>
        <v>PartnerConnect - Technology</v>
      </c>
      <c r="I315" s="16" t="str">
        <f>IFERROR(__xludf.DUMMYFUNCTION("""COMPUTED_VALUE"""),"11605 North Community House Road Suite 300")</f>
        <v>11605 North Community House Road Suite 300</v>
      </c>
      <c r="J315" s="16"/>
      <c r="K315" s="16" t="str">
        <f>IFERROR(__xludf.DUMMYFUNCTION("""COMPUTED_VALUE"""),"Charlotte")</f>
        <v>Charlotte</v>
      </c>
      <c r="L315" s="16" t="str">
        <f>IFERROR(__xludf.DUMMYFUNCTION("""COMPUTED_VALUE"""),"North Carolina")</f>
        <v>North Carolina</v>
      </c>
      <c r="M315" s="16">
        <f>IFERROR(__xludf.DUMMYFUNCTION("""COMPUTED_VALUE"""),28277.0)</f>
        <v>28277</v>
      </c>
      <c r="N315" s="16" t="str">
        <f>IFERROR(__xludf.DUMMYFUNCTION("""COMPUTED_VALUE"""),"United States")</f>
        <v>United States</v>
      </c>
      <c r="O315" s="16" t="str">
        <f>IFERROR(__xludf.DUMMYFUNCTION("""COMPUTED_VALUE"""),"Medium")</f>
        <v>Medium</v>
      </c>
      <c r="P315" s="16" t="b">
        <f>IFERROR(__xludf.DUMMYFUNCTION("""COMPUTED_VALUE"""),TRUE)</f>
        <v>1</v>
      </c>
      <c r="Q315" s="16" t="b">
        <f>IFERROR(__xludf.DUMMYFUNCTION("""COMPUTED_VALUE"""),FALSE)</f>
        <v>0</v>
      </c>
      <c r="R315" s="16" t="str">
        <f>IFERROR(__xludf.DUMMYFUNCTION("""COMPUTED_VALUE"""),"Admin, Business, Events, Legal / Contracts, Marketing, Support, Technical, Training, Main Billing Contact, Billing Contact  LMS Training Fees, NPE User, Sales Solution Architect, Delivery Lead / BA, Client Partner / Partner Account Executive, Developer")</f>
        <v>Admin, Business, Events, Legal / Contracts, Marketing, Support, Technical, Training, Main Billing Contact, Billing Contact  LMS Training Fees, NPE User, Sales Solution Architect, Delivery Lead / BA, Client Partner / Partner Account Executive, Developer</v>
      </c>
      <c r="S315" s="16" t="str">
        <f>IFERROR(__xludf.DUMMYFUNCTION("""COMPUTED_VALUE"""),"Paymentus")</f>
        <v>Paymentus</v>
      </c>
      <c r="T315" s="16" t="str">
        <f>IFERROR(__xludf.DUMMYFUNCTION("""COMPUTED_VALUE"""),"Current Partner")</f>
        <v>Current Partner</v>
      </c>
      <c r="U315" s="16" t="b">
        <f>IFERROR(__xludf.DUMMYFUNCTION("""COMPUTED_VALUE"""),TRUE)</f>
        <v>1</v>
      </c>
      <c r="V315" s="16"/>
      <c r="W315" s="16"/>
      <c r="X315" s="16"/>
    </row>
    <row r="316">
      <c r="A316" s="16" t="str">
        <f>IFERROR(__xludf.DUMMYFUNCTION("""COMPUTED_VALUE"""),"Jenni")</f>
        <v>Jenni</v>
      </c>
      <c r="B316" s="16" t="str">
        <f>IFERROR(__xludf.DUMMYFUNCTION("""COMPUTED_VALUE"""),"Laput")</f>
        <v>Laput</v>
      </c>
      <c r="C316" s="16" t="str">
        <f>IFERROR(__xludf.DUMMYFUNCTION("""COMPUTED_VALUE"""),"Senior Partner Ecosystem Manager")</f>
        <v>Senior Partner Ecosystem Manager</v>
      </c>
      <c r="D316" s="16" t="str">
        <f>IFERROR(__xludf.DUMMYFUNCTION("""COMPUTED_VALUE"""),"Perforce Software, Inc.")</f>
        <v>Perforce Software, Inc.</v>
      </c>
      <c r="E316" s="16" t="str">
        <f>IFERROR(__xludf.DUMMYFUNCTION("""COMPUTED_VALUE"""),"Growth")</f>
        <v>Growth</v>
      </c>
      <c r="F316" s="16" t="str">
        <f>IFERROR(__xludf.DUMMYFUNCTION("""COMPUTED_VALUE"""),"jenni.laput@perforce.com")</f>
        <v>jenni.laput@perforce.com</v>
      </c>
      <c r="G316" s="16" t="str">
        <f>IFERROR(__xludf.DUMMYFUNCTION("""COMPUTED_VALUE"""),"Tim Kennedy")</f>
        <v>Tim Kennedy</v>
      </c>
      <c r="H316" s="16" t="str">
        <f>IFERROR(__xludf.DUMMYFUNCTION("""COMPUTED_VALUE"""),"PartnerConnect - Technology")</f>
        <v>PartnerConnect - Technology</v>
      </c>
      <c r="I316" s="16" t="str">
        <f>IFERROR(__xludf.DUMMYFUNCTION("""COMPUTED_VALUE"""),"400 1st Ave North")</f>
        <v>400 1st Ave North</v>
      </c>
      <c r="J316" s="16"/>
      <c r="K316" s="16" t="str">
        <f>IFERROR(__xludf.DUMMYFUNCTION("""COMPUTED_VALUE"""),"Boulder")</f>
        <v>Boulder</v>
      </c>
      <c r="L316" s="16" t="str">
        <f>IFERROR(__xludf.DUMMYFUNCTION("""COMPUTED_VALUE"""),"Colorado")</f>
        <v>Colorado</v>
      </c>
      <c r="M316" s="16">
        <f>IFERROR(__xludf.DUMMYFUNCTION("""COMPUTED_VALUE"""),55401.0)</f>
        <v>55401</v>
      </c>
      <c r="N316" s="16" t="str">
        <f>IFERROR(__xludf.DUMMYFUNCTION("""COMPUTED_VALUE"""),"United States")</f>
        <v>United States</v>
      </c>
      <c r="O316" s="16" t="str">
        <f>IFERROR(__xludf.DUMMYFUNCTION("""COMPUTED_VALUE"""),"Medium")</f>
        <v>Medium</v>
      </c>
      <c r="P316" s="16" t="b">
        <f>IFERROR(__xludf.DUMMYFUNCTION("""COMPUTED_VALUE"""),TRUE)</f>
        <v>1</v>
      </c>
      <c r="Q316" s="16" t="b">
        <f>IFERROR(__xludf.DUMMYFUNCTION("""COMPUTED_VALUE"""),TRUE)</f>
        <v>1</v>
      </c>
      <c r="R316" s="16" t="str">
        <f>IFERROR(__xludf.DUMMYFUNCTION("""COMPUTED_VALUE"""),"Admin, Billing Contact  LMS Training Fees")</f>
        <v>Admin, Billing Contact  LMS Training Fees</v>
      </c>
      <c r="S316" s="16" t="str">
        <f>IFERROR(__xludf.DUMMYFUNCTION("""COMPUTED_VALUE"""),"Perforce")</f>
        <v>Perforce</v>
      </c>
      <c r="T316" s="16" t="str">
        <f>IFERROR(__xludf.DUMMYFUNCTION("""COMPUTED_VALUE"""),"Current Partner")</f>
        <v>Current Partner</v>
      </c>
      <c r="U316" s="16" t="b">
        <f>IFERROR(__xludf.DUMMYFUNCTION("""COMPUTED_VALUE"""),FALSE)</f>
        <v>0</v>
      </c>
      <c r="V316" s="16"/>
      <c r="W316" s="16"/>
      <c r="X316" s="16"/>
    </row>
    <row r="317">
      <c r="A317" s="16" t="str">
        <f>IFERROR(__xludf.DUMMYFUNCTION("""COMPUTED_VALUE"""),"Mark")</f>
        <v>Mark</v>
      </c>
      <c r="B317" s="16" t="str">
        <f>IFERROR(__xludf.DUMMYFUNCTION("""COMPUTED_VALUE"""),"Nawrath")</f>
        <v>Nawrath</v>
      </c>
      <c r="C317" s="16" t="str">
        <f>IFERROR(__xludf.DUMMYFUNCTION("""COMPUTED_VALUE"""),"Principal &amp; Director")</f>
        <v>Principal &amp; Director</v>
      </c>
      <c r="D317" s="16" t="str">
        <f>IFERROR(__xludf.DUMMYFUNCTION("""COMPUTED_VALUE"""),"Perr &amp; Knight, Inc.")</f>
        <v>Perr &amp; Knight, Inc.</v>
      </c>
      <c r="E317" s="16" t="str">
        <f>IFERROR(__xludf.DUMMYFUNCTION("""COMPUTED_VALUE"""),"Advantage")</f>
        <v>Advantage</v>
      </c>
      <c r="F317" s="16" t="str">
        <f>IFERROR(__xludf.DUMMYFUNCTION("""COMPUTED_VALUE"""),"mnawrath@perrknight.com")</f>
        <v>mnawrath@perrknight.com</v>
      </c>
      <c r="G317" s="16" t="str">
        <f>IFERROR(__xludf.DUMMYFUNCTION("""COMPUTED_VALUE"""),"Aaron Shaw")</f>
        <v>Aaron Shaw</v>
      </c>
      <c r="H317" s="16" t="str">
        <f>IFERROR(__xludf.DUMMYFUNCTION("""COMPUTED_VALUE"""),"PartnerConnect - Technology")</f>
        <v>PartnerConnect - Technology</v>
      </c>
      <c r="I317" s="16" t="str">
        <f>IFERROR(__xludf.DUMMYFUNCTION("""COMPUTED_VALUE"""),"401 Wilshire Blvd")</f>
        <v>401 Wilshire Blvd</v>
      </c>
      <c r="J317" s="16"/>
      <c r="K317" s="16" t="str">
        <f>IFERROR(__xludf.DUMMYFUNCTION("""COMPUTED_VALUE"""),"Santa Monica")</f>
        <v>Santa Monica</v>
      </c>
      <c r="L317" s="16" t="str">
        <f>IFERROR(__xludf.DUMMYFUNCTION("""COMPUTED_VALUE"""),"California")</f>
        <v>California</v>
      </c>
      <c r="M317" s="16">
        <f>IFERROR(__xludf.DUMMYFUNCTION("""COMPUTED_VALUE"""),90401.0)</f>
        <v>90401</v>
      </c>
      <c r="N317" s="16" t="str">
        <f>IFERROR(__xludf.DUMMYFUNCTION("""COMPUTED_VALUE"""),"United States")</f>
        <v>United States</v>
      </c>
      <c r="O317" s="16" t="str">
        <f>IFERROR(__xludf.DUMMYFUNCTION("""COMPUTED_VALUE"""),"Medium")</f>
        <v>Medium</v>
      </c>
      <c r="P317" s="16" t="b">
        <f>IFERROR(__xludf.DUMMYFUNCTION("""COMPUTED_VALUE"""),FALSE)</f>
        <v>0</v>
      </c>
      <c r="Q317" s="16" t="b">
        <f>IFERROR(__xludf.DUMMYFUNCTION("""COMPUTED_VALUE"""),TRUE)</f>
        <v>1</v>
      </c>
      <c r="R317" s="16" t="str">
        <f>IFERROR(__xludf.DUMMYFUNCTION("""COMPUTED_VALUE"""),"Admin, Business, Events, Marketing")</f>
        <v>Admin, Business, Events, Marketing</v>
      </c>
      <c r="S317" s="16" t="str">
        <f>IFERROR(__xludf.DUMMYFUNCTION("""COMPUTED_VALUE"""),"Perr &amp; Knight")</f>
        <v>Perr &amp; Knight</v>
      </c>
      <c r="T317" s="16" t="str">
        <f>IFERROR(__xludf.DUMMYFUNCTION("""COMPUTED_VALUE"""),"Current Partner")</f>
        <v>Current Partner</v>
      </c>
      <c r="U317" s="16" t="b">
        <f>IFERROR(__xludf.DUMMYFUNCTION("""COMPUTED_VALUE"""),FALSE)</f>
        <v>0</v>
      </c>
      <c r="V317" s="16"/>
      <c r="W317" s="16"/>
      <c r="X317" s="16"/>
    </row>
    <row r="318">
      <c r="A318" s="16" t="str">
        <f>IFERROR(__xludf.DUMMYFUNCTION("""COMPUTED_VALUE"""),"Louis")</f>
        <v>Louis</v>
      </c>
      <c r="B318" s="16" t="str">
        <f>IFERROR(__xludf.DUMMYFUNCTION("""COMPUTED_VALUE"""),"Landon")</f>
        <v>Landon</v>
      </c>
      <c r="C318" s="16" t="str">
        <f>IFERROR(__xludf.DUMMYFUNCTION("""COMPUTED_VALUE"""),"Manager Marketing")</f>
        <v>Manager Marketing</v>
      </c>
      <c r="D318" s="16" t="str">
        <f>IFERROR(__xludf.DUMMYFUNCTION("""COMPUTED_VALUE"""),"Perr &amp; Knight, Inc.")</f>
        <v>Perr &amp; Knight, Inc.</v>
      </c>
      <c r="E318" s="16" t="str">
        <f>IFERROR(__xludf.DUMMYFUNCTION("""COMPUTED_VALUE"""),"Advantage")</f>
        <v>Advantage</v>
      </c>
      <c r="F318" s="16" t="str">
        <f>IFERROR(__xludf.DUMMYFUNCTION("""COMPUTED_VALUE"""),"llandon@perrknight.com")</f>
        <v>llandon@perrknight.com</v>
      </c>
      <c r="G318" s="16" t="str">
        <f>IFERROR(__xludf.DUMMYFUNCTION("""COMPUTED_VALUE"""),"Aaron Shaw")</f>
        <v>Aaron Shaw</v>
      </c>
      <c r="H318" s="16" t="str">
        <f>IFERROR(__xludf.DUMMYFUNCTION("""COMPUTED_VALUE"""),"PartnerConnect - Technology")</f>
        <v>PartnerConnect - Technology</v>
      </c>
      <c r="I318" s="16"/>
      <c r="J318" s="16"/>
      <c r="K318" s="16"/>
      <c r="L318" s="16"/>
      <c r="M318" s="16"/>
      <c r="N318" s="16" t="str">
        <f>IFERROR(__xludf.DUMMYFUNCTION("""COMPUTED_VALUE"""),"United States")</f>
        <v>United States</v>
      </c>
      <c r="O318" s="16" t="str">
        <f>IFERROR(__xludf.DUMMYFUNCTION("""COMPUTED_VALUE"""),"Medium")</f>
        <v>Medium</v>
      </c>
      <c r="P318" s="16" t="b">
        <f>IFERROR(__xludf.DUMMYFUNCTION("""COMPUTED_VALUE"""),TRUE)</f>
        <v>1</v>
      </c>
      <c r="Q318" s="16" t="b">
        <f>IFERROR(__xludf.DUMMYFUNCTION("""COMPUTED_VALUE"""),TRUE)</f>
        <v>1</v>
      </c>
      <c r="R318" s="16" t="str">
        <f>IFERROR(__xludf.DUMMYFUNCTION("""COMPUTED_VALUE"""),"Admin, Business, Marketing, Main Billing Contact")</f>
        <v>Admin, Business, Marketing, Main Billing Contact</v>
      </c>
      <c r="S318" s="16" t="str">
        <f>IFERROR(__xludf.DUMMYFUNCTION("""COMPUTED_VALUE"""),"Perr &amp; Knight")</f>
        <v>Perr &amp; Knight</v>
      </c>
      <c r="T318" s="16" t="str">
        <f>IFERROR(__xludf.DUMMYFUNCTION("""COMPUTED_VALUE"""),"Current Partner")</f>
        <v>Current Partner</v>
      </c>
      <c r="U318" s="16" t="b">
        <f>IFERROR(__xludf.DUMMYFUNCTION("""COMPUTED_VALUE"""),FALSE)</f>
        <v>0</v>
      </c>
      <c r="V318" s="16"/>
      <c r="W318" s="16"/>
      <c r="X318" s="16"/>
    </row>
    <row r="319">
      <c r="A319" s="16" t="str">
        <f>IFERROR(__xludf.DUMMYFUNCTION("""COMPUTED_VALUE"""),"Jorge")</f>
        <v>Jorge</v>
      </c>
      <c r="B319" s="16" t="str">
        <f>IFERROR(__xludf.DUMMYFUNCTION("""COMPUTED_VALUE"""),"Melgar")</f>
        <v>Melgar</v>
      </c>
      <c r="C319" s="16" t="str">
        <f>IFERROR(__xludf.DUMMYFUNCTION("""COMPUTED_VALUE"""),"COO")</f>
        <v>COO</v>
      </c>
      <c r="D319" s="16" t="str">
        <f>IFERROR(__xludf.DUMMYFUNCTION("""COMPUTED_VALUE"""),"Photocert")</f>
        <v>Photocert</v>
      </c>
      <c r="E319" s="16" t="str">
        <f>IFERROR(__xludf.DUMMYFUNCTION("""COMPUTED_VALUE"""),"Growth")</f>
        <v>Growth</v>
      </c>
      <c r="F319" s="16" t="str">
        <f>IFERROR(__xludf.DUMMYFUNCTION("""COMPUTED_VALUE"""),"jorge@photocert.co.uk")</f>
        <v>jorge@photocert.co.uk</v>
      </c>
      <c r="G319" s="16" t="str">
        <f>IFERROR(__xludf.DUMMYFUNCTION("""COMPUTED_VALUE"""),"Fatima Aoulagha-Bannou")</f>
        <v>Fatima Aoulagha-Bannou</v>
      </c>
      <c r="H319" s="16" t="str">
        <f>IFERROR(__xludf.DUMMYFUNCTION("""COMPUTED_VALUE"""),"PartnerConnect - Technology")</f>
        <v>PartnerConnect - Technology</v>
      </c>
      <c r="I319" s="16"/>
      <c r="J319" s="16"/>
      <c r="K319" s="16" t="str">
        <f>IFERROR(__xludf.DUMMYFUNCTION("""COMPUTED_VALUE"""),"London")</f>
        <v>London</v>
      </c>
      <c r="L319" s="16" t="str">
        <f>IFERROR(__xludf.DUMMYFUNCTION("""COMPUTED_VALUE"""),"London")</f>
        <v>London</v>
      </c>
      <c r="M319" s="16" t="str">
        <f>IFERROR(__xludf.DUMMYFUNCTION("""COMPUTED_VALUE"""),"W12 7FP")</f>
        <v>W12 7FP</v>
      </c>
      <c r="N319" s="16" t="str">
        <f>IFERROR(__xludf.DUMMYFUNCTION("""COMPUTED_VALUE"""),"United Kingdom")</f>
        <v>United Kingdom</v>
      </c>
      <c r="O319" s="16" t="str">
        <f>IFERROR(__xludf.DUMMYFUNCTION("""COMPUTED_VALUE"""),"Medium")</f>
        <v>Medium</v>
      </c>
      <c r="P319" s="16" t="b">
        <f>IFERROR(__xludf.DUMMYFUNCTION("""COMPUTED_VALUE"""),TRUE)</f>
        <v>1</v>
      </c>
      <c r="Q319" s="16" t="b">
        <f>IFERROR(__xludf.DUMMYFUNCTION("""COMPUTED_VALUE"""),FALSE)</f>
        <v>0</v>
      </c>
      <c r="R319" s="16" t="str">
        <f>IFERROR(__xludf.DUMMYFUNCTION("""COMPUTED_VALUE"""),"Admin, Business")</f>
        <v>Admin, Business</v>
      </c>
      <c r="S319" s="16" t="str">
        <f>IFERROR(__xludf.DUMMYFUNCTION("""COMPUTED_VALUE"""),"Photocert")</f>
        <v>Photocert</v>
      </c>
      <c r="T319" s="16" t="str">
        <f>IFERROR(__xludf.DUMMYFUNCTION("""COMPUTED_VALUE"""),"Current Partner")</f>
        <v>Current Partner</v>
      </c>
      <c r="U319" s="16" t="b">
        <f>IFERROR(__xludf.DUMMYFUNCTION("""COMPUTED_VALUE"""),FALSE)</f>
        <v>0</v>
      </c>
      <c r="V319" s="16"/>
      <c r="W319" s="16"/>
      <c r="X319" s="16"/>
    </row>
    <row r="320">
      <c r="A320" s="16" t="str">
        <f>IFERROR(__xludf.DUMMYFUNCTION("""COMPUTED_VALUE"""),"Luana")</f>
        <v>Luana</v>
      </c>
      <c r="B320" s="16" t="str">
        <f>IFERROR(__xludf.DUMMYFUNCTION("""COMPUTED_VALUE"""),"Campos")</f>
        <v>Campos</v>
      </c>
      <c r="C320" s="16" t="str">
        <f>IFERROR(__xludf.DUMMYFUNCTION("""COMPUTED_VALUE"""),"Project Specialist")</f>
        <v>Project Specialist</v>
      </c>
      <c r="D320" s="16" t="str">
        <f>IFERROR(__xludf.DUMMYFUNCTION("""COMPUTED_VALUE"""),"Photocert")</f>
        <v>Photocert</v>
      </c>
      <c r="E320" s="16" t="str">
        <f>IFERROR(__xludf.DUMMYFUNCTION("""COMPUTED_VALUE"""),"Growth")</f>
        <v>Growth</v>
      </c>
      <c r="F320" s="16" t="str">
        <f>IFERROR(__xludf.DUMMYFUNCTION("""COMPUTED_VALUE"""),"luana@photocert.co.uk")</f>
        <v>luana@photocert.co.uk</v>
      </c>
      <c r="G320" s="16" t="str">
        <f>IFERROR(__xludf.DUMMYFUNCTION("""COMPUTED_VALUE"""),"Fatima Aoulagha-Bannou")</f>
        <v>Fatima Aoulagha-Bannou</v>
      </c>
      <c r="H320" s="16" t="str">
        <f>IFERROR(__xludf.DUMMYFUNCTION("""COMPUTED_VALUE"""),"PartnerConnect - Technology")</f>
        <v>PartnerConnect - Technology</v>
      </c>
      <c r="I320" s="16" t="str">
        <f>IFERROR(__xludf.DUMMYFUNCTION("""COMPUTED_VALUE"""),"245 Hammersmith Rd London W6 8PW")</f>
        <v>245 Hammersmith Rd London W6 8PW</v>
      </c>
      <c r="J320" s="16"/>
      <c r="K320" s="16" t="str">
        <f>IFERROR(__xludf.DUMMYFUNCTION("""COMPUTED_VALUE"""),"London")</f>
        <v>London</v>
      </c>
      <c r="L320" s="16" t="str">
        <f>IFERROR(__xludf.DUMMYFUNCTION("""COMPUTED_VALUE"""),"Greater London")</f>
        <v>Greater London</v>
      </c>
      <c r="M320" s="16" t="str">
        <f>IFERROR(__xludf.DUMMYFUNCTION("""COMPUTED_VALUE"""),"W6 8PW")</f>
        <v>W6 8PW</v>
      </c>
      <c r="N320" s="16" t="str">
        <f>IFERROR(__xludf.DUMMYFUNCTION("""COMPUTED_VALUE"""),"United Kingdom")</f>
        <v>United Kingdom</v>
      </c>
      <c r="O320" s="16" t="str">
        <f>IFERROR(__xludf.DUMMYFUNCTION("""COMPUTED_VALUE"""),"Medium")</f>
        <v>Medium</v>
      </c>
      <c r="P320" s="16" t="b">
        <f>IFERROR(__xludf.DUMMYFUNCTION("""COMPUTED_VALUE"""),FALSE)</f>
        <v>0</v>
      </c>
      <c r="Q320" s="16" t="b">
        <f>IFERROR(__xludf.DUMMYFUNCTION("""COMPUTED_VALUE"""),TRUE)</f>
        <v>1</v>
      </c>
      <c r="R320" s="16" t="str">
        <f>IFERROR(__xludf.DUMMYFUNCTION("""COMPUTED_VALUE"""),"Events, Marketing, Delivery Lead / BA, Client Partner / Partner Account Executive")</f>
        <v>Events, Marketing, Delivery Lead / BA, Client Partner / Partner Account Executive</v>
      </c>
      <c r="S320" s="16" t="str">
        <f>IFERROR(__xludf.DUMMYFUNCTION("""COMPUTED_VALUE"""),"Photocert")</f>
        <v>Photocert</v>
      </c>
      <c r="T320" s="16" t="str">
        <f>IFERROR(__xludf.DUMMYFUNCTION("""COMPUTED_VALUE"""),"Current Partner")</f>
        <v>Current Partner</v>
      </c>
      <c r="U320" s="16" t="b">
        <f>IFERROR(__xludf.DUMMYFUNCTION("""COMPUTED_VALUE"""),FALSE)</f>
        <v>0</v>
      </c>
      <c r="V320" s="16"/>
      <c r="W320" s="16"/>
      <c r="X320" s="16"/>
    </row>
    <row r="321">
      <c r="A321" s="16" t="str">
        <f>IFERROR(__xludf.DUMMYFUNCTION("""COMPUTED_VALUE"""),"Evgeny")</f>
        <v>Evgeny</v>
      </c>
      <c r="B321" s="16" t="str">
        <f>IFERROR(__xludf.DUMMYFUNCTION("""COMPUTED_VALUE"""),"Aleksandrov")</f>
        <v>Aleksandrov</v>
      </c>
      <c r="C321" s="16" t="str">
        <f>IFERROR(__xludf.DUMMYFUNCTION("""COMPUTED_VALUE"""),"Founder")</f>
        <v>Founder</v>
      </c>
      <c r="D321" s="16" t="str">
        <f>IFERROR(__xludf.DUMMYFUNCTION("""COMPUTED_VALUE"""),"Pilotbird")</f>
        <v>Pilotbird</v>
      </c>
      <c r="E321" s="16" t="str">
        <f>IFERROR(__xludf.DUMMYFUNCTION("""COMPUTED_VALUE"""),"Growth")</f>
        <v>Growth</v>
      </c>
      <c r="F321" s="16" t="str">
        <f>IFERROR(__xludf.DUMMYFUNCTION("""COMPUTED_VALUE"""),"evgeny@pilotbird.com")</f>
        <v>evgeny@pilotbird.com</v>
      </c>
      <c r="G321" s="16" t="str">
        <f>IFERROR(__xludf.DUMMYFUNCTION("""COMPUTED_VALUE"""),"Shannon Spies")</f>
        <v>Shannon Spies</v>
      </c>
      <c r="H321" s="16" t="str">
        <f>IFERROR(__xludf.DUMMYFUNCTION("""COMPUTED_VALUE"""),"PartnerConnect - Technology")</f>
        <v>PartnerConnect - Technology</v>
      </c>
      <c r="I321" s="16" t="str">
        <f>IFERROR(__xludf.DUMMYFUNCTION("""COMPUTED_VALUE"""),"247 W 46th St")</f>
        <v>247 W 46th St</v>
      </c>
      <c r="J321" s="16"/>
      <c r="K321" s="16" t="str">
        <f>IFERROR(__xludf.DUMMYFUNCTION("""COMPUTED_VALUE"""),"New York")</f>
        <v>New York</v>
      </c>
      <c r="L321" s="16" t="str">
        <f>IFERROR(__xludf.DUMMYFUNCTION("""COMPUTED_VALUE"""),"NEW YORK")</f>
        <v>NEW YORK</v>
      </c>
      <c r="M321" s="16">
        <f>IFERROR(__xludf.DUMMYFUNCTION("""COMPUTED_VALUE"""),10036.0)</f>
        <v>10036</v>
      </c>
      <c r="N321" s="16" t="str">
        <f>IFERROR(__xludf.DUMMYFUNCTION("""COMPUTED_VALUE"""),"United States")</f>
        <v>United States</v>
      </c>
      <c r="O321" s="16" t="str">
        <f>IFERROR(__xludf.DUMMYFUNCTION("""COMPUTED_VALUE"""),"Low")</f>
        <v>Low</v>
      </c>
      <c r="P321" s="16" t="b">
        <f>IFERROR(__xludf.DUMMYFUNCTION("""COMPUTED_VALUE"""),TRUE)</f>
        <v>1</v>
      </c>
      <c r="Q321" s="16" t="b">
        <f>IFERROR(__xludf.DUMMYFUNCTION("""COMPUTED_VALUE"""),FALSE)</f>
        <v>0</v>
      </c>
      <c r="R321" s="16" t="str">
        <f>IFERROR(__xludf.DUMMYFUNCTION("""COMPUTED_VALUE"""),"Admin, Support, Training, Main Billing Contact, Billing Contact  LMS Training Fees")</f>
        <v>Admin, Support, Training, Main Billing Contact, Billing Contact  LMS Training Fees</v>
      </c>
      <c r="S321" s="16" t="str">
        <f>IFERROR(__xludf.DUMMYFUNCTION("""COMPUTED_VALUE"""),"Pilotbird")</f>
        <v>Pilotbird</v>
      </c>
      <c r="T321" s="16" t="str">
        <f>IFERROR(__xludf.DUMMYFUNCTION("""COMPUTED_VALUE"""),"Current Partner")</f>
        <v>Current Partner</v>
      </c>
      <c r="U321" s="16" t="b">
        <f>IFERROR(__xludf.DUMMYFUNCTION("""COMPUTED_VALUE"""),FALSE)</f>
        <v>0</v>
      </c>
      <c r="V321" s="16"/>
      <c r="W321" s="16"/>
      <c r="X321" s="16"/>
    </row>
    <row r="322">
      <c r="A322" s="16" t="str">
        <f>IFERROR(__xludf.DUMMYFUNCTION("""COMPUTED_VALUE"""),"Trevor")</f>
        <v>Trevor</v>
      </c>
      <c r="B322" s="16" t="str">
        <f>IFERROR(__xludf.DUMMYFUNCTION("""COMPUTED_VALUE"""),"Giroux")</f>
        <v>Giroux</v>
      </c>
      <c r="C322" s="16" t="str">
        <f>IFERROR(__xludf.DUMMYFUNCTION("""COMPUTED_VALUE"""),"Head of Client Services")</f>
        <v>Head of Client Services</v>
      </c>
      <c r="D322" s="16" t="str">
        <f>IFERROR(__xludf.DUMMYFUNCTION("""COMPUTED_VALUE"""),"PinpointPredictive")</f>
        <v>PinpointPredictive</v>
      </c>
      <c r="E322" s="16" t="str">
        <f>IFERROR(__xludf.DUMMYFUNCTION("""COMPUTED_VALUE"""),"Insurtech Vanguard")</f>
        <v>Insurtech Vanguard</v>
      </c>
      <c r="F322" s="16" t="str">
        <f>IFERROR(__xludf.DUMMYFUNCTION("""COMPUTED_VALUE"""),"trevor.giroux@pinpoint.ai")</f>
        <v>trevor.giroux@pinpoint.ai</v>
      </c>
      <c r="G322" s="16" t="str">
        <f>IFERROR(__xludf.DUMMYFUNCTION("""COMPUTED_VALUE"""),"Shannon Spies")</f>
        <v>Shannon Spies</v>
      </c>
      <c r="H322" s="16"/>
      <c r="I322" s="16" t="str">
        <f>IFERROR(__xludf.DUMMYFUNCTION("""COMPUTED_VALUE"""),"3 E. Third Ave. Suite 200")</f>
        <v>3 E. Third Ave. Suite 200</v>
      </c>
      <c r="J322" s="16"/>
      <c r="K322" s="16" t="str">
        <f>IFERROR(__xludf.DUMMYFUNCTION("""COMPUTED_VALUE"""),"San Mateo")</f>
        <v>San Mateo</v>
      </c>
      <c r="L322" s="16" t="str">
        <f>IFERROR(__xludf.DUMMYFUNCTION("""COMPUTED_VALUE"""),"CALIFORNIA")</f>
        <v>CALIFORNIA</v>
      </c>
      <c r="M322" s="16">
        <f>IFERROR(__xludf.DUMMYFUNCTION("""COMPUTED_VALUE"""),94401.0)</f>
        <v>94401</v>
      </c>
      <c r="N322" s="16" t="str">
        <f>IFERROR(__xludf.DUMMYFUNCTION("""COMPUTED_VALUE"""),"United States")</f>
        <v>United States</v>
      </c>
      <c r="O322" s="16"/>
      <c r="P322" s="16" t="b">
        <f>IFERROR(__xludf.DUMMYFUNCTION("""COMPUTED_VALUE"""),TRUE)</f>
        <v>1</v>
      </c>
      <c r="Q322" s="16" t="b">
        <f>IFERROR(__xludf.DUMMYFUNCTION("""COMPUTED_VALUE"""),FALSE)</f>
        <v>0</v>
      </c>
      <c r="R322" s="16" t="str">
        <f>IFERROR(__xludf.DUMMYFUNCTION("""COMPUTED_VALUE"""),"Admin, Business, Events, Legal / Contracts, Marketing, Professional Services / Consulting, Project / Program Management, Sales, Support, Technical, Training, NPE User")</f>
        <v>Admin, Business, Events, Legal / Contracts, Marketing, Professional Services / Consulting, Project / Program Management, Sales, Support, Technical, Training, NPE User</v>
      </c>
      <c r="S322" s="16" t="str">
        <f>IFERROR(__xludf.DUMMYFUNCTION("""COMPUTED_VALUE"""),"Pinpoint Predictive")</f>
        <v>Pinpoint Predictive</v>
      </c>
      <c r="T322" s="16" t="str">
        <f>IFERROR(__xludf.DUMMYFUNCTION("""COMPUTED_VALUE"""),"Current Vanguard")</f>
        <v>Current Vanguard</v>
      </c>
      <c r="U322" s="16" t="b">
        <f>IFERROR(__xludf.DUMMYFUNCTION("""COMPUTED_VALUE"""),TRUE)</f>
        <v>1</v>
      </c>
      <c r="V322" s="16"/>
      <c r="W322" s="16"/>
      <c r="X322" s="16"/>
    </row>
    <row r="323">
      <c r="A323" s="16" t="str">
        <f>IFERROR(__xludf.DUMMYFUNCTION("""COMPUTED_VALUE"""),"Frederik")</f>
        <v>Frederik</v>
      </c>
      <c r="B323" s="16" t="str">
        <f>IFERROR(__xludf.DUMMYFUNCTION("""COMPUTED_VALUE"""),"de Hosson")</f>
        <v>de Hosson</v>
      </c>
      <c r="C323" s="16" t="str">
        <f>IFERROR(__xludf.DUMMYFUNCTION("""COMPUTED_VALUE"""),"Insurance business lead")</f>
        <v>Insurance business lead</v>
      </c>
      <c r="D323" s="16" t="str">
        <f>IFERROR(__xludf.DUMMYFUNCTION("""COMPUTED_VALUE"""),"Postex Nederland bv")</f>
        <v>Postex Nederland bv</v>
      </c>
      <c r="E323" s="16" t="str">
        <f>IFERROR(__xludf.DUMMYFUNCTION("""COMPUTED_VALUE"""),"Growth")</f>
        <v>Growth</v>
      </c>
      <c r="F323" s="16" t="str">
        <f>IFERROR(__xludf.DUMMYFUNCTION("""COMPUTED_VALUE"""),"f.de.hosson@postex.com")</f>
        <v>f.de.hosson@postex.com</v>
      </c>
      <c r="G323" s="16" t="str">
        <f>IFERROR(__xludf.DUMMYFUNCTION("""COMPUTED_VALUE"""),"Vivienne Hoary")</f>
        <v>Vivienne Hoary</v>
      </c>
      <c r="H323" s="16" t="str">
        <f>IFERROR(__xludf.DUMMYFUNCTION("""COMPUTED_VALUE"""),"PartnerConnect - Technology")</f>
        <v>PartnerConnect - Technology</v>
      </c>
      <c r="I323" s="16"/>
      <c r="J323" s="16"/>
      <c r="K323" s="16" t="str">
        <f>IFERROR(__xludf.DUMMYFUNCTION("""COMPUTED_VALUE"""),"Gouda")</f>
        <v>Gouda</v>
      </c>
      <c r="L323" s="16" t="str">
        <f>IFERROR(__xludf.DUMMYFUNCTION("""COMPUTED_VALUE"""),"Zuid-Holland")</f>
        <v>Zuid-Holland</v>
      </c>
      <c r="M323" s="16" t="str">
        <f>IFERROR(__xludf.DUMMYFUNCTION("""COMPUTED_VALUE"""),"2803WV")</f>
        <v>2803WV</v>
      </c>
      <c r="N323" s="16" t="str">
        <f>IFERROR(__xludf.DUMMYFUNCTION("""COMPUTED_VALUE"""),"the Netherlands")</f>
        <v>the Netherlands</v>
      </c>
      <c r="O323" s="16" t="str">
        <f>IFERROR(__xludf.DUMMYFUNCTION("""COMPUTED_VALUE"""),"Medium")</f>
        <v>Medium</v>
      </c>
      <c r="P323" s="16" t="b">
        <f>IFERROR(__xludf.DUMMYFUNCTION("""COMPUTED_VALUE"""),TRUE)</f>
        <v>1</v>
      </c>
      <c r="Q323" s="16" t="b">
        <f>IFERROR(__xludf.DUMMYFUNCTION("""COMPUTED_VALUE"""),FALSE)</f>
        <v>0</v>
      </c>
      <c r="R323" s="16" t="str">
        <f>IFERROR(__xludf.DUMMYFUNCTION("""COMPUTED_VALUE"""),"Admin")</f>
        <v>Admin</v>
      </c>
      <c r="S323" s="16" t="str">
        <f>IFERROR(__xludf.DUMMYFUNCTION("""COMPUTED_VALUE"""),"Postex")</f>
        <v>Postex</v>
      </c>
      <c r="T323" s="16" t="str">
        <f>IFERROR(__xludf.DUMMYFUNCTION("""COMPUTED_VALUE"""),"Current Partner")</f>
        <v>Current Partner</v>
      </c>
      <c r="U323" s="16" t="b">
        <f>IFERROR(__xludf.DUMMYFUNCTION("""COMPUTED_VALUE"""),FALSE)</f>
        <v>0</v>
      </c>
      <c r="V323" s="16"/>
      <c r="W323" s="16"/>
      <c r="X323" s="16"/>
    </row>
    <row r="324">
      <c r="A324" s="16" t="str">
        <f>IFERROR(__xludf.DUMMYFUNCTION("""COMPUTED_VALUE"""),"Jennifer")</f>
        <v>Jennifer</v>
      </c>
      <c r="B324" s="16" t="str">
        <f>IFERROR(__xludf.DUMMYFUNCTION("""COMPUTED_VALUE"""),"Graham")</f>
        <v>Graham</v>
      </c>
      <c r="C324" s="16"/>
      <c r="D324" s="16" t="str">
        <f>IFERROR(__xludf.DUMMYFUNCTION("""COMPUTED_VALUE"""),"Precisely Software")</f>
        <v>Precisely Software</v>
      </c>
      <c r="E324" s="16" t="str">
        <f>IFERROR(__xludf.DUMMYFUNCTION("""COMPUTED_VALUE"""),"Growth")</f>
        <v>Growth</v>
      </c>
      <c r="F324" s="16" t="str">
        <f>IFERROR(__xludf.DUMMYFUNCTION("""COMPUTED_VALUE"""),"jennifer.graham@precisely.com")</f>
        <v>jennifer.graham@precisely.com</v>
      </c>
      <c r="G324" s="16" t="str">
        <f>IFERROR(__xludf.DUMMYFUNCTION("""COMPUTED_VALUE"""),"Tim Kennedy")</f>
        <v>Tim Kennedy</v>
      </c>
      <c r="H324" s="16" t="str">
        <f>IFERROR(__xludf.DUMMYFUNCTION("""COMPUTED_VALUE"""),"PartnerConnect - Technology")</f>
        <v>PartnerConnect - Technology</v>
      </c>
      <c r="I324" s="16" t="str">
        <f>IFERROR(__xludf.DUMMYFUNCTION("""COMPUTED_VALUE"""),"1700 District Avenue, Suite 300")</f>
        <v>1700 District Avenue, Suite 300</v>
      </c>
      <c r="J324" s="16"/>
      <c r="K324" s="16" t="str">
        <f>IFERROR(__xludf.DUMMYFUNCTION("""COMPUTED_VALUE"""),"Burlington")</f>
        <v>Burlington</v>
      </c>
      <c r="L324" s="16" t="str">
        <f>IFERROR(__xludf.DUMMYFUNCTION("""COMPUTED_VALUE"""),"Massachusetts")</f>
        <v>Massachusetts</v>
      </c>
      <c r="M324" s="16">
        <f>IFERROR(__xludf.DUMMYFUNCTION("""COMPUTED_VALUE"""),1803.0)</f>
        <v>1803</v>
      </c>
      <c r="N324" s="16" t="str">
        <f>IFERROR(__xludf.DUMMYFUNCTION("""COMPUTED_VALUE"""),"United States")</f>
        <v>United States</v>
      </c>
      <c r="O324" s="16" t="str">
        <f>IFERROR(__xludf.DUMMYFUNCTION("""COMPUTED_VALUE"""),"Medium")</f>
        <v>Medium</v>
      </c>
      <c r="P324" s="16" t="b">
        <f>IFERROR(__xludf.DUMMYFUNCTION("""COMPUTED_VALUE"""),FALSE)</f>
        <v>0</v>
      </c>
      <c r="Q324" s="16" t="b">
        <f>IFERROR(__xludf.DUMMYFUNCTION("""COMPUTED_VALUE"""),TRUE)</f>
        <v>1</v>
      </c>
      <c r="R324" s="16" t="str">
        <f>IFERROR(__xludf.DUMMYFUNCTION("""COMPUTED_VALUE"""),"")</f>
        <v/>
      </c>
      <c r="S324" s="16" t="str">
        <f>IFERROR(__xludf.DUMMYFUNCTION("""COMPUTED_VALUE"""),"Precisely")</f>
        <v>Precisely</v>
      </c>
      <c r="T324" s="16" t="str">
        <f>IFERROR(__xludf.DUMMYFUNCTION("""COMPUTED_VALUE"""),"Current Partner")</f>
        <v>Current Partner</v>
      </c>
      <c r="U324" s="16" t="b">
        <f>IFERROR(__xludf.DUMMYFUNCTION("""COMPUTED_VALUE"""),FALSE)</f>
        <v>0</v>
      </c>
      <c r="V324" s="16"/>
      <c r="W324" s="16"/>
      <c r="X324" s="16"/>
    </row>
    <row r="325">
      <c r="A325" s="16" t="str">
        <f>IFERROR(__xludf.DUMMYFUNCTION("""COMPUTED_VALUE"""),"Kevin")</f>
        <v>Kevin</v>
      </c>
      <c r="B325" s="16" t="str">
        <f>IFERROR(__xludf.DUMMYFUNCTION("""COMPUTED_VALUE"""),"Ricks")</f>
        <v>Ricks</v>
      </c>
      <c r="C325" s="16"/>
      <c r="D325" s="16" t="str">
        <f>IFERROR(__xludf.DUMMYFUNCTION("""COMPUTED_VALUE"""),"Precisely Software")</f>
        <v>Precisely Software</v>
      </c>
      <c r="E325" s="16" t="str">
        <f>IFERROR(__xludf.DUMMYFUNCTION("""COMPUTED_VALUE"""),"Growth")</f>
        <v>Growth</v>
      </c>
      <c r="F325" s="16" t="str">
        <f>IFERROR(__xludf.DUMMYFUNCTION("""COMPUTED_VALUE"""),"kevin.ricks@precisely.com")</f>
        <v>kevin.ricks@precisely.com</v>
      </c>
      <c r="G325" s="16" t="str">
        <f>IFERROR(__xludf.DUMMYFUNCTION("""COMPUTED_VALUE"""),"Tim Kennedy")</f>
        <v>Tim Kennedy</v>
      </c>
      <c r="H325" s="16" t="str">
        <f>IFERROR(__xludf.DUMMYFUNCTION("""COMPUTED_VALUE"""),"PartnerConnect - Technology")</f>
        <v>PartnerConnect - Technology</v>
      </c>
      <c r="I325" s="16" t="str">
        <f>IFERROR(__xludf.DUMMYFUNCTION("""COMPUTED_VALUE"""),"1700 District Avenue, Suite 300")</f>
        <v>1700 District Avenue, Suite 300</v>
      </c>
      <c r="J325" s="16"/>
      <c r="K325" s="16" t="str">
        <f>IFERROR(__xludf.DUMMYFUNCTION("""COMPUTED_VALUE"""),"Burlington")</f>
        <v>Burlington</v>
      </c>
      <c r="L325" s="16" t="str">
        <f>IFERROR(__xludf.DUMMYFUNCTION("""COMPUTED_VALUE"""),"Massachusetts")</f>
        <v>Massachusetts</v>
      </c>
      <c r="M325" s="16">
        <f>IFERROR(__xludf.DUMMYFUNCTION("""COMPUTED_VALUE"""),1803.0)</f>
        <v>1803</v>
      </c>
      <c r="N325" s="16" t="str">
        <f>IFERROR(__xludf.DUMMYFUNCTION("""COMPUTED_VALUE"""),"United States")</f>
        <v>United States</v>
      </c>
      <c r="O325" s="16" t="str">
        <f>IFERROR(__xludf.DUMMYFUNCTION("""COMPUTED_VALUE"""),"Medium")</f>
        <v>Medium</v>
      </c>
      <c r="P325" s="16" t="b">
        <f>IFERROR(__xludf.DUMMYFUNCTION("""COMPUTED_VALUE"""),TRUE)</f>
        <v>1</v>
      </c>
      <c r="Q325" s="16" t="b">
        <f>IFERROR(__xludf.DUMMYFUNCTION("""COMPUTED_VALUE"""),FALSE)</f>
        <v>0</v>
      </c>
      <c r="R325" s="16" t="str">
        <f>IFERROR(__xludf.DUMMYFUNCTION("""COMPUTED_VALUE"""),"Business")</f>
        <v>Business</v>
      </c>
      <c r="S325" s="16" t="str">
        <f>IFERROR(__xludf.DUMMYFUNCTION("""COMPUTED_VALUE"""),"Precisely")</f>
        <v>Precisely</v>
      </c>
      <c r="T325" s="16" t="str">
        <f>IFERROR(__xludf.DUMMYFUNCTION("""COMPUTED_VALUE"""),"Current Partner")</f>
        <v>Current Partner</v>
      </c>
      <c r="U325" s="16" t="b">
        <f>IFERROR(__xludf.DUMMYFUNCTION("""COMPUTED_VALUE"""),FALSE)</f>
        <v>0</v>
      </c>
      <c r="V325" s="16"/>
      <c r="W325" s="16"/>
      <c r="X325" s="16"/>
    </row>
    <row r="326">
      <c r="A326" s="16" t="str">
        <f>IFERROR(__xludf.DUMMYFUNCTION("""COMPUTED_VALUE"""),"Morgane")</f>
        <v>Morgane</v>
      </c>
      <c r="B326" s="16" t="str">
        <f>IFERROR(__xludf.DUMMYFUNCTION("""COMPUTED_VALUE"""),"Couture")</f>
        <v>Couture</v>
      </c>
      <c r="C326" s="16"/>
      <c r="D326" s="16" t="str">
        <f>IFERROR(__xludf.DUMMYFUNCTION("""COMPUTED_VALUE"""),"Progi")</f>
        <v>Progi</v>
      </c>
      <c r="E326" s="16" t="str">
        <f>IFERROR(__xludf.DUMMYFUNCTION("""COMPUTED_VALUE"""),"Growth")</f>
        <v>Growth</v>
      </c>
      <c r="F326" s="16" t="str">
        <f>IFERROR(__xludf.DUMMYFUNCTION("""COMPUTED_VALUE"""),"mcouture@progi.com")</f>
        <v>mcouture@progi.com</v>
      </c>
      <c r="G326" s="16" t="str">
        <f>IFERROR(__xludf.DUMMYFUNCTION("""COMPUTED_VALUE"""),"Shannon Spies")</f>
        <v>Shannon Spies</v>
      </c>
      <c r="H326" s="16" t="str">
        <f>IFERROR(__xludf.DUMMYFUNCTION("""COMPUTED_VALUE"""),"PartnerConnect - Technology")</f>
        <v>PartnerConnect - Technology</v>
      </c>
      <c r="I326" s="16" t="str">
        <f>IFERROR(__xludf.DUMMYFUNCTION("""COMPUTED_VALUE"""),"500 Rue St Georges suite 200")</f>
        <v>500 Rue St Georges suite 200</v>
      </c>
      <c r="J326" s="16"/>
      <c r="K326" s="16" t="str">
        <f>IFERROR(__xludf.DUMMYFUNCTION("""COMPUTED_VALUE"""),"Trois-Rivières")</f>
        <v>Trois-Rivières</v>
      </c>
      <c r="L326" s="16" t="str">
        <f>IFERROR(__xludf.DUMMYFUNCTION("""COMPUTED_VALUE"""),"Quebec")</f>
        <v>Quebec</v>
      </c>
      <c r="M326" s="16" t="str">
        <f>IFERROR(__xludf.DUMMYFUNCTION("""COMPUTED_VALUE"""),"G9A 2K8")</f>
        <v>G9A 2K8</v>
      </c>
      <c r="N326" s="16" t="str">
        <f>IFERROR(__xludf.DUMMYFUNCTION("""COMPUTED_VALUE"""),"Canada")</f>
        <v>Canada</v>
      </c>
      <c r="O326" s="16" t="str">
        <f>IFERROR(__xludf.DUMMYFUNCTION("""COMPUTED_VALUE"""),"Medium")</f>
        <v>Medium</v>
      </c>
      <c r="P326" s="16" t="b">
        <f>IFERROR(__xludf.DUMMYFUNCTION("""COMPUTED_VALUE"""),TRUE)</f>
        <v>1</v>
      </c>
      <c r="Q326" s="16" t="b">
        <f>IFERROR(__xludf.DUMMYFUNCTION("""COMPUTED_VALUE"""),FALSE)</f>
        <v>0</v>
      </c>
      <c r="R326" s="16" t="str">
        <f>IFERROR(__xludf.DUMMYFUNCTION("""COMPUTED_VALUE"""),"Admin")</f>
        <v>Admin</v>
      </c>
      <c r="S326" s="16" t="str">
        <f>IFERROR(__xludf.DUMMYFUNCTION("""COMPUTED_VALUE"""),"Progi")</f>
        <v>Progi</v>
      </c>
      <c r="T326" s="16" t="str">
        <f>IFERROR(__xludf.DUMMYFUNCTION("""COMPUTED_VALUE"""),"Current Partner")</f>
        <v>Current Partner</v>
      </c>
      <c r="U326" s="16" t="b">
        <f>IFERROR(__xludf.DUMMYFUNCTION("""COMPUTED_VALUE"""),FALSE)</f>
        <v>0</v>
      </c>
      <c r="V326" s="16"/>
      <c r="W326" s="16"/>
      <c r="X326" s="16"/>
    </row>
    <row r="327">
      <c r="A327" s="16" t="str">
        <f>IFERROR(__xludf.DUMMYFUNCTION("""COMPUTED_VALUE"""),"Sophie")</f>
        <v>Sophie</v>
      </c>
      <c r="B327" s="16" t="str">
        <f>IFERROR(__xludf.DUMMYFUNCTION("""COMPUTED_VALUE"""),"Laurendeau")</f>
        <v>Laurendeau</v>
      </c>
      <c r="C327" s="16"/>
      <c r="D327" s="16" t="str">
        <f>IFERROR(__xludf.DUMMYFUNCTION("""COMPUTED_VALUE"""),"Progi")</f>
        <v>Progi</v>
      </c>
      <c r="E327" s="16" t="str">
        <f>IFERROR(__xludf.DUMMYFUNCTION("""COMPUTED_VALUE"""),"Growth")</f>
        <v>Growth</v>
      </c>
      <c r="F327" s="16" t="str">
        <f>IFERROR(__xludf.DUMMYFUNCTION("""COMPUTED_VALUE"""),"slaurendeau@progi.com")</f>
        <v>slaurendeau@progi.com</v>
      </c>
      <c r="G327" s="16" t="str">
        <f>IFERROR(__xludf.DUMMYFUNCTION("""COMPUTED_VALUE"""),"Shannon Spies")</f>
        <v>Shannon Spies</v>
      </c>
      <c r="H327" s="16" t="str">
        <f>IFERROR(__xludf.DUMMYFUNCTION("""COMPUTED_VALUE"""),"PartnerConnect - Technology")</f>
        <v>PartnerConnect - Technology</v>
      </c>
      <c r="I327" s="16" t="str">
        <f>IFERROR(__xludf.DUMMYFUNCTION("""COMPUTED_VALUE"""),"500 Rue St Georges suite 200")</f>
        <v>500 Rue St Georges suite 200</v>
      </c>
      <c r="J327" s="16"/>
      <c r="K327" s="16" t="str">
        <f>IFERROR(__xludf.DUMMYFUNCTION("""COMPUTED_VALUE"""),"Trois-Rivières")</f>
        <v>Trois-Rivières</v>
      </c>
      <c r="L327" s="16" t="str">
        <f>IFERROR(__xludf.DUMMYFUNCTION("""COMPUTED_VALUE"""),"Quebec")</f>
        <v>Quebec</v>
      </c>
      <c r="M327" s="16" t="str">
        <f>IFERROR(__xludf.DUMMYFUNCTION("""COMPUTED_VALUE"""),"G9A 2K8")</f>
        <v>G9A 2K8</v>
      </c>
      <c r="N327" s="16" t="str">
        <f>IFERROR(__xludf.DUMMYFUNCTION("""COMPUTED_VALUE"""),"Canada")</f>
        <v>Canada</v>
      </c>
      <c r="O327" s="16" t="str">
        <f>IFERROR(__xludf.DUMMYFUNCTION("""COMPUTED_VALUE"""),"Medium")</f>
        <v>Medium</v>
      </c>
      <c r="P327" s="16" t="b">
        <f>IFERROR(__xludf.DUMMYFUNCTION("""COMPUTED_VALUE"""),TRUE)</f>
        <v>1</v>
      </c>
      <c r="Q327" s="16" t="b">
        <f>IFERROR(__xludf.DUMMYFUNCTION("""COMPUTED_VALUE"""),FALSE)</f>
        <v>0</v>
      </c>
      <c r="R327" s="16" t="str">
        <f>IFERROR(__xludf.DUMMYFUNCTION("""COMPUTED_VALUE"""),"Admin, Business, Events, Legal / Contracts, Marketing, Support, Technical, Training, Main Billing Contact, Billing Contact  LMS Training Fees, NPE User, Sales Solution Architect, Delivery Lead / BA, Client Partner / Partner Account Executive, Developer")</f>
        <v>Admin, Business, Events, Legal / Contracts, Marketing, Support, Technical, Training, Main Billing Contact, Billing Contact  LMS Training Fees, NPE User, Sales Solution Architect, Delivery Lead / BA, Client Partner / Partner Account Executive, Developer</v>
      </c>
      <c r="S327" s="16" t="str">
        <f>IFERROR(__xludf.DUMMYFUNCTION("""COMPUTED_VALUE"""),"Progi")</f>
        <v>Progi</v>
      </c>
      <c r="T327" s="16" t="str">
        <f>IFERROR(__xludf.DUMMYFUNCTION("""COMPUTED_VALUE"""),"Current Partner")</f>
        <v>Current Partner</v>
      </c>
      <c r="U327" s="16" t="b">
        <f>IFERROR(__xludf.DUMMYFUNCTION("""COMPUTED_VALUE"""),TRUE)</f>
        <v>1</v>
      </c>
      <c r="V327" s="16"/>
      <c r="W327" s="16"/>
      <c r="X327" s="16"/>
    </row>
    <row r="328">
      <c r="A328" s="16" t="str">
        <f>IFERROR(__xludf.DUMMYFUNCTION("""COMPUTED_VALUE"""),"Nick")</f>
        <v>Nick</v>
      </c>
      <c r="B328" s="16" t="str">
        <f>IFERROR(__xludf.DUMMYFUNCTION("""COMPUTED_VALUE"""),"Hockler")</f>
        <v>Hockler</v>
      </c>
      <c r="C328" s="16"/>
      <c r="D328" s="16" t="str">
        <f>IFERROR(__xludf.DUMMYFUNCTION("""COMPUTED_VALUE"""),"Pypestream")</f>
        <v>Pypestream</v>
      </c>
      <c r="E328" s="16" t="str">
        <f>IFERROR(__xludf.DUMMYFUNCTION("""COMPUTED_VALUE"""),"Access")</f>
        <v>Access</v>
      </c>
      <c r="F328" s="16" t="str">
        <f>IFERROR(__xludf.DUMMYFUNCTION("""COMPUTED_VALUE"""),"partners@pypestream.com")</f>
        <v>partners@pypestream.com</v>
      </c>
      <c r="G328" s="16" t="str">
        <f>IFERROR(__xludf.DUMMYFUNCTION("""COMPUTED_VALUE"""),"Aaron Shaw")</f>
        <v>Aaron Shaw</v>
      </c>
      <c r="H328" s="16" t="str">
        <f>IFERROR(__xludf.DUMMYFUNCTION("""COMPUTED_VALUE"""),"PartnerConnect - Technology")</f>
        <v>PartnerConnect - Technology</v>
      </c>
      <c r="I328" s="16" t="str">
        <f>IFERROR(__xludf.DUMMYFUNCTION("""COMPUTED_VALUE"""),"1177 Avenue of the Americas, 5th Floor")</f>
        <v>1177 Avenue of the Americas, 5th Floor</v>
      </c>
      <c r="J328" s="16"/>
      <c r="K328" s="16" t="str">
        <f>IFERROR(__xludf.DUMMYFUNCTION("""COMPUTED_VALUE"""),"New York")</f>
        <v>New York</v>
      </c>
      <c r="L328" s="16" t="str">
        <f>IFERROR(__xludf.DUMMYFUNCTION("""COMPUTED_VALUE"""),"New York")</f>
        <v>New York</v>
      </c>
      <c r="M328" s="16">
        <f>IFERROR(__xludf.DUMMYFUNCTION("""COMPUTED_VALUE"""),10036.0)</f>
        <v>10036</v>
      </c>
      <c r="N328" s="16" t="str">
        <f>IFERROR(__xludf.DUMMYFUNCTION("""COMPUTED_VALUE"""),"United States")</f>
        <v>United States</v>
      </c>
      <c r="O328" s="16" t="str">
        <f>IFERROR(__xludf.DUMMYFUNCTION("""COMPUTED_VALUE"""),"Low")</f>
        <v>Low</v>
      </c>
      <c r="P328" s="16" t="b">
        <f>IFERROR(__xludf.DUMMYFUNCTION("""COMPUTED_VALUE"""),TRUE)</f>
        <v>1</v>
      </c>
      <c r="Q328" s="16" t="b">
        <f>IFERROR(__xludf.DUMMYFUNCTION("""COMPUTED_VALUE"""),FALSE)</f>
        <v>0</v>
      </c>
      <c r="R328" s="16" t="str">
        <f>IFERROR(__xludf.DUMMYFUNCTION("""COMPUTED_VALUE"""),"Admin, Business")</f>
        <v>Admin, Business</v>
      </c>
      <c r="S328" s="16" t="str">
        <f>IFERROR(__xludf.DUMMYFUNCTION("""COMPUTED_VALUE"""),"Pypestream")</f>
        <v>Pypestream</v>
      </c>
      <c r="T328" s="16" t="str">
        <f>IFERROR(__xludf.DUMMYFUNCTION("""COMPUTED_VALUE"""),"Current Partner")</f>
        <v>Current Partner</v>
      </c>
      <c r="U328" s="16" t="b">
        <f>IFERROR(__xludf.DUMMYFUNCTION("""COMPUTED_VALUE"""),FALSE)</f>
        <v>0</v>
      </c>
      <c r="V328" s="16"/>
      <c r="W328" s="16"/>
      <c r="X328" s="16"/>
    </row>
    <row r="329">
      <c r="A329" s="16" t="str">
        <f>IFERROR(__xludf.DUMMYFUNCTION("""COMPUTED_VALUE"""),"Martin")</f>
        <v>Martin</v>
      </c>
      <c r="B329" s="16" t="str">
        <f>IFERROR(__xludf.DUMMYFUNCTION("""COMPUTED_VALUE"""),"Micko")</f>
        <v>Micko</v>
      </c>
      <c r="C329" s="16" t="str">
        <f>IFERROR(__xludf.DUMMYFUNCTION("""COMPUTED_VALUE"""),"COO &amp; Founder")</f>
        <v>COO &amp; Founder</v>
      </c>
      <c r="D329" s="16" t="str">
        <f>IFERROR(__xludf.DUMMYFUNCTION("""COMPUTED_VALUE"""),"Qidenus Group GmbH")</f>
        <v>Qidenus Group GmbH</v>
      </c>
      <c r="E329" s="16" t="str">
        <f>IFERROR(__xludf.DUMMYFUNCTION("""COMPUTED_VALUE"""),"Growth")</f>
        <v>Growth</v>
      </c>
      <c r="F329" s="16" t="str">
        <f>IFERROR(__xludf.DUMMYFUNCTION("""COMPUTED_VALUE"""),"martin@omnius.com")</f>
        <v>martin@omnius.com</v>
      </c>
      <c r="G329" s="16" t="str">
        <f>IFERROR(__xludf.DUMMYFUNCTION("""COMPUTED_VALUE"""),"Vivienne Hoary")</f>
        <v>Vivienne Hoary</v>
      </c>
      <c r="H329" s="16" t="str">
        <f>IFERROR(__xludf.DUMMYFUNCTION("""COMPUTED_VALUE"""),"PartnerConnect - Technology")</f>
        <v>PartnerConnect - Technology</v>
      </c>
      <c r="I329" s="16" t="str">
        <f>IFERROR(__xludf.DUMMYFUNCTION("""COMPUTED_VALUE"""),"VAT-ID: DE302404693
")</f>
        <v>VAT-ID: DE302404693
</v>
      </c>
      <c r="J329" s="16" t="str">
        <f>IFERROR(__xludf.DUMMYFUNCTION("""COMPUTED_VALUE"""),"Perleberger Str. 42C 
")</f>
        <v>Perleberger Str. 42C 
</v>
      </c>
      <c r="K329" s="16" t="str">
        <f>IFERROR(__xludf.DUMMYFUNCTION("""COMPUTED_VALUE"""),"Berlin")</f>
        <v>Berlin</v>
      </c>
      <c r="L329" s="16"/>
      <c r="M329" s="16">
        <f>IFERROR(__xludf.DUMMYFUNCTION("""COMPUTED_VALUE"""),10559.0)</f>
        <v>10559</v>
      </c>
      <c r="N329" s="16" t="str">
        <f>IFERROR(__xludf.DUMMYFUNCTION("""COMPUTED_VALUE"""),"Germany")</f>
        <v>Germany</v>
      </c>
      <c r="O329" s="16" t="str">
        <f>IFERROR(__xludf.DUMMYFUNCTION("""COMPUTED_VALUE"""),"Medium")</f>
        <v>Medium</v>
      </c>
      <c r="P329" s="16" t="b">
        <f>IFERROR(__xludf.DUMMYFUNCTION("""COMPUTED_VALUE"""),TRUE)</f>
        <v>1</v>
      </c>
      <c r="Q329" s="16" t="b">
        <f>IFERROR(__xludf.DUMMYFUNCTION("""COMPUTED_VALUE"""),TRUE)</f>
        <v>1</v>
      </c>
      <c r="R329" s="16" t="str">
        <f>IFERROR(__xludf.DUMMYFUNCTION("""COMPUTED_VALUE"""),"Admin, Business, Marketing, Client Partner / Partner Account Executive")</f>
        <v>Admin, Business, Marketing, Client Partner / Partner Account Executive</v>
      </c>
      <c r="S329" s="16" t="str">
        <f>IFERROR(__xludf.DUMMYFUNCTION("""COMPUTED_VALUE"""),"omnius")</f>
        <v>omnius</v>
      </c>
      <c r="T329" s="16" t="str">
        <f>IFERROR(__xludf.DUMMYFUNCTION("""COMPUTED_VALUE"""),"Current Partner")</f>
        <v>Current Partner</v>
      </c>
      <c r="U329" s="16" t="b">
        <f>IFERROR(__xludf.DUMMYFUNCTION("""COMPUTED_VALUE"""),FALSE)</f>
        <v>0</v>
      </c>
      <c r="V329" s="16"/>
      <c r="W329" s="16"/>
      <c r="X329" s="16"/>
    </row>
    <row r="330">
      <c r="A330" s="16" t="str">
        <f>IFERROR(__xludf.DUMMYFUNCTION("""COMPUTED_VALUE"""),"Jayati")</f>
        <v>Jayati</v>
      </c>
      <c r="B330" s="16" t="str">
        <f>IFERROR(__xludf.DUMMYFUNCTION("""COMPUTED_VALUE"""),"Shah-Thiel")</f>
        <v>Shah-Thiel</v>
      </c>
      <c r="C330" s="16" t="str">
        <f>IFERROR(__xludf.DUMMYFUNCTION("""COMPUTED_VALUE"""),"Partner Marketing Manager")</f>
        <v>Partner Marketing Manager</v>
      </c>
      <c r="D330" s="16" t="str">
        <f>IFERROR(__xludf.DUMMYFUNCTION("""COMPUTED_VALUE"""),"Quadient")</f>
        <v>Quadient</v>
      </c>
      <c r="E330" s="16" t="str">
        <f>IFERROR(__xludf.DUMMYFUNCTION("""COMPUTED_VALUE"""),"Premier")</f>
        <v>Premier</v>
      </c>
      <c r="F330" s="16" t="str">
        <f>IFERROR(__xludf.DUMMYFUNCTION("""COMPUTED_VALUE"""),"j.shahthiel@quadient.com")</f>
        <v>j.shahthiel@quadient.com</v>
      </c>
      <c r="G330" s="16" t="str">
        <f>IFERROR(__xludf.DUMMYFUNCTION("""COMPUTED_VALUE"""),"Eric Apse")</f>
        <v>Eric Apse</v>
      </c>
      <c r="H330" s="16" t="str">
        <f>IFERROR(__xludf.DUMMYFUNCTION("""COMPUTED_VALUE"""),"PartnerConnect - Technology")</f>
        <v>PartnerConnect - Technology</v>
      </c>
      <c r="I330" s="16"/>
      <c r="J330" s="16"/>
      <c r="K330" s="16"/>
      <c r="L330" s="16"/>
      <c r="M330" s="16"/>
      <c r="N330" s="16" t="str">
        <f>IFERROR(__xludf.DUMMYFUNCTION("""COMPUTED_VALUE"""),"Canada")</f>
        <v>Canada</v>
      </c>
      <c r="O330" s="16" t="str">
        <f>IFERROR(__xludf.DUMMYFUNCTION("""COMPUTED_VALUE"""),"Medium")</f>
        <v>Medium</v>
      </c>
      <c r="P330" s="16" t="b">
        <f>IFERROR(__xludf.DUMMYFUNCTION("""COMPUTED_VALUE"""),FALSE)</f>
        <v>0</v>
      </c>
      <c r="Q330" s="16" t="b">
        <f>IFERROR(__xludf.DUMMYFUNCTION("""COMPUTED_VALUE"""),TRUE)</f>
        <v>1</v>
      </c>
      <c r="R330" s="16" t="str">
        <f>IFERROR(__xludf.DUMMYFUNCTION("""COMPUTED_VALUE"""),"Business, Events, Marketing")</f>
        <v>Business, Events, Marketing</v>
      </c>
      <c r="S330" s="16" t="str">
        <f>IFERROR(__xludf.DUMMYFUNCTION("""COMPUTED_VALUE"""),"quadient")</f>
        <v>quadient</v>
      </c>
      <c r="T330" s="16" t="str">
        <f>IFERROR(__xludf.DUMMYFUNCTION("""COMPUTED_VALUE"""),"Current Partner")</f>
        <v>Current Partner</v>
      </c>
      <c r="U330" s="16" t="b">
        <f>IFERROR(__xludf.DUMMYFUNCTION("""COMPUTED_VALUE"""),FALSE)</f>
        <v>0</v>
      </c>
      <c r="V330" s="16"/>
      <c r="W330" s="16"/>
      <c r="X330" s="16"/>
    </row>
    <row r="331">
      <c r="A331" s="16" t="str">
        <f>IFERROR(__xludf.DUMMYFUNCTION("""COMPUTED_VALUE"""),"Howard")</f>
        <v>Howard</v>
      </c>
      <c r="B331" s="16" t="str">
        <f>IFERROR(__xludf.DUMMYFUNCTION("""COMPUTED_VALUE"""),"Zemel")</f>
        <v>Zemel</v>
      </c>
      <c r="C331" s="16" t="str">
        <f>IFERROR(__xludf.DUMMYFUNCTION("""COMPUTED_VALUE"""),"Vice President, Partners and Alliances")</f>
        <v>Vice President, Partners and Alliances</v>
      </c>
      <c r="D331" s="16" t="str">
        <f>IFERROR(__xludf.DUMMYFUNCTION("""COMPUTED_VALUE"""),"Quadient")</f>
        <v>Quadient</v>
      </c>
      <c r="E331" s="16" t="str">
        <f>IFERROR(__xludf.DUMMYFUNCTION("""COMPUTED_VALUE"""),"Premier")</f>
        <v>Premier</v>
      </c>
      <c r="F331" s="16" t="str">
        <f>IFERROR(__xludf.DUMMYFUNCTION("""COMPUTED_VALUE"""),"h.zemel@quadient.com")</f>
        <v>h.zemel@quadient.com</v>
      </c>
      <c r="G331" s="16" t="str">
        <f>IFERROR(__xludf.DUMMYFUNCTION("""COMPUTED_VALUE"""),"Eric Apse")</f>
        <v>Eric Apse</v>
      </c>
      <c r="H331" s="16" t="str">
        <f>IFERROR(__xludf.DUMMYFUNCTION("""COMPUTED_VALUE"""),"PartnerConnect - Technology")</f>
        <v>PartnerConnect - Technology</v>
      </c>
      <c r="I331" s="16" t="str">
        <f>IFERROR(__xludf.DUMMYFUNCTION("""COMPUTED_VALUE"""),"470 Atlantic Avenue 4th Floor")</f>
        <v>470 Atlantic Avenue 4th Floor</v>
      </c>
      <c r="J331" s="16"/>
      <c r="K331" s="16" t="str">
        <f>IFERROR(__xludf.DUMMYFUNCTION("""COMPUTED_VALUE"""),"Boston")</f>
        <v>Boston</v>
      </c>
      <c r="L331" s="16" t="str">
        <f>IFERROR(__xludf.DUMMYFUNCTION("""COMPUTED_VALUE"""),"Massachusetts")</f>
        <v>Massachusetts</v>
      </c>
      <c r="M331" s="16">
        <f>IFERROR(__xludf.DUMMYFUNCTION("""COMPUTED_VALUE"""),2210.0)</f>
        <v>2210</v>
      </c>
      <c r="N331" s="16" t="str">
        <f>IFERROR(__xludf.DUMMYFUNCTION("""COMPUTED_VALUE"""),"United States")</f>
        <v>United States</v>
      </c>
      <c r="O331" s="16" t="str">
        <f>IFERROR(__xludf.DUMMYFUNCTION("""COMPUTED_VALUE"""),"Medium")</f>
        <v>Medium</v>
      </c>
      <c r="P331" s="16" t="b">
        <f>IFERROR(__xludf.DUMMYFUNCTION("""COMPUTED_VALUE"""),TRUE)</f>
        <v>1</v>
      </c>
      <c r="Q331" s="16" t="b">
        <f>IFERROR(__xludf.DUMMYFUNCTION("""COMPUTED_VALUE"""),FALSE)</f>
        <v>0</v>
      </c>
      <c r="R331" s="16" t="str">
        <f>IFERROR(__xludf.DUMMYFUNCTION("""COMPUTED_VALUE"""),"Admin, Main Billing Contact")</f>
        <v>Admin, Main Billing Contact</v>
      </c>
      <c r="S331" s="16" t="str">
        <f>IFERROR(__xludf.DUMMYFUNCTION("""COMPUTED_VALUE"""),"quadient")</f>
        <v>quadient</v>
      </c>
      <c r="T331" s="16" t="str">
        <f>IFERROR(__xludf.DUMMYFUNCTION("""COMPUTED_VALUE"""),"Current Partner")</f>
        <v>Current Partner</v>
      </c>
      <c r="U331" s="16" t="b">
        <f>IFERROR(__xludf.DUMMYFUNCTION("""COMPUTED_VALUE"""),FALSE)</f>
        <v>0</v>
      </c>
      <c r="V331" s="16"/>
      <c r="W331" s="16"/>
      <c r="X331" s="16"/>
    </row>
    <row r="332">
      <c r="A332" s="16" t="str">
        <f>IFERROR(__xludf.DUMMYFUNCTION("""COMPUTED_VALUE"""),"Ganesh")</f>
        <v>Ganesh</v>
      </c>
      <c r="B332" s="16" t="str">
        <f>IFERROR(__xludf.DUMMYFUNCTION("""COMPUTED_VALUE"""),"Rao")</f>
        <v>Rao</v>
      </c>
      <c r="C332" s="16" t="str">
        <f>IFERROR(__xludf.DUMMYFUNCTION("""COMPUTED_VALUE"""),"Head of Strategic Alliances")</f>
        <v>Head of Strategic Alliances</v>
      </c>
      <c r="D332" s="16" t="str">
        <f>IFERROR(__xludf.DUMMYFUNCTION("""COMPUTED_VALUE"""),"Quadient")</f>
        <v>Quadient</v>
      </c>
      <c r="E332" s="16" t="str">
        <f>IFERROR(__xludf.DUMMYFUNCTION("""COMPUTED_VALUE"""),"Premier")</f>
        <v>Premier</v>
      </c>
      <c r="F332" s="16" t="str">
        <f>IFERROR(__xludf.DUMMYFUNCTION("""COMPUTED_VALUE"""),"g.rao@quadient.com")</f>
        <v>g.rao@quadient.com</v>
      </c>
      <c r="G332" s="16" t="str">
        <f>IFERROR(__xludf.DUMMYFUNCTION("""COMPUTED_VALUE"""),"Eric Apse")</f>
        <v>Eric Apse</v>
      </c>
      <c r="H332" s="16" t="str">
        <f>IFERROR(__xludf.DUMMYFUNCTION("""COMPUTED_VALUE"""),"PartnerConnect - Technology")</f>
        <v>PartnerConnect - Technology</v>
      </c>
      <c r="I332" s="16" t="str">
        <f>IFERROR(__xludf.DUMMYFUNCTION("""COMPUTED_VALUE"""),"55 Melrose Ave")</f>
        <v>55 Melrose Ave</v>
      </c>
      <c r="J332" s="16"/>
      <c r="K332" s="16" t="str">
        <f>IFERROR(__xludf.DUMMYFUNCTION("""COMPUTED_VALUE"""),"Toronto")</f>
        <v>Toronto</v>
      </c>
      <c r="L332" s="16" t="str">
        <f>IFERROR(__xludf.DUMMYFUNCTION("""COMPUTED_VALUE"""),"ONTARIO")</f>
        <v>ONTARIO</v>
      </c>
      <c r="M332" s="16" t="str">
        <f>IFERROR(__xludf.DUMMYFUNCTION("""COMPUTED_VALUE"""),"M5M1Y6")</f>
        <v>M5M1Y6</v>
      </c>
      <c r="N332" s="16" t="str">
        <f>IFERROR(__xludf.DUMMYFUNCTION("""COMPUTED_VALUE"""),"Canada")</f>
        <v>Canada</v>
      </c>
      <c r="O332" s="16" t="str">
        <f>IFERROR(__xludf.DUMMYFUNCTION("""COMPUTED_VALUE"""),"Medium")</f>
        <v>Medium</v>
      </c>
      <c r="P332" s="16" t="b">
        <f>IFERROR(__xludf.DUMMYFUNCTION("""COMPUTED_VALUE"""),TRUE)</f>
        <v>1</v>
      </c>
      <c r="Q332" s="16" t="b">
        <f>IFERROR(__xludf.DUMMYFUNCTION("""COMPUTED_VALUE"""),FALSE)</f>
        <v>0</v>
      </c>
      <c r="R332" s="16" t="str">
        <f>IFERROR(__xludf.DUMMYFUNCTION("""COMPUTED_VALUE"""),"Admin, Business, Events")</f>
        <v>Admin, Business, Events</v>
      </c>
      <c r="S332" s="16" t="str">
        <f>IFERROR(__xludf.DUMMYFUNCTION("""COMPUTED_VALUE"""),"quadient")</f>
        <v>quadient</v>
      </c>
      <c r="T332" s="16" t="str">
        <f>IFERROR(__xludf.DUMMYFUNCTION("""COMPUTED_VALUE"""),"Current Partner")</f>
        <v>Current Partner</v>
      </c>
      <c r="U332" s="16" t="b">
        <f>IFERROR(__xludf.DUMMYFUNCTION("""COMPUTED_VALUE"""),FALSE)</f>
        <v>0</v>
      </c>
      <c r="V332" s="16"/>
      <c r="W332" s="16"/>
      <c r="X332" s="16"/>
    </row>
    <row r="333">
      <c r="A333" s="16" t="str">
        <f>IFERROR(__xludf.DUMMYFUNCTION("""COMPUTED_VALUE"""),"Alex")</f>
        <v>Alex</v>
      </c>
      <c r="B333" s="16" t="str">
        <f>IFERROR(__xludf.DUMMYFUNCTION("""COMPUTED_VALUE"""),"Johnson")</f>
        <v>Johnson</v>
      </c>
      <c r="C333" s="16" t="str">
        <f>IFERROR(__xludf.DUMMYFUNCTION("""COMPUTED_VALUE"""),"VP Insurance - Global")</f>
        <v>VP Insurance - Global</v>
      </c>
      <c r="D333" s="16" t="str">
        <f>IFERROR(__xludf.DUMMYFUNCTION("""COMPUTED_VALUE"""),"Quantexa Limited")</f>
        <v>Quantexa Limited</v>
      </c>
      <c r="E333" s="16" t="str">
        <f>IFERROR(__xludf.DUMMYFUNCTION("""COMPUTED_VALUE"""),"Growth")</f>
        <v>Growth</v>
      </c>
      <c r="F333" s="16" t="str">
        <f>IFERROR(__xludf.DUMMYFUNCTION("""COMPUTED_VALUE"""),"alexjohnson@quantexa.com")</f>
        <v>alexjohnson@quantexa.com</v>
      </c>
      <c r="G333" s="16" t="str">
        <f>IFERROR(__xludf.DUMMYFUNCTION("""COMPUTED_VALUE"""),"Vivienne Hoary")</f>
        <v>Vivienne Hoary</v>
      </c>
      <c r="H333" s="16" t="str">
        <f>IFERROR(__xludf.DUMMYFUNCTION("""COMPUTED_VALUE"""),"PartnerConnect - Technology")</f>
        <v>PartnerConnect - Technology</v>
      </c>
      <c r="I333" s="16" t="str">
        <f>IFERROR(__xludf.DUMMYFUNCTION("""COMPUTED_VALUE"""),"1230 6th ave")</f>
        <v>1230 6th ave</v>
      </c>
      <c r="J333" s="16"/>
      <c r="K333" s="16" t="str">
        <f>IFERROR(__xludf.DUMMYFUNCTION("""COMPUTED_VALUE"""),"new york")</f>
        <v>new york</v>
      </c>
      <c r="L333" s="16" t="str">
        <f>IFERROR(__xludf.DUMMYFUNCTION("""COMPUTED_VALUE"""),"New York")</f>
        <v>New York</v>
      </c>
      <c r="M333" s="16">
        <f>IFERROR(__xludf.DUMMYFUNCTION("""COMPUTED_VALUE"""),10004.0)</f>
        <v>10004</v>
      </c>
      <c r="N333" s="16" t="str">
        <f>IFERROR(__xludf.DUMMYFUNCTION("""COMPUTED_VALUE"""),"United Kingdom")</f>
        <v>United Kingdom</v>
      </c>
      <c r="O333" s="16" t="str">
        <f>IFERROR(__xludf.DUMMYFUNCTION("""COMPUTED_VALUE"""),"Medium")</f>
        <v>Medium</v>
      </c>
      <c r="P333" s="16" t="b">
        <f>IFERROR(__xludf.DUMMYFUNCTION("""COMPUTED_VALUE"""),TRUE)</f>
        <v>1</v>
      </c>
      <c r="Q333" s="16" t="b">
        <f>IFERROR(__xludf.DUMMYFUNCTION("""COMPUTED_VALUE"""),TRUE)</f>
        <v>1</v>
      </c>
      <c r="R333" s="16" t="str">
        <f>IFERROR(__xludf.DUMMYFUNCTION("""COMPUTED_VALUE"""),"Admin, Business, Events, Legal / Contracts, Marketing, Support, Technical, Training, Main Billing Contact, Billing Contact  LMS Training Fees, NPE User, Sales Solution Architect, Delivery Lead / BA, Client Partner / Partner Account Executive")</f>
        <v>Admin, Business, Events, Legal / Contracts, Marketing, Support, Technical, Training, Main Billing Contact, Billing Contact  LMS Training Fees, NPE User, Sales Solution Architect, Delivery Lead / BA, Client Partner / Partner Account Executive</v>
      </c>
      <c r="S333" s="16" t="str">
        <f>IFERROR(__xludf.DUMMYFUNCTION("""COMPUTED_VALUE"""),"Quantexa")</f>
        <v>Quantexa</v>
      </c>
      <c r="T333" s="16" t="str">
        <f>IFERROR(__xludf.DUMMYFUNCTION("""COMPUTED_VALUE"""),"Current Partner")</f>
        <v>Current Partner</v>
      </c>
      <c r="U333" s="16" t="b">
        <f>IFERROR(__xludf.DUMMYFUNCTION("""COMPUTED_VALUE"""),TRUE)</f>
        <v>1</v>
      </c>
      <c r="V333" s="16"/>
      <c r="W333" s="16"/>
      <c r="X333" s="16"/>
    </row>
    <row r="334">
      <c r="A334" s="16" t="str">
        <f>IFERROR(__xludf.DUMMYFUNCTION("""COMPUTED_VALUE"""),"Daniel")</f>
        <v>Daniel</v>
      </c>
      <c r="B334" s="16" t="str">
        <f>IFERROR(__xludf.DUMMYFUNCTION("""COMPUTED_VALUE"""),"Dahan")</f>
        <v>Dahan</v>
      </c>
      <c r="C334" s="16" t="str">
        <f>IFERROR(__xludf.DUMMYFUNCTION("""COMPUTED_VALUE"""),"VP, Technology Ecosystem")</f>
        <v>VP, Technology Ecosystem</v>
      </c>
      <c r="D334" s="16" t="str">
        <f>IFERROR(__xludf.DUMMYFUNCTION("""COMPUTED_VALUE"""),"Quantexa Limited")</f>
        <v>Quantexa Limited</v>
      </c>
      <c r="E334" s="16" t="str">
        <f>IFERROR(__xludf.DUMMYFUNCTION("""COMPUTED_VALUE"""),"Growth")</f>
        <v>Growth</v>
      </c>
      <c r="F334" s="16" t="str">
        <f>IFERROR(__xludf.DUMMYFUNCTION("""COMPUTED_VALUE"""),"danieldahan@quantexa.com")</f>
        <v>danieldahan@quantexa.com</v>
      </c>
      <c r="G334" s="16" t="str">
        <f>IFERROR(__xludf.DUMMYFUNCTION("""COMPUTED_VALUE"""),"Vivienne Hoary")</f>
        <v>Vivienne Hoary</v>
      </c>
      <c r="H334" s="16" t="str">
        <f>IFERROR(__xludf.DUMMYFUNCTION("""COMPUTED_VALUE"""),"PartnerConnect - Technology")</f>
        <v>PartnerConnect - Technology</v>
      </c>
      <c r="I334" s="16" t="str">
        <f>IFERROR(__xludf.DUMMYFUNCTION("""COMPUTED_VALUE"""),"1230 6th ave")</f>
        <v>1230 6th ave</v>
      </c>
      <c r="J334" s="16"/>
      <c r="K334" s="16" t="str">
        <f>IFERROR(__xludf.DUMMYFUNCTION("""COMPUTED_VALUE"""),"new york")</f>
        <v>new york</v>
      </c>
      <c r="L334" s="16" t="str">
        <f>IFERROR(__xludf.DUMMYFUNCTION("""COMPUTED_VALUE"""),"New York")</f>
        <v>New York</v>
      </c>
      <c r="M334" s="16">
        <f>IFERROR(__xludf.DUMMYFUNCTION("""COMPUTED_VALUE"""),10004.0)</f>
        <v>10004</v>
      </c>
      <c r="N334" s="16" t="str">
        <f>IFERROR(__xludf.DUMMYFUNCTION("""COMPUTED_VALUE"""),"United States")</f>
        <v>United States</v>
      </c>
      <c r="O334" s="16" t="str">
        <f>IFERROR(__xludf.DUMMYFUNCTION("""COMPUTED_VALUE"""),"Medium")</f>
        <v>Medium</v>
      </c>
      <c r="P334" s="16" t="b">
        <f>IFERROR(__xludf.DUMMYFUNCTION("""COMPUTED_VALUE"""),TRUE)</f>
        <v>1</v>
      </c>
      <c r="Q334" s="16" t="b">
        <f>IFERROR(__xludf.DUMMYFUNCTION("""COMPUTED_VALUE"""),FALSE)</f>
        <v>0</v>
      </c>
      <c r="R334" s="16" t="str">
        <f>IFERROR(__xludf.DUMMYFUNCTION("""COMPUTED_VALUE"""),"Admin, Business, Events, Legal / Contracts, Marketing, Support, Technical, Training, Main Billing Contact, Billing Contact  LMS Training Fees, Sales Solution Architect, Delivery Lead / BA, Client Partner / Partner Account Executive")</f>
        <v>Admin, Business, Events, Legal / Contracts, Marketing, Support, Technical, Training, Main Billing Contact, Billing Contact  LMS Training Fees, Sales Solution Architect, Delivery Lead / BA, Client Partner / Partner Account Executive</v>
      </c>
      <c r="S334" s="16" t="str">
        <f>IFERROR(__xludf.DUMMYFUNCTION("""COMPUTED_VALUE"""),"Quantexa")</f>
        <v>Quantexa</v>
      </c>
      <c r="T334" s="16" t="str">
        <f>IFERROR(__xludf.DUMMYFUNCTION("""COMPUTED_VALUE"""),"Current Partner")</f>
        <v>Current Partner</v>
      </c>
      <c r="U334" s="16" t="b">
        <f>IFERROR(__xludf.DUMMYFUNCTION("""COMPUTED_VALUE"""),FALSE)</f>
        <v>0</v>
      </c>
      <c r="V334" s="16"/>
      <c r="W334" s="16"/>
      <c r="X334" s="16"/>
    </row>
    <row r="335">
      <c r="A335" s="16" t="str">
        <f>IFERROR(__xludf.DUMMYFUNCTION("""COMPUTED_VALUE"""),"Tom")</f>
        <v>Tom</v>
      </c>
      <c r="B335" s="16" t="str">
        <f>IFERROR(__xludf.DUMMYFUNCTION("""COMPUTED_VALUE"""),"Schweikert")</f>
        <v>Schweikert</v>
      </c>
      <c r="C335" s="16" t="str">
        <f>IFERROR(__xludf.DUMMYFUNCTION("""COMPUTED_VALUE"""),"Head of Product")</f>
        <v>Head of Product</v>
      </c>
      <c r="D335" s="16" t="str">
        <f>IFERROR(__xludf.DUMMYFUNCTION("""COMPUTED_VALUE"""),"QuantivRisk")</f>
        <v>QuantivRisk</v>
      </c>
      <c r="E335" s="16" t="str">
        <f>IFERROR(__xludf.DUMMYFUNCTION("""COMPUTED_VALUE"""),"Insurtech Vanguard")</f>
        <v>Insurtech Vanguard</v>
      </c>
      <c r="F335" s="16" t="str">
        <f>IFERROR(__xludf.DUMMYFUNCTION("""COMPUTED_VALUE"""),"tom@quantivrisk.com")</f>
        <v>tom@quantivrisk.com</v>
      </c>
      <c r="G335" s="16" t="str">
        <f>IFERROR(__xludf.DUMMYFUNCTION("""COMPUTED_VALUE"""),"Shannon Spies")</f>
        <v>Shannon Spies</v>
      </c>
      <c r="H335" s="16"/>
      <c r="I335" s="16"/>
      <c r="J335" s="16"/>
      <c r="K335" s="16"/>
      <c r="L335" s="16"/>
      <c r="M335" s="16"/>
      <c r="N335" s="16"/>
      <c r="O335" s="16" t="str">
        <f>IFERROR(__xludf.DUMMYFUNCTION("""COMPUTED_VALUE"""),"Low")</f>
        <v>Low</v>
      </c>
      <c r="P335" s="16" t="b">
        <f>IFERROR(__xludf.DUMMYFUNCTION("""COMPUTED_VALUE"""),TRUE)</f>
        <v>1</v>
      </c>
      <c r="Q335" s="16" t="b">
        <f>IFERROR(__xludf.DUMMYFUNCTION("""COMPUTED_VALUE"""),FALSE)</f>
        <v>0</v>
      </c>
      <c r="R335" s="16" t="str">
        <f>IFERROR(__xludf.DUMMYFUNCTION("""COMPUTED_VALUE"""),"")</f>
        <v/>
      </c>
      <c r="S335" s="16" t="str">
        <f>IFERROR(__xludf.DUMMYFUNCTION("""COMPUTED_VALUE"""),"QuantivRisk")</f>
        <v>QuantivRisk</v>
      </c>
      <c r="T335" s="16" t="str">
        <f>IFERROR(__xludf.DUMMYFUNCTION("""COMPUTED_VALUE"""),"Current Vanguard")</f>
        <v>Current Vanguard</v>
      </c>
      <c r="U335" s="16" t="b">
        <f>IFERROR(__xludf.DUMMYFUNCTION("""COMPUTED_VALUE"""),FALSE)</f>
        <v>0</v>
      </c>
      <c r="V335" s="16"/>
      <c r="W335" s="16"/>
      <c r="X335" s="16"/>
    </row>
    <row r="336">
      <c r="A336" s="16" t="str">
        <f>IFERROR(__xludf.DUMMYFUNCTION("""COMPUTED_VALUE"""),"Jim")</f>
        <v>Jim</v>
      </c>
      <c r="B336" s="16" t="str">
        <f>IFERROR(__xludf.DUMMYFUNCTION("""COMPUTED_VALUE"""),"Nicol")</f>
        <v>Nicol</v>
      </c>
      <c r="C336" s="16" t="str">
        <f>IFERROR(__xludf.DUMMYFUNCTION("""COMPUTED_VALUE"""),"Founder and CEO")</f>
        <v>Founder and CEO</v>
      </c>
      <c r="D336" s="16" t="str">
        <f>IFERROR(__xludf.DUMMYFUNCTION("""COMPUTED_VALUE"""),"QuantPS")</f>
        <v>QuantPS</v>
      </c>
      <c r="E336" s="16" t="str">
        <f>IFERROR(__xludf.DUMMYFUNCTION("""COMPUTED_VALUE"""),"Insurtech Vanguard")</f>
        <v>Insurtech Vanguard</v>
      </c>
      <c r="F336" s="16" t="str">
        <f>IFERROR(__xludf.DUMMYFUNCTION("""COMPUTED_VALUE"""),"jim@quantps.com")</f>
        <v>jim@quantps.com</v>
      </c>
      <c r="G336" s="16" t="str">
        <f>IFERROR(__xludf.DUMMYFUNCTION("""COMPUTED_VALUE"""),"Shannon Spies")</f>
        <v>Shannon Spies</v>
      </c>
      <c r="H336" s="16"/>
      <c r="I336" s="16"/>
      <c r="J336" s="16"/>
      <c r="K336" s="16"/>
      <c r="L336" s="16"/>
      <c r="M336" s="16"/>
      <c r="N336" s="16"/>
      <c r="O336" s="16"/>
      <c r="P336" s="16" t="b">
        <f>IFERROR(__xludf.DUMMYFUNCTION("""COMPUTED_VALUE"""),TRUE)</f>
        <v>1</v>
      </c>
      <c r="Q336" s="16" t="b">
        <f>IFERROR(__xludf.DUMMYFUNCTION("""COMPUTED_VALUE"""),FALSE)</f>
        <v>0</v>
      </c>
      <c r="R336" s="16" t="str">
        <f>IFERROR(__xludf.DUMMYFUNCTION("""COMPUTED_VALUE"""),"")</f>
        <v/>
      </c>
      <c r="S336" s="16" t="str">
        <f>IFERROR(__xludf.DUMMYFUNCTION("""COMPUTED_VALUE"""),"QuantPS")</f>
        <v>QuantPS</v>
      </c>
      <c r="T336" s="16" t="str">
        <f>IFERROR(__xludf.DUMMYFUNCTION("""COMPUTED_VALUE"""),"Current Vanguard")</f>
        <v>Current Vanguard</v>
      </c>
      <c r="U336" s="16" t="b">
        <f>IFERROR(__xludf.DUMMYFUNCTION("""COMPUTED_VALUE"""),FALSE)</f>
        <v>0</v>
      </c>
      <c r="V336" s="16"/>
      <c r="W336" s="16"/>
      <c r="X336" s="16"/>
    </row>
    <row r="337">
      <c r="A337" s="16" t="str">
        <f>IFERROR(__xludf.DUMMYFUNCTION("""COMPUTED_VALUE"""),"Jonathan")</f>
        <v>Jonathan</v>
      </c>
      <c r="B337" s="16" t="str">
        <f>IFERROR(__xludf.DUMMYFUNCTION("""COMPUTED_VALUE"""),"Gonzalez")</f>
        <v>Gonzalez</v>
      </c>
      <c r="C337" s="16" t="str">
        <f>IFERROR(__xludf.DUMMYFUNCTION("""COMPUTED_VALUE"""),"Co-founder and CEO")</f>
        <v>Co-founder and CEO</v>
      </c>
      <c r="D337" s="16" t="str">
        <f>IFERROR(__xludf.DUMMYFUNCTION("""COMPUTED_VALUE"""),"Raincoat")</f>
        <v>Raincoat</v>
      </c>
      <c r="E337" s="16" t="str">
        <f>IFERROR(__xludf.DUMMYFUNCTION("""COMPUTED_VALUE"""),"Insurtech Vanguard")</f>
        <v>Insurtech Vanguard</v>
      </c>
      <c r="F337" s="16" t="str">
        <f>IFERROR(__xludf.DUMMYFUNCTION("""COMPUTED_VALUE"""),"jonathan@raincoat.com")</f>
        <v>jonathan@raincoat.com</v>
      </c>
      <c r="G337" s="16" t="str">
        <f>IFERROR(__xludf.DUMMYFUNCTION("""COMPUTED_VALUE"""),"Shannon Spies")</f>
        <v>Shannon Spies</v>
      </c>
      <c r="H337" s="16"/>
      <c r="I337" s="16"/>
      <c r="J337" s="16"/>
      <c r="K337" s="16"/>
      <c r="L337" s="16"/>
      <c r="M337" s="16"/>
      <c r="N337" s="16" t="str">
        <f>IFERROR(__xludf.DUMMYFUNCTION("""COMPUTED_VALUE"""),"Puerto Rico")</f>
        <v>Puerto Rico</v>
      </c>
      <c r="O337" s="16"/>
      <c r="P337" s="16" t="b">
        <f>IFERROR(__xludf.DUMMYFUNCTION("""COMPUTED_VALUE"""),TRUE)</f>
        <v>1</v>
      </c>
      <c r="Q337" s="16" t="b">
        <f>IFERROR(__xludf.DUMMYFUNCTION("""COMPUTED_VALUE"""),FALSE)</f>
        <v>0</v>
      </c>
      <c r="R337" s="16" t="str">
        <f>IFERROR(__xludf.DUMMYFUNCTION("""COMPUTED_VALUE"""),"")</f>
        <v/>
      </c>
      <c r="S337" s="16" t="str">
        <f>IFERROR(__xludf.DUMMYFUNCTION("""COMPUTED_VALUE"""),"Raincoat")</f>
        <v>Raincoat</v>
      </c>
      <c r="T337" s="16" t="str">
        <f>IFERROR(__xludf.DUMMYFUNCTION("""COMPUTED_VALUE"""),"Current Vanguard")</f>
        <v>Current Vanguard</v>
      </c>
      <c r="U337" s="16" t="b">
        <f>IFERROR(__xludf.DUMMYFUNCTION("""COMPUTED_VALUE"""),FALSE)</f>
        <v>0</v>
      </c>
      <c r="V337" s="16"/>
      <c r="W337" s="16"/>
      <c r="X337" s="16"/>
    </row>
    <row r="338">
      <c r="A338" s="16" t="str">
        <f>IFERROR(__xludf.DUMMYFUNCTION("""COMPUTED_VALUE"""),"Debra")</f>
        <v>Debra</v>
      </c>
      <c r="B338" s="16" t="str">
        <f>IFERROR(__xludf.DUMMYFUNCTION("""COMPUTED_VALUE"""),"Freitag")</f>
        <v>Freitag</v>
      </c>
      <c r="C338" s="16" t="str">
        <f>IFERROR(__xludf.DUMMYFUNCTION("""COMPUTED_VALUE"""),"Chief Strategy Officer")</f>
        <v>Chief Strategy Officer</v>
      </c>
      <c r="D338" s="16" t="str">
        <f>IFERROR(__xludf.DUMMYFUNCTION("""COMPUTED_VALUE"""),"RegEd Inc.")</f>
        <v>RegEd Inc.</v>
      </c>
      <c r="E338" s="16" t="str">
        <f>IFERROR(__xludf.DUMMYFUNCTION("""COMPUTED_VALUE"""),"Growth")</f>
        <v>Growth</v>
      </c>
      <c r="F338" s="16" t="str">
        <f>IFERROR(__xludf.DUMMYFUNCTION("""COMPUTED_VALUE"""),"debra.freitag@reged.com")</f>
        <v>debra.freitag@reged.com</v>
      </c>
      <c r="G338" s="16" t="str">
        <f>IFERROR(__xludf.DUMMYFUNCTION("""COMPUTED_VALUE"""),"Shannon Spies")</f>
        <v>Shannon Spies</v>
      </c>
      <c r="H338" s="16" t="str">
        <f>IFERROR(__xludf.DUMMYFUNCTION("""COMPUTED_VALUE"""),"PartnerConnect - Technology")</f>
        <v>PartnerConnect - Technology</v>
      </c>
      <c r="I338" s="16"/>
      <c r="J338" s="16"/>
      <c r="K338" s="16" t="str">
        <f>IFERROR(__xludf.DUMMYFUNCTION("""COMPUTED_VALUE"""),"Morrisville")</f>
        <v>Morrisville</v>
      </c>
      <c r="L338" s="16" t="str">
        <f>IFERROR(__xludf.DUMMYFUNCTION("""COMPUTED_VALUE"""),"NC")</f>
        <v>NC</v>
      </c>
      <c r="M338" s="16">
        <f>IFERROR(__xludf.DUMMYFUNCTION("""COMPUTED_VALUE"""),25360.0)</f>
        <v>25360</v>
      </c>
      <c r="N338" s="16" t="str">
        <f>IFERROR(__xludf.DUMMYFUNCTION("""COMPUTED_VALUE"""),"United States")</f>
        <v>United States</v>
      </c>
      <c r="O338" s="16" t="str">
        <f>IFERROR(__xludf.DUMMYFUNCTION("""COMPUTED_VALUE"""),"Low")</f>
        <v>Low</v>
      </c>
      <c r="P338" s="16" t="b">
        <f>IFERROR(__xludf.DUMMYFUNCTION("""COMPUTED_VALUE"""),TRUE)</f>
        <v>1</v>
      </c>
      <c r="Q338" s="16" t="b">
        <f>IFERROR(__xludf.DUMMYFUNCTION("""COMPUTED_VALUE"""),FALSE)</f>
        <v>0</v>
      </c>
      <c r="R338" s="16" t="str">
        <f>IFERROR(__xludf.DUMMYFUNCTION("""COMPUTED_VALUE"""),"Admin")</f>
        <v>Admin</v>
      </c>
      <c r="S338" s="16" t="str">
        <f>IFERROR(__xludf.DUMMYFUNCTION("""COMPUTED_VALUE"""),"RegEd")</f>
        <v>RegEd</v>
      </c>
      <c r="T338" s="16" t="str">
        <f>IFERROR(__xludf.DUMMYFUNCTION("""COMPUTED_VALUE"""),"Current Partner")</f>
        <v>Current Partner</v>
      </c>
      <c r="U338" s="16" t="b">
        <f>IFERROR(__xludf.DUMMYFUNCTION("""COMPUTED_VALUE"""),FALSE)</f>
        <v>0</v>
      </c>
      <c r="V338" s="16"/>
      <c r="W338" s="16"/>
      <c r="X338" s="16"/>
    </row>
    <row r="339">
      <c r="A339" s="16" t="str">
        <f>IFERROR(__xludf.DUMMYFUNCTION("""COMPUTED_VALUE"""),"Jennifer")</f>
        <v>Jennifer</v>
      </c>
      <c r="B339" s="16" t="str">
        <f>IFERROR(__xludf.DUMMYFUNCTION("""COMPUTED_VALUE"""),"Ricciuti")</f>
        <v>Ricciuti</v>
      </c>
      <c r="C339" s="16" t="str">
        <f>IFERROR(__xludf.DUMMYFUNCTION("""COMPUTED_VALUE"""),"Marketing and Events Manager")</f>
        <v>Marketing and Events Manager</v>
      </c>
      <c r="D339" s="16" t="str">
        <f>IFERROR(__xludf.DUMMYFUNCTION("""COMPUTED_VALUE"""),"RegEd Inc.")</f>
        <v>RegEd Inc.</v>
      </c>
      <c r="E339" s="16" t="str">
        <f>IFERROR(__xludf.DUMMYFUNCTION("""COMPUTED_VALUE"""),"Growth")</f>
        <v>Growth</v>
      </c>
      <c r="F339" s="16" t="str">
        <f>IFERROR(__xludf.DUMMYFUNCTION("""COMPUTED_VALUE"""),"jennifer.ricciuti@reged.com")</f>
        <v>jennifer.ricciuti@reged.com</v>
      </c>
      <c r="G339" s="16" t="str">
        <f>IFERROR(__xludf.DUMMYFUNCTION("""COMPUTED_VALUE"""),"Shannon Spies")</f>
        <v>Shannon Spies</v>
      </c>
      <c r="H339" s="16" t="str">
        <f>IFERROR(__xludf.DUMMYFUNCTION("""COMPUTED_VALUE"""),"PartnerConnect - Technology")</f>
        <v>PartnerConnect - Technology</v>
      </c>
      <c r="I339" s="16"/>
      <c r="J339" s="16"/>
      <c r="K339" s="16"/>
      <c r="L339" s="16"/>
      <c r="M339" s="16"/>
      <c r="N339" s="16" t="str">
        <f>IFERROR(__xludf.DUMMYFUNCTION("""COMPUTED_VALUE"""),"United States")</f>
        <v>United States</v>
      </c>
      <c r="O339" s="16" t="str">
        <f>IFERROR(__xludf.DUMMYFUNCTION("""COMPUTED_VALUE"""),"Low")</f>
        <v>Low</v>
      </c>
      <c r="P339" s="16" t="b">
        <f>IFERROR(__xludf.DUMMYFUNCTION("""COMPUTED_VALUE"""),TRUE)</f>
        <v>1</v>
      </c>
      <c r="Q339" s="16" t="b">
        <f>IFERROR(__xludf.DUMMYFUNCTION("""COMPUTED_VALUE"""),FALSE)</f>
        <v>0</v>
      </c>
      <c r="R339" s="16" t="str">
        <f>IFERROR(__xludf.DUMMYFUNCTION("""COMPUTED_VALUE"""),"Admin, Business, Events, Marketing, Support, Delivery Lead / BA, Client Partner / Partner Account Executive")</f>
        <v>Admin, Business, Events, Marketing, Support, Delivery Lead / BA, Client Partner / Partner Account Executive</v>
      </c>
      <c r="S339" s="16" t="str">
        <f>IFERROR(__xludf.DUMMYFUNCTION("""COMPUTED_VALUE"""),"RegEd")</f>
        <v>RegEd</v>
      </c>
      <c r="T339" s="16" t="str">
        <f>IFERROR(__xludf.DUMMYFUNCTION("""COMPUTED_VALUE"""),"Current Partner")</f>
        <v>Current Partner</v>
      </c>
      <c r="U339" s="16" t="b">
        <f>IFERROR(__xludf.DUMMYFUNCTION("""COMPUTED_VALUE"""),FALSE)</f>
        <v>0</v>
      </c>
      <c r="V339" s="16"/>
      <c r="W339" s="16"/>
      <c r="X339" s="16"/>
    </row>
    <row r="340">
      <c r="A340" s="16" t="str">
        <f>IFERROR(__xludf.DUMMYFUNCTION("""COMPUTED_VALUE"""),"Ethan")</f>
        <v>Ethan</v>
      </c>
      <c r="B340" s="16" t="str">
        <f>IFERROR(__xludf.DUMMYFUNCTION("""COMPUTED_VALUE"""),"Floyd")</f>
        <v>Floyd</v>
      </c>
      <c r="C340" s="16"/>
      <c r="D340" s="16" t="str">
        <f>IFERROR(__xludf.DUMMYFUNCTION("""COMPUTED_VALUE"""),"RegEd Inc.")</f>
        <v>RegEd Inc.</v>
      </c>
      <c r="E340" s="16" t="str">
        <f>IFERROR(__xludf.DUMMYFUNCTION("""COMPUTED_VALUE"""),"Growth")</f>
        <v>Growth</v>
      </c>
      <c r="F340" s="16" t="str">
        <f>IFERROR(__xludf.DUMMYFUNCTION("""COMPUTED_VALUE"""),"ethan.floyd@reged.com")</f>
        <v>ethan.floyd@reged.com</v>
      </c>
      <c r="G340" s="16" t="str">
        <f>IFERROR(__xludf.DUMMYFUNCTION("""COMPUTED_VALUE"""),"Shannon Spies")</f>
        <v>Shannon Spies</v>
      </c>
      <c r="H340" s="16" t="str">
        <f>IFERROR(__xludf.DUMMYFUNCTION("""COMPUTED_VALUE"""),"PartnerConnect - Technology")</f>
        <v>PartnerConnect - Technology</v>
      </c>
      <c r="I340" s="16" t="str">
        <f>IFERROR(__xludf.DUMMYFUNCTION("""COMPUTED_VALUE"""),"2100 Gateway Centre Blvd, Suite 100")</f>
        <v>2100 Gateway Centre Blvd, Suite 100</v>
      </c>
      <c r="J340" s="16"/>
      <c r="K340" s="16" t="str">
        <f>IFERROR(__xludf.DUMMYFUNCTION("""COMPUTED_VALUE"""),"Morrisville")</f>
        <v>Morrisville</v>
      </c>
      <c r="L340" s="16" t="str">
        <f>IFERROR(__xludf.DUMMYFUNCTION("""COMPUTED_VALUE"""),"North Carolina")</f>
        <v>North Carolina</v>
      </c>
      <c r="M340" s="16">
        <f>IFERROR(__xludf.DUMMYFUNCTION("""COMPUTED_VALUE"""),27560.0)</f>
        <v>27560</v>
      </c>
      <c r="N340" s="16" t="str">
        <f>IFERROR(__xludf.DUMMYFUNCTION("""COMPUTED_VALUE"""),"United States")</f>
        <v>United States</v>
      </c>
      <c r="O340" s="16" t="str">
        <f>IFERROR(__xludf.DUMMYFUNCTION("""COMPUTED_VALUE"""),"Low")</f>
        <v>Low</v>
      </c>
      <c r="P340" s="16" t="b">
        <f>IFERROR(__xludf.DUMMYFUNCTION("""COMPUTED_VALUE"""),TRUE)</f>
        <v>1</v>
      </c>
      <c r="Q340" s="16" t="b">
        <f>IFERROR(__xludf.DUMMYFUNCTION("""COMPUTED_VALUE"""),FALSE)</f>
        <v>0</v>
      </c>
      <c r="R340" s="16" t="str">
        <f>IFERROR(__xludf.DUMMYFUNCTION("""COMPUTED_VALUE"""),"Admin, Business, Events, Legal / Contracts, Marketing, Support, Technical, Training, Main Billing Contact, Billing Contact  LMS Training Fees, NPE User, Sales Solution Architect, Delivery Lead / BA, Client Partner / Partner Account Executive")</f>
        <v>Admin, Business, Events, Legal / Contracts, Marketing, Support, Technical, Training, Main Billing Contact, Billing Contact  LMS Training Fees, NPE User, Sales Solution Architect, Delivery Lead / BA, Client Partner / Partner Account Executive</v>
      </c>
      <c r="S340" s="16" t="str">
        <f>IFERROR(__xludf.DUMMYFUNCTION("""COMPUTED_VALUE"""),"RegEd")</f>
        <v>RegEd</v>
      </c>
      <c r="T340" s="16" t="str">
        <f>IFERROR(__xludf.DUMMYFUNCTION("""COMPUTED_VALUE"""),"Current Partner")</f>
        <v>Current Partner</v>
      </c>
      <c r="U340" s="16" t="b">
        <f>IFERROR(__xludf.DUMMYFUNCTION("""COMPUTED_VALUE"""),TRUE)</f>
        <v>1</v>
      </c>
      <c r="V340" s="16"/>
      <c r="W340" s="16"/>
      <c r="X340" s="16"/>
    </row>
    <row r="341">
      <c r="A341" s="16" t="str">
        <f>IFERROR(__xludf.DUMMYFUNCTION("""COMPUTED_VALUE"""),"Koen")</f>
        <v>Koen</v>
      </c>
      <c r="B341" s="16" t="str">
        <f>IFERROR(__xludf.DUMMYFUNCTION("""COMPUTED_VALUE"""),"Van Duyse")</f>
        <v>Van Duyse</v>
      </c>
      <c r="C341" s="16" t="str">
        <f>IFERROR(__xludf.DUMMYFUNCTION("""COMPUTED_VALUE"""),"Head of Solution Engineering")</f>
        <v>Head of Solution Engineering</v>
      </c>
      <c r="D341" s="16" t="str">
        <f>IFERROR(__xludf.DUMMYFUNCTION("""COMPUTED_VALUE"""),"Replicant Solutions, Inc.")</f>
        <v>Replicant Solutions, Inc.</v>
      </c>
      <c r="E341" s="16" t="str">
        <f>IFERROR(__xludf.DUMMYFUNCTION("""COMPUTED_VALUE"""),"Growth")</f>
        <v>Growth</v>
      </c>
      <c r="F341" s="16" t="str">
        <f>IFERROR(__xludf.DUMMYFUNCTION("""COMPUTED_VALUE"""),"koen.vanduyse@replicant.ai")</f>
        <v>koen.vanduyse@replicant.ai</v>
      </c>
      <c r="G341" s="16" t="str">
        <f>IFERROR(__xludf.DUMMYFUNCTION("""COMPUTED_VALUE"""),"Rod Gowin")</f>
        <v>Rod Gowin</v>
      </c>
      <c r="H341" s="16" t="str">
        <f>IFERROR(__xludf.DUMMYFUNCTION("""COMPUTED_VALUE"""),"PartnerConnect - Technology")</f>
        <v>PartnerConnect - Technology</v>
      </c>
      <c r="I341" s="16" t="str">
        <f>IFERROR(__xludf.DUMMYFUNCTION("""COMPUTED_VALUE"""),"1 Letterman Drive")</f>
        <v>1 Letterman Drive</v>
      </c>
      <c r="J341" s="16"/>
      <c r="K341" s="16" t="str">
        <f>IFERROR(__xludf.DUMMYFUNCTION("""COMPUTED_VALUE"""),"San Francisco")</f>
        <v>San Francisco</v>
      </c>
      <c r="L341" s="16" t="str">
        <f>IFERROR(__xludf.DUMMYFUNCTION("""COMPUTED_VALUE"""),"California")</f>
        <v>California</v>
      </c>
      <c r="M341" s="16">
        <f>IFERROR(__xludf.DUMMYFUNCTION("""COMPUTED_VALUE"""),94129.0)</f>
        <v>94129</v>
      </c>
      <c r="N341" s="16" t="str">
        <f>IFERROR(__xludf.DUMMYFUNCTION("""COMPUTED_VALUE"""),"United States")</f>
        <v>United States</v>
      </c>
      <c r="O341" s="16" t="str">
        <f>IFERROR(__xludf.DUMMYFUNCTION("""COMPUTED_VALUE"""),"Medium")</f>
        <v>Medium</v>
      </c>
      <c r="P341" s="16" t="b">
        <f>IFERROR(__xludf.DUMMYFUNCTION("""COMPUTED_VALUE"""),TRUE)</f>
        <v>1</v>
      </c>
      <c r="Q341" s="16" t="b">
        <f>IFERROR(__xludf.DUMMYFUNCTION("""COMPUTED_VALUE"""),FALSE)</f>
        <v>0</v>
      </c>
      <c r="R341" s="16" t="str">
        <f>IFERROR(__xludf.DUMMYFUNCTION("""COMPUTED_VALUE"""),"Admin, Support, NPE User")</f>
        <v>Admin, Support, NPE User</v>
      </c>
      <c r="S341" s="16" t="str">
        <f>IFERROR(__xludf.DUMMYFUNCTION("""COMPUTED_VALUE"""),"Replicant")</f>
        <v>Replicant</v>
      </c>
      <c r="T341" s="16" t="str">
        <f>IFERROR(__xludf.DUMMYFUNCTION("""COMPUTED_VALUE"""),"Current Partner")</f>
        <v>Current Partner</v>
      </c>
      <c r="U341" s="16" t="b">
        <f>IFERROR(__xludf.DUMMYFUNCTION("""COMPUTED_VALUE"""),TRUE)</f>
        <v>1</v>
      </c>
      <c r="V341" s="16"/>
      <c r="W341" s="16"/>
      <c r="X341" s="16"/>
    </row>
    <row r="342">
      <c r="A342" s="16" t="str">
        <f>IFERROR(__xludf.DUMMYFUNCTION("""COMPUTED_VALUE"""),"Jason")</f>
        <v>Jason</v>
      </c>
      <c r="B342" s="16" t="str">
        <f>IFERROR(__xludf.DUMMYFUNCTION("""COMPUTED_VALUE"""),"Timmerman")</f>
        <v>Timmerman</v>
      </c>
      <c r="C342" s="16" t="str">
        <f>IFERROR(__xludf.DUMMYFUNCTION("""COMPUTED_VALUE"""),"President")</f>
        <v>President</v>
      </c>
      <c r="D342" s="16" t="str">
        <f>IFERROR(__xludf.DUMMYFUNCTION("""COMPUTED_VALUE"""),"Ridge Top Aerial Technologies")</f>
        <v>Ridge Top Aerial Technologies</v>
      </c>
      <c r="E342" s="16" t="str">
        <f>IFERROR(__xludf.DUMMYFUNCTION("""COMPUTED_VALUE"""),"Growth")</f>
        <v>Growth</v>
      </c>
      <c r="F342" s="16" t="str">
        <f>IFERROR(__xludf.DUMMYFUNCTION("""COMPUTED_VALUE"""),"jtimmerman@ridgetopsketch.com")</f>
        <v>jtimmerman@ridgetopsketch.com</v>
      </c>
      <c r="G342" s="16" t="str">
        <f>IFERROR(__xludf.DUMMYFUNCTION("""COMPUTED_VALUE"""),"Rod Gowin")</f>
        <v>Rod Gowin</v>
      </c>
      <c r="H342" s="16" t="str">
        <f>IFERROR(__xludf.DUMMYFUNCTION("""COMPUTED_VALUE"""),"PartnerConnect - Technology")</f>
        <v>PartnerConnect - Technology</v>
      </c>
      <c r="I342" s="16" t="str">
        <f>IFERROR(__xludf.DUMMYFUNCTION("""COMPUTED_VALUE"""),"222 Hwy 46")</f>
        <v>222 Hwy 46</v>
      </c>
      <c r="J342" s="16"/>
      <c r="K342" s="16" t="str">
        <f>IFERROR(__xludf.DUMMYFUNCTION("""COMPUTED_VALUE"""),"Boerne")</f>
        <v>Boerne</v>
      </c>
      <c r="L342" s="16" t="str">
        <f>IFERROR(__xludf.DUMMYFUNCTION("""COMPUTED_VALUE"""),"TX")</f>
        <v>TX</v>
      </c>
      <c r="M342" s="16">
        <f>IFERROR(__xludf.DUMMYFUNCTION("""COMPUTED_VALUE"""),78006.0)</f>
        <v>78006</v>
      </c>
      <c r="N342" s="16" t="str">
        <f>IFERROR(__xludf.DUMMYFUNCTION("""COMPUTED_VALUE"""),"United States")</f>
        <v>United States</v>
      </c>
      <c r="O342" s="16" t="str">
        <f>IFERROR(__xludf.DUMMYFUNCTION("""COMPUTED_VALUE"""),"Low")</f>
        <v>Low</v>
      </c>
      <c r="P342" s="16" t="b">
        <f>IFERROR(__xludf.DUMMYFUNCTION("""COMPUTED_VALUE"""),TRUE)</f>
        <v>1</v>
      </c>
      <c r="Q342" s="16" t="b">
        <f>IFERROR(__xludf.DUMMYFUNCTION("""COMPUTED_VALUE"""),FALSE)</f>
        <v>0</v>
      </c>
      <c r="R342" s="16" t="str">
        <f>IFERROR(__xludf.DUMMYFUNCTION("""COMPUTED_VALUE"""),"Admin, Events, Marketing, Main Billing Contact, Billing Contact  LMS Training Fees")</f>
        <v>Admin, Events, Marketing, Main Billing Contact, Billing Contact  LMS Training Fees</v>
      </c>
      <c r="S342" s="16" t="str">
        <f>IFERROR(__xludf.DUMMYFUNCTION("""COMPUTED_VALUE"""),"Ridge Top Aerial Technologies")</f>
        <v>Ridge Top Aerial Technologies</v>
      </c>
      <c r="T342" s="16" t="str">
        <f>IFERROR(__xludf.DUMMYFUNCTION("""COMPUTED_VALUE"""),"Current Partner")</f>
        <v>Current Partner</v>
      </c>
      <c r="U342" s="16" t="b">
        <f>IFERROR(__xludf.DUMMYFUNCTION("""COMPUTED_VALUE"""),FALSE)</f>
        <v>0</v>
      </c>
      <c r="V342" s="16"/>
      <c r="W342" s="16"/>
      <c r="X342" s="16"/>
    </row>
    <row r="343">
      <c r="A343" s="16" t="str">
        <f>IFERROR(__xludf.DUMMYFUNCTION("""COMPUTED_VALUE"""),"Ryan")</f>
        <v>Ryan</v>
      </c>
      <c r="B343" s="16" t="str">
        <f>IFERROR(__xludf.DUMMYFUNCTION("""COMPUTED_VALUE"""),"Byrd")</f>
        <v>Byrd</v>
      </c>
      <c r="C343" s="16"/>
      <c r="D343" s="16" t="str">
        <f>IFERROR(__xludf.DUMMYFUNCTION("""COMPUTED_VALUE"""),"Ridge Top Aerial Technologies")</f>
        <v>Ridge Top Aerial Technologies</v>
      </c>
      <c r="E343" s="16" t="str">
        <f>IFERROR(__xludf.DUMMYFUNCTION("""COMPUTED_VALUE"""),"Growth")</f>
        <v>Growth</v>
      </c>
      <c r="F343" s="16" t="str">
        <f>IFERROR(__xludf.DUMMYFUNCTION("""COMPUTED_VALUE"""),"ryanb@ridgetopsketch.com")</f>
        <v>ryanb@ridgetopsketch.com</v>
      </c>
      <c r="G343" s="16" t="str">
        <f>IFERROR(__xludf.DUMMYFUNCTION("""COMPUTED_VALUE"""),"Rod Gowin")</f>
        <v>Rod Gowin</v>
      </c>
      <c r="H343" s="16" t="str">
        <f>IFERROR(__xludf.DUMMYFUNCTION("""COMPUTED_VALUE"""),"PartnerConnect - Technology")</f>
        <v>PartnerConnect - Technology</v>
      </c>
      <c r="I343" s="16" t="str">
        <f>IFERROR(__xludf.DUMMYFUNCTION("""COMPUTED_VALUE"""),"222 Hwy 46 E")</f>
        <v>222 Hwy 46 E</v>
      </c>
      <c r="J343" s="16"/>
      <c r="K343" s="16" t="str">
        <f>IFERROR(__xludf.DUMMYFUNCTION("""COMPUTED_VALUE"""),"Boerne")</f>
        <v>Boerne</v>
      </c>
      <c r="L343" s="16" t="str">
        <f>IFERROR(__xludf.DUMMYFUNCTION("""COMPUTED_VALUE"""),"Texas")</f>
        <v>Texas</v>
      </c>
      <c r="M343" s="16">
        <f>IFERROR(__xludf.DUMMYFUNCTION("""COMPUTED_VALUE"""),78006.0)</f>
        <v>78006</v>
      </c>
      <c r="N343" s="16" t="str">
        <f>IFERROR(__xludf.DUMMYFUNCTION("""COMPUTED_VALUE"""),"United States")</f>
        <v>United States</v>
      </c>
      <c r="O343" s="16" t="str">
        <f>IFERROR(__xludf.DUMMYFUNCTION("""COMPUTED_VALUE"""),"Low")</f>
        <v>Low</v>
      </c>
      <c r="P343" s="16" t="b">
        <f>IFERROR(__xludf.DUMMYFUNCTION("""COMPUTED_VALUE"""),TRUE)</f>
        <v>1</v>
      </c>
      <c r="Q343" s="16" t="b">
        <f>IFERROR(__xludf.DUMMYFUNCTION("""COMPUTED_VALUE"""),FALSE)</f>
        <v>0</v>
      </c>
      <c r="R343" s="16" t="str">
        <f>IFERROR(__xludf.DUMMYFUNCTION("""COMPUTED_VALUE"""),"")</f>
        <v/>
      </c>
      <c r="S343" s="16" t="str">
        <f>IFERROR(__xludf.DUMMYFUNCTION("""COMPUTED_VALUE"""),"Ridge Top Aerial Technologies")</f>
        <v>Ridge Top Aerial Technologies</v>
      </c>
      <c r="T343" s="16" t="str">
        <f>IFERROR(__xludf.DUMMYFUNCTION("""COMPUTED_VALUE"""),"Current Partner")</f>
        <v>Current Partner</v>
      </c>
      <c r="U343" s="16" t="b">
        <f>IFERROR(__xludf.DUMMYFUNCTION("""COMPUTED_VALUE"""),FALSE)</f>
        <v>0</v>
      </c>
      <c r="V343" s="16"/>
      <c r="W343" s="16"/>
      <c r="X343" s="16"/>
    </row>
    <row r="344">
      <c r="A344" s="16" t="str">
        <f>IFERROR(__xludf.DUMMYFUNCTION("""COMPUTED_VALUE"""),"Mike")</f>
        <v>Mike</v>
      </c>
      <c r="B344" s="16" t="str">
        <f>IFERROR(__xludf.DUMMYFUNCTION("""COMPUTED_VALUE"""),"Wright")</f>
        <v>Wright</v>
      </c>
      <c r="C344" s="16" t="str">
        <f>IFERROR(__xludf.DUMMYFUNCTION("""COMPUTED_VALUE"""),"VP, National Business Development")</f>
        <v>VP, National Business Development</v>
      </c>
      <c r="D344" s="16" t="str">
        <f>IFERROR(__xludf.DUMMYFUNCTION("""COMPUTED_VALUE"""),"Rising Medical Solutions, LLC")</f>
        <v>Rising Medical Solutions, LLC</v>
      </c>
      <c r="E344" s="16" t="str">
        <f>IFERROR(__xludf.DUMMYFUNCTION("""COMPUTED_VALUE"""),"Growth")</f>
        <v>Growth</v>
      </c>
      <c r="F344" s="16" t="str">
        <f>IFERROR(__xludf.DUMMYFUNCTION("""COMPUTED_VALUE"""),"michael.wright@risingms.com")</f>
        <v>michael.wright@risingms.com</v>
      </c>
      <c r="G344" s="16" t="str">
        <f>IFERROR(__xludf.DUMMYFUNCTION("""COMPUTED_VALUE"""),"Shannon Spies")</f>
        <v>Shannon Spies</v>
      </c>
      <c r="H344" s="16" t="str">
        <f>IFERROR(__xludf.DUMMYFUNCTION("""COMPUTED_VALUE"""),"PartnerConnect - Technology")</f>
        <v>PartnerConnect - Technology</v>
      </c>
      <c r="I344" s="16" t="str">
        <f>IFERROR(__xludf.DUMMYFUNCTION("""COMPUTED_VALUE"""),"325 N LaSalle Street")</f>
        <v>325 N LaSalle Street</v>
      </c>
      <c r="J344" s="16"/>
      <c r="K344" s="16" t="str">
        <f>IFERROR(__xludf.DUMMYFUNCTION("""COMPUTED_VALUE"""),"Chicago")</f>
        <v>Chicago</v>
      </c>
      <c r="L344" s="16" t="str">
        <f>IFERROR(__xludf.DUMMYFUNCTION("""COMPUTED_VALUE"""),"Illinois")</f>
        <v>Illinois</v>
      </c>
      <c r="M344" s="16">
        <f>IFERROR(__xludf.DUMMYFUNCTION("""COMPUTED_VALUE"""),60654.0)</f>
        <v>60654</v>
      </c>
      <c r="N344" s="16" t="str">
        <f>IFERROR(__xludf.DUMMYFUNCTION("""COMPUTED_VALUE"""),"United States")</f>
        <v>United States</v>
      </c>
      <c r="O344" s="16" t="str">
        <f>IFERROR(__xludf.DUMMYFUNCTION("""COMPUTED_VALUE"""),"Medium")</f>
        <v>Medium</v>
      </c>
      <c r="P344" s="16" t="b">
        <f>IFERROR(__xludf.DUMMYFUNCTION("""COMPUTED_VALUE"""),TRUE)</f>
        <v>1</v>
      </c>
      <c r="Q344" s="16" t="b">
        <f>IFERROR(__xludf.DUMMYFUNCTION("""COMPUTED_VALUE"""),FALSE)</f>
        <v>0</v>
      </c>
      <c r="R344" s="16" t="str">
        <f>IFERROR(__xludf.DUMMYFUNCTION("""COMPUTED_VALUE"""),"Admin, Business, Events")</f>
        <v>Admin, Business, Events</v>
      </c>
      <c r="S344" s="16" t="str">
        <f>IFERROR(__xludf.DUMMYFUNCTION("""COMPUTED_VALUE"""),"Rising Medical Solutions")</f>
        <v>Rising Medical Solutions</v>
      </c>
      <c r="T344" s="16" t="str">
        <f>IFERROR(__xludf.DUMMYFUNCTION("""COMPUTED_VALUE"""),"Current Partner")</f>
        <v>Current Partner</v>
      </c>
      <c r="U344" s="16" t="b">
        <f>IFERROR(__xludf.DUMMYFUNCTION("""COMPUTED_VALUE"""),FALSE)</f>
        <v>0</v>
      </c>
      <c r="V344" s="16"/>
      <c r="W344" s="16"/>
      <c r="X344" s="16"/>
    </row>
    <row r="345">
      <c r="A345" s="16" t="str">
        <f>IFERROR(__xludf.DUMMYFUNCTION("""COMPUTED_VALUE"""),"Warren")</f>
        <v>Warren</v>
      </c>
      <c r="B345" s="16" t="str">
        <f>IFERROR(__xludf.DUMMYFUNCTION("""COMPUTED_VALUE"""),"Woermke")</f>
        <v>Woermke</v>
      </c>
      <c r="C345" s="16" t="str">
        <f>IFERROR(__xludf.DUMMYFUNCTION("""COMPUTED_VALUE"""),"Manager, Marketing")</f>
        <v>Manager, Marketing</v>
      </c>
      <c r="D345" s="16" t="str">
        <f>IFERROR(__xludf.DUMMYFUNCTION("""COMPUTED_VALUE"""),"Risk Control Technologies Inc.")</f>
        <v>Risk Control Technologies Inc.</v>
      </c>
      <c r="E345" s="16" t="str">
        <f>IFERROR(__xludf.DUMMYFUNCTION("""COMPUTED_VALUE"""),"Advantage")</f>
        <v>Advantage</v>
      </c>
      <c r="F345" s="16" t="str">
        <f>IFERROR(__xludf.DUMMYFUNCTION("""COMPUTED_VALUE"""),"wwoermke@riskcontroltech.com")</f>
        <v>wwoermke@riskcontroltech.com</v>
      </c>
      <c r="G345" s="16" t="str">
        <f>IFERROR(__xludf.DUMMYFUNCTION("""COMPUTED_VALUE"""),"Rod Gowin")</f>
        <v>Rod Gowin</v>
      </c>
      <c r="H345" s="16" t="str">
        <f>IFERROR(__xludf.DUMMYFUNCTION("""COMPUTED_VALUE"""),"PartnerConnect - Technology")</f>
        <v>PartnerConnect - Technology</v>
      </c>
      <c r="I345" s="16"/>
      <c r="J345" s="16"/>
      <c r="K345" s="16"/>
      <c r="L345" s="16"/>
      <c r="M345" s="16"/>
      <c r="N345" s="16" t="str">
        <f>IFERROR(__xludf.DUMMYFUNCTION("""COMPUTED_VALUE"""),"Canada")</f>
        <v>Canada</v>
      </c>
      <c r="O345" s="16" t="str">
        <f>IFERROR(__xludf.DUMMYFUNCTION("""COMPUTED_VALUE"""),"Medium")</f>
        <v>Medium</v>
      </c>
      <c r="P345" s="16" t="b">
        <f>IFERROR(__xludf.DUMMYFUNCTION("""COMPUTED_VALUE"""),FALSE)</f>
        <v>0</v>
      </c>
      <c r="Q345" s="16" t="b">
        <f>IFERROR(__xludf.DUMMYFUNCTION("""COMPUTED_VALUE"""),TRUE)</f>
        <v>1</v>
      </c>
      <c r="R345" s="16" t="str">
        <f>IFERROR(__xludf.DUMMYFUNCTION("""COMPUTED_VALUE"""),"Business, Events, Marketing")</f>
        <v>Business, Events, Marketing</v>
      </c>
      <c r="S345" s="16" t="str">
        <f>IFERROR(__xludf.DUMMYFUNCTION("""COMPUTED_VALUE"""),"Risk Control")</f>
        <v>Risk Control</v>
      </c>
      <c r="T345" s="16" t="str">
        <f>IFERROR(__xludf.DUMMYFUNCTION("""COMPUTED_VALUE"""),"Current Partner")</f>
        <v>Current Partner</v>
      </c>
      <c r="U345" s="16" t="b">
        <f>IFERROR(__xludf.DUMMYFUNCTION("""COMPUTED_VALUE"""),FALSE)</f>
        <v>0</v>
      </c>
      <c r="V345" s="16"/>
      <c r="W345" s="16"/>
      <c r="X345" s="16"/>
    </row>
    <row r="346">
      <c r="A346" s="16" t="str">
        <f>IFERROR(__xludf.DUMMYFUNCTION("""COMPUTED_VALUE"""),"Jeremy")</f>
        <v>Jeremy</v>
      </c>
      <c r="B346" s="16" t="str">
        <f>IFERROR(__xludf.DUMMYFUNCTION("""COMPUTED_VALUE"""),"Fisher")</f>
        <v>Fisher</v>
      </c>
      <c r="C346" s="16" t="str">
        <f>IFERROR(__xludf.DUMMYFUNCTION("""COMPUTED_VALUE"""),"Head of Product")</f>
        <v>Head of Product</v>
      </c>
      <c r="D346" s="16" t="str">
        <f>IFERROR(__xludf.DUMMYFUNCTION("""COMPUTED_VALUE"""),"Risk Control Technologies Inc.")</f>
        <v>Risk Control Technologies Inc.</v>
      </c>
      <c r="E346" s="16" t="str">
        <f>IFERROR(__xludf.DUMMYFUNCTION("""COMPUTED_VALUE"""),"Advantage")</f>
        <v>Advantage</v>
      </c>
      <c r="F346" s="16" t="str">
        <f>IFERROR(__xludf.DUMMYFUNCTION("""COMPUTED_VALUE"""),"jfisher@riskcontroltech.com")</f>
        <v>jfisher@riskcontroltech.com</v>
      </c>
      <c r="G346" s="16" t="str">
        <f>IFERROR(__xludf.DUMMYFUNCTION("""COMPUTED_VALUE"""),"Rod Gowin")</f>
        <v>Rod Gowin</v>
      </c>
      <c r="H346" s="16" t="str">
        <f>IFERROR(__xludf.DUMMYFUNCTION("""COMPUTED_VALUE"""),"PartnerConnect - Technology")</f>
        <v>PartnerConnect - Technology</v>
      </c>
      <c r="I346" s="16" t="str">
        <f>IFERROR(__xludf.DUMMYFUNCTION("""COMPUTED_VALUE"""),"5015 Spectrum Way")</f>
        <v>5015 Spectrum Way</v>
      </c>
      <c r="J346" s="16"/>
      <c r="K346" s="16" t="str">
        <f>IFERROR(__xludf.DUMMYFUNCTION("""COMPUTED_VALUE"""),"Mississauga")</f>
        <v>Mississauga</v>
      </c>
      <c r="L346" s="16" t="str">
        <f>IFERROR(__xludf.DUMMYFUNCTION("""COMPUTED_VALUE"""),"ONTARIO")</f>
        <v>ONTARIO</v>
      </c>
      <c r="M346" s="16" t="str">
        <f>IFERROR(__xludf.DUMMYFUNCTION("""COMPUTED_VALUE"""),"L4W 0E4")</f>
        <v>L4W 0E4</v>
      </c>
      <c r="N346" s="16" t="str">
        <f>IFERROR(__xludf.DUMMYFUNCTION("""COMPUTED_VALUE"""),"Canada")</f>
        <v>Canada</v>
      </c>
      <c r="O346" s="16" t="str">
        <f>IFERROR(__xludf.DUMMYFUNCTION("""COMPUTED_VALUE"""),"Medium")</f>
        <v>Medium</v>
      </c>
      <c r="P346" s="16" t="b">
        <f>IFERROR(__xludf.DUMMYFUNCTION("""COMPUTED_VALUE"""),FALSE)</f>
        <v>0</v>
      </c>
      <c r="Q346" s="16" t="b">
        <f>IFERROR(__xludf.DUMMYFUNCTION("""COMPUTED_VALUE"""),TRUE)</f>
        <v>1</v>
      </c>
      <c r="R346" s="16" t="str">
        <f>IFERROR(__xludf.DUMMYFUNCTION("""COMPUTED_VALUE"""),"Business, Support")</f>
        <v>Business, Support</v>
      </c>
      <c r="S346" s="16" t="str">
        <f>IFERROR(__xludf.DUMMYFUNCTION("""COMPUTED_VALUE"""),"Risk Control")</f>
        <v>Risk Control</v>
      </c>
      <c r="T346" s="16" t="str">
        <f>IFERROR(__xludf.DUMMYFUNCTION("""COMPUTED_VALUE"""),"Current Partner")</f>
        <v>Current Partner</v>
      </c>
      <c r="U346" s="16" t="b">
        <f>IFERROR(__xludf.DUMMYFUNCTION("""COMPUTED_VALUE"""),FALSE)</f>
        <v>0</v>
      </c>
      <c r="V346" s="16"/>
      <c r="W346" s="16"/>
      <c r="X346" s="16"/>
    </row>
    <row r="347">
      <c r="A347" s="16" t="str">
        <f>IFERROR(__xludf.DUMMYFUNCTION("""COMPUTED_VALUE"""),"Justin")</f>
        <v>Justin</v>
      </c>
      <c r="B347" s="16" t="str">
        <f>IFERROR(__xludf.DUMMYFUNCTION("""COMPUTED_VALUE"""),"Aniballi")</f>
        <v>Aniballi</v>
      </c>
      <c r="C347" s="16" t="str">
        <f>IFERROR(__xludf.DUMMYFUNCTION("""COMPUTED_VALUE"""),"VP of Sales &amp; Marketing")</f>
        <v>VP of Sales &amp; Marketing</v>
      </c>
      <c r="D347" s="16" t="str">
        <f>IFERROR(__xludf.DUMMYFUNCTION("""COMPUTED_VALUE"""),"Risk Control Technologies Inc.")</f>
        <v>Risk Control Technologies Inc.</v>
      </c>
      <c r="E347" s="16" t="str">
        <f>IFERROR(__xludf.DUMMYFUNCTION("""COMPUTED_VALUE"""),"Advantage")</f>
        <v>Advantage</v>
      </c>
      <c r="F347" s="16" t="str">
        <f>IFERROR(__xludf.DUMMYFUNCTION("""COMPUTED_VALUE"""),"janiballi@riskcontroltech.com")</f>
        <v>janiballi@riskcontroltech.com</v>
      </c>
      <c r="G347" s="16" t="str">
        <f>IFERROR(__xludf.DUMMYFUNCTION("""COMPUTED_VALUE"""),"Rod Gowin")</f>
        <v>Rod Gowin</v>
      </c>
      <c r="H347" s="16" t="str">
        <f>IFERROR(__xludf.DUMMYFUNCTION("""COMPUTED_VALUE"""),"PartnerConnect - Technology")</f>
        <v>PartnerConnect - Technology</v>
      </c>
      <c r="I347" s="16" t="str">
        <f>IFERROR(__xludf.DUMMYFUNCTION("""COMPUTED_VALUE"""),"Unit 402, 5015 Spectrum Way")</f>
        <v>Unit 402, 5015 Spectrum Way</v>
      </c>
      <c r="J347" s="16"/>
      <c r="K347" s="16" t="str">
        <f>IFERROR(__xludf.DUMMYFUNCTION("""COMPUTED_VALUE"""),"Toronto")</f>
        <v>Toronto</v>
      </c>
      <c r="L347" s="16" t="str">
        <f>IFERROR(__xludf.DUMMYFUNCTION("""COMPUTED_VALUE"""),"ONTARIO")</f>
        <v>ONTARIO</v>
      </c>
      <c r="M347" s="16" t="str">
        <f>IFERROR(__xludf.DUMMYFUNCTION("""COMPUTED_VALUE"""),"L4W 0E4")</f>
        <v>L4W 0E4</v>
      </c>
      <c r="N347" s="16" t="str">
        <f>IFERROR(__xludf.DUMMYFUNCTION("""COMPUTED_VALUE"""),"Canada")</f>
        <v>Canada</v>
      </c>
      <c r="O347" s="16" t="str">
        <f>IFERROR(__xludf.DUMMYFUNCTION("""COMPUTED_VALUE"""),"Medium")</f>
        <v>Medium</v>
      </c>
      <c r="P347" s="16" t="b">
        <f>IFERROR(__xludf.DUMMYFUNCTION("""COMPUTED_VALUE"""),FALSE)</f>
        <v>0</v>
      </c>
      <c r="Q347" s="16" t="b">
        <f>IFERROR(__xludf.DUMMYFUNCTION("""COMPUTED_VALUE"""),TRUE)</f>
        <v>1</v>
      </c>
      <c r="R347" s="16" t="str">
        <f>IFERROR(__xludf.DUMMYFUNCTION("""COMPUTED_VALUE"""),"Events, Marketing, Client Partner / Partner Account Executive")</f>
        <v>Events, Marketing, Client Partner / Partner Account Executive</v>
      </c>
      <c r="S347" s="16" t="str">
        <f>IFERROR(__xludf.DUMMYFUNCTION("""COMPUTED_VALUE"""),"Risk Control")</f>
        <v>Risk Control</v>
      </c>
      <c r="T347" s="16" t="str">
        <f>IFERROR(__xludf.DUMMYFUNCTION("""COMPUTED_VALUE"""),"Current Partner")</f>
        <v>Current Partner</v>
      </c>
      <c r="U347" s="16" t="b">
        <f>IFERROR(__xludf.DUMMYFUNCTION("""COMPUTED_VALUE"""),FALSE)</f>
        <v>0</v>
      </c>
      <c r="V347" s="16"/>
      <c r="W347" s="16"/>
      <c r="X347" s="16"/>
    </row>
    <row r="348">
      <c r="A348" s="16" t="str">
        <f>IFERROR(__xludf.DUMMYFUNCTION("""COMPUTED_VALUE"""),"Mario")</f>
        <v>Mario</v>
      </c>
      <c r="B348" s="16" t="str">
        <f>IFERROR(__xludf.DUMMYFUNCTION("""COMPUTED_VALUE"""),"Netto")</f>
        <v>Netto</v>
      </c>
      <c r="C348" s="16" t="str">
        <f>IFERROR(__xludf.DUMMYFUNCTION("""COMPUTED_VALUE"""),"CTO")</f>
        <v>CTO</v>
      </c>
      <c r="D348" s="16" t="str">
        <f>IFERROR(__xludf.DUMMYFUNCTION("""COMPUTED_VALUE"""),"RiskJockey, Inc.")</f>
        <v>RiskJockey, Inc.</v>
      </c>
      <c r="E348" s="16" t="str">
        <f>IFERROR(__xludf.DUMMYFUNCTION("""COMPUTED_VALUE"""),"Growth")</f>
        <v>Growth</v>
      </c>
      <c r="F348" s="16" t="str">
        <f>IFERROR(__xludf.DUMMYFUNCTION("""COMPUTED_VALUE"""),"mario.netto@riskjockey.com")</f>
        <v>mario.netto@riskjockey.com</v>
      </c>
      <c r="G348" s="16" t="str">
        <f>IFERROR(__xludf.DUMMYFUNCTION("""COMPUTED_VALUE"""),"Rod Gowin")</f>
        <v>Rod Gowin</v>
      </c>
      <c r="H348" s="16" t="str">
        <f>IFERROR(__xludf.DUMMYFUNCTION("""COMPUTED_VALUE"""),"PartnerConnect - Technology")</f>
        <v>PartnerConnect - Technology</v>
      </c>
      <c r="I348" s="16" t="str">
        <f>IFERROR(__xludf.DUMMYFUNCTION("""COMPUTED_VALUE"""),"1304 Bombay Ln")</f>
        <v>1304 Bombay Ln</v>
      </c>
      <c r="J348" s="16"/>
      <c r="K348" s="16" t="str">
        <f>IFERROR(__xludf.DUMMYFUNCTION("""COMPUTED_VALUE"""),"Roswell")</f>
        <v>Roswell</v>
      </c>
      <c r="L348" s="16" t="str">
        <f>IFERROR(__xludf.DUMMYFUNCTION("""COMPUTED_VALUE"""),"GA")</f>
        <v>GA</v>
      </c>
      <c r="M348" s="16">
        <f>IFERROR(__xludf.DUMMYFUNCTION("""COMPUTED_VALUE"""),30076.0)</f>
        <v>30076</v>
      </c>
      <c r="N348" s="16" t="str">
        <f>IFERROR(__xludf.DUMMYFUNCTION("""COMPUTED_VALUE"""),"United States Minor Outlying Islands")</f>
        <v>United States Minor Outlying Islands</v>
      </c>
      <c r="O348" s="16" t="str">
        <f>IFERROR(__xludf.DUMMYFUNCTION("""COMPUTED_VALUE"""),"Medium")</f>
        <v>Medium</v>
      </c>
      <c r="P348" s="16" t="b">
        <f>IFERROR(__xludf.DUMMYFUNCTION("""COMPUTED_VALUE"""),TRUE)</f>
        <v>1</v>
      </c>
      <c r="Q348" s="16" t="b">
        <f>IFERROR(__xludf.DUMMYFUNCTION("""COMPUTED_VALUE"""),FALSE)</f>
        <v>0</v>
      </c>
      <c r="R348" s="16" t="str">
        <f>IFERROR(__xludf.DUMMYFUNCTION("""COMPUTED_VALUE"""),"Admin, Business, Events, Marketing, Support, Technical, NPE User")</f>
        <v>Admin, Business, Events, Marketing, Support, Technical, NPE User</v>
      </c>
      <c r="S348" s="16" t="str">
        <f>IFERROR(__xludf.DUMMYFUNCTION("""COMPUTED_VALUE"""),"RiskJockey")</f>
        <v>RiskJockey</v>
      </c>
      <c r="T348" s="16" t="str">
        <f>IFERROR(__xludf.DUMMYFUNCTION("""COMPUTED_VALUE"""),"Current Partner")</f>
        <v>Current Partner</v>
      </c>
      <c r="U348" s="16" t="b">
        <f>IFERROR(__xludf.DUMMYFUNCTION("""COMPUTED_VALUE"""),TRUE)</f>
        <v>1</v>
      </c>
      <c r="V348" s="16"/>
      <c r="W348" s="16"/>
      <c r="X348" s="16"/>
    </row>
    <row r="349">
      <c r="A349" s="16" t="str">
        <f>IFERROR(__xludf.DUMMYFUNCTION("""COMPUTED_VALUE"""),"Allison")</f>
        <v>Allison</v>
      </c>
      <c r="B349" s="16" t="str">
        <f>IFERROR(__xludf.DUMMYFUNCTION("""COMPUTED_VALUE"""),"Branen")</f>
        <v>Branen</v>
      </c>
      <c r="C349" s="16"/>
      <c r="D349" s="16" t="str">
        <f>IFERROR(__xludf.DUMMYFUNCTION("""COMPUTED_VALUE"""),"RiskJockey, Inc.")</f>
        <v>RiskJockey, Inc.</v>
      </c>
      <c r="E349" s="16" t="str">
        <f>IFERROR(__xludf.DUMMYFUNCTION("""COMPUTED_VALUE"""),"Growth")</f>
        <v>Growth</v>
      </c>
      <c r="F349" s="16" t="str">
        <f>IFERROR(__xludf.DUMMYFUNCTION("""COMPUTED_VALUE"""),"allison.branen@riskjockey.com")</f>
        <v>allison.branen@riskjockey.com</v>
      </c>
      <c r="G349" s="16" t="str">
        <f>IFERROR(__xludf.DUMMYFUNCTION("""COMPUTED_VALUE"""),"Rod Gowin")</f>
        <v>Rod Gowin</v>
      </c>
      <c r="H349" s="16" t="str">
        <f>IFERROR(__xludf.DUMMYFUNCTION("""COMPUTED_VALUE"""),"PartnerConnect - Technology")</f>
        <v>PartnerConnect - Technology</v>
      </c>
      <c r="I349" s="16" t="str">
        <f>IFERROR(__xludf.DUMMYFUNCTION("""COMPUTED_VALUE"""),"1304 Bombay Lane")</f>
        <v>1304 Bombay Lane</v>
      </c>
      <c r="J349" s="16"/>
      <c r="K349" s="16" t="str">
        <f>IFERROR(__xludf.DUMMYFUNCTION("""COMPUTED_VALUE"""),"Roswell")</f>
        <v>Roswell</v>
      </c>
      <c r="L349" s="16" t="str">
        <f>IFERROR(__xludf.DUMMYFUNCTION("""COMPUTED_VALUE"""),"Georgia")</f>
        <v>Georgia</v>
      </c>
      <c r="M349" s="16">
        <f>IFERROR(__xludf.DUMMYFUNCTION("""COMPUTED_VALUE"""),30004.0)</f>
        <v>30004</v>
      </c>
      <c r="N349" s="16" t="str">
        <f>IFERROR(__xludf.DUMMYFUNCTION("""COMPUTED_VALUE"""),"United States")</f>
        <v>United States</v>
      </c>
      <c r="O349" s="16" t="str">
        <f>IFERROR(__xludf.DUMMYFUNCTION("""COMPUTED_VALUE"""),"Medium")</f>
        <v>Medium</v>
      </c>
      <c r="P349" s="16" t="b">
        <f>IFERROR(__xludf.DUMMYFUNCTION("""COMPUTED_VALUE"""),FALSE)</f>
        <v>0</v>
      </c>
      <c r="Q349" s="16" t="b">
        <f>IFERROR(__xludf.DUMMYFUNCTION("""COMPUTED_VALUE"""),TRUE)</f>
        <v>1</v>
      </c>
      <c r="R349" s="16" t="str">
        <f>IFERROR(__xludf.DUMMYFUNCTION("""COMPUTED_VALUE"""),"Business, Events, Marketing")</f>
        <v>Business, Events, Marketing</v>
      </c>
      <c r="S349" s="16" t="str">
        <f>IFERROR(__xludf.DUMMYFUNCTION("""COMPUTED_VALUE"""),"RiskJockey")</f>
        <v>RiskJockey</v>
      </c>
      <c r="T349" s="16" t="str">
        <f>IFERROR(__xludf.DUMMYFUNCTION("""COMPUTED_VALUE"""),"Current Partner")</f>
        <v>Current Partner</v>
      </c>
      <c r="U349" s="16" t="b">
        <f>IFERROR(__xludf.DUMMYFUNCTION("""COMPUTED_VALUE"""),FALSE)</f>
        <v>0</v>
      </c>
      <c r="V349" s="16"/>
      <c r="W349" s="16"/>
      <c r="X349" s="16"/>
    </row>
    <row r="350">
      <c r="A350" s="16" t="str">
        <f>IFERROR(__xludf.DUMMYFUNCTION("""COMPUTED_VALUE"""),"Chris")</f>
        <v>Chris</v>
      </c>
      <c r="B350" s="16" t="str">
        <f>IFERROR(__xludf.DUMMYFUNCTION("""COMPUTED_VALUE"""),"Maertz")</f>
        <v>Maertz</v>
      </c>
      <c r="C350" s="16" t="str">
        <f>IFERROR(__xludf.DUMMYFUNCTION("""COMPUTED_VALUE"""),"Head of Partner Ecosystem")</f>
        <v>Head of Partner Ecosystem</v>
      </c>
      <c r="D350" s="16" t="str">
        <f>IFERROR(__xludf.DUMMYFUNCTION("""COMPUTED_VALUE"""),"Roots Automation, Inc.")</f>
        <v>Roots Automation, Inc.</v>
      </c>
      <c r="E350" s="16" t="str">
        <f>IFERROR(__xludf.DUMMYFUNCTION("""COMPUTED_VALUE"""),"Growth")</f>
        <v>Growth</v>
      </c>
      <c r="F350" s="16" t="str">
        <f>IFERROR(__xludf.DUMMYFUNCTION("""COMPUTED_VALUE"""),"chris.maertz@roots.ai")</f>
        <v>chris.maertz@roots.ai</v>
      </c>
      <c r="G350" s="16" t="str">
        <f>IFERROR(__xludf.DUMMYFUNCTION("""COMPUTED_VALUE"""),"Aaron Shaw")</f>
        <v>Aaron Shaw</v>
      </c>
      <c r="H350" s="16" t="str">
        <f>IFERROR(__xludf.DUMMYFUNCTION("""COMPUTED_VALUE"""),"PartnerConnect - Technology")</f>
        <v>PartnerConnect - Technology</v>
      </c>
      <c r="I350" s="16" t="str">
        <f>IFERROR(__xludf.DUMMYFUNCTION("""COMPUTED_VALUE"""),"8049 N Poplar Dr")</f>
        <v>8049 N Poplar Dr</v>
      </c>
      <c r="J350" s="16"/>
      <c r="K350" s="16" t="str">
        <f>IFERROR(__xludf.DUMMYFUNCTION("""COMPUTED_VALUE"""),"Fox Point")</f>
        <v>Fox Point</v>
      </c>
      <c r="L350" s="16" t="str">
        <f>IFERROR(__xludf.DUMMYFUNCTION("""COMPUTED_VALUE"""),"Wisconsin")</f>
        <v>Wisconsin</v>
      </c>
      <c r="M350" s="16">
        <f>IFERROR(__xludf.DUMMYFUNCTION("""COMPUTED_VALUE"""),53217.0)</f>
        <v>53217</v>
      </c>
      <c r="N350" s="16" t="str">
        <f>IFERROR(__xludf.DUMMYFUNCTION("""COMPUTED_VALUE"""),"United States")</f>
        <v>United States</v>
      </c>
      <c r="O350" s="16" t="str">
        <f>IFERROR(__xludf.DUMMYFUNCTION("""COMPUTED_VALUE"""),"Medium")</f>
        <v>Medium</v>
      </c>
      <c r="P350" s="16" t="b">
        <f>IFERROR(__xludf.DUMMYFUNCTION("""COMPUTED_VALUE"""),TRUE)</f>
        <v>1</v>
      </c>
      <c r="Q350" s="16" t="b">
        <f>IFERROR(__xludf.DUMMYFUNCTION("""COMPUTED_VALUE"""),TRUE)</f>
        <v>1</v>
      </c>
      <c r="R350" s="16" t="str">
        <f>IFERROR(__xludf.DUMMYFUNCTION("""COMPUTED_VALUE"""),"Admin")</f>
        <v>Admin</v>
      </c>
      <c r="S350" s="16" t="str">
        <f>IFERROR(__xludf.DUMMYFUNCTION("""COMPUTED_VALUE"""),"Roots Automation")</f>
        <v>Roots Automation</v>
      </c>
      <c r="T350" s="16" t="str">
        <f>IFERROR(__xludf.DUMMYFUNCTION("""COMPUTED_VALUE"""),"Current Partner")</f>
        <v>Current Partner</v>
      </c>
      <c r="U350" s="16" t="b">
        <f>IFERROR(__xludf.DUMMYFUNCTION("""COMPUTED_VALUE"""),FALSE)</f>
        <v>0</v>
      </c>
      <c r="V350" s="16"/>
      <c r="W350" s="16"/>
      <c r="X350" s="16"/>
    </row>
    <row r="351">
      <c r="A351" s="16" t="str">
        <f>IFERROR(__xludf.DUMMYFUNCTION("""COMPUTED_VALUE"""),"Rich")</f>
        <v>Rich</v>
      </c>
      <c r="B351" s="16" t="str">
        <f>IFERROR(__xludf.DUMMYFUNCTION("""COMPUTED_VALUE"""),"Coutu")</f>
        <v>Coutu</v>
      </c>
      <c r="C351" s="16" t="str">
        <f>IFERROR(__xludf.DUMMYFUNCTION("""COMPUTED_VALUE"""),"Sales Leader of Safelite Solutions")</f>
        <v>Sales Leader of Safelite Solutions</v>
      </c>
      <c r="D351" s="16" t="str">
        <f>IFERROR(__xludf.DUMMYFUNCTION("""COMPUTED_VALUE"""),"Safelite")</f>
        <v>Safelite</v>
      </c>
      <c r="E351" s="16" t="str">
        <f>IFERROR(__xludf.DUMMYFUNCTION("""COMPUTED_VALUE"""),"Growth")</f>
        <v>Growth</v>
      </c>
      <c r="F351" s="16" t="str">
        <f>IFERROR(__xludf.DUMMYFUNCTION("""COMPUTED_VALUE"""),"rich.coutu@safelite.com")</f>
        <v>rich.coutu@safelite.com</v>
      </c>
      <c r="G351" s="16" t="str">
        <f>IFERROR(__xludf.DUMMYFUNCTION("""COMPUTED_VALUE"""),"Eric Apse")</f>
        <v>Eric Apse</v>
      </c>
      <c r="H351" s="16" t="str">
        <f>IFERROR(__xludf.DUMMYFUNCTION("""COMPUTED_VALUE"""),"PartnerConnect - Technology")</f>
        <v>PartnerConnect - Technology</v>
      </c>
      <c r="I351" s="16" t="str">
        <f>IFERROR(__xludf.DUMMYFUNCTION("""COMPUTED_VALUE"""),"7400 Safelite Lane")</f>
        <v>7400 Safelite Lane</v>
      </c>
      <c r="J351" s="16"/>
      <c r="K351" s="16" t="str">
        <f>IFERROR(__xludf.DUMMYFUNCTION("""COMPUTED_VALUE"""),"Columbus")</f>
        <v>Columbus</v>
      </c>
      <c r="L351" s="16" t="str">
        <f>IFERROR(__xludf.DUMMYFUNCTION("""COMPUTED_VALUE"""),"Ohio")</f>
        <v>Ohio</v>
      </c>
      <c r="M351" s="16">
        <f>IFERROR(__xludf.DUMMYFUNCTION("""COMPUTED_VALUE"""),43235.0)</f>
        <v>43235</v>
      </c>
      <c r="N351" s="16" t="str">
        <f>IFERROR(__xludf.DUMMYFUNCTION("""COMPUTED_VALUE"""),"United States")</f>
        <v>United States</v>
      </c>
      <c r="O351" s="16" t="str">
        <f>IFERROR(__xludf.DUMMYFUNCTION("""COMPUTED_VALUE"""),"Medium")</f>
        <v>Medium</v>
      </c>
      <c r="P351" s="16" t="b">
        <f>IFERROR(__xludf.DUMMYFUNCTION("""COMPUTED_VALUE"""),TRUE)</f>
        <v>1</v>
      </c>
      <c r="Q351" s="16" t="b">
        <f>IFERROR(__xludf.DUMMYFUNCTION("""COMPUTED_VALUE"""),FALSE)</f>
        <v>0</v>
      </c>
      <c r="R351" s="16" t="str">
        <f>IFERROR(__xludf.DUMMYFUNCTION("""COMPUTED_VALUE"""),"")</f>
        <v/>
      </c>
      <c r="S351" s="16" t="str">
        <f>IFERROR(__xludf.DUMMYFUNCTION("""COMPUTED_VALUE"""),"Safelite")</f>
        <v>Safelite</v>
      </c>
      <c r="T351" s="16" t="str">
        <f>IFERROR(__xludf.DUMMYFUNCTION("""COMPUTED_VALUE"""),"Current Partner")</f>
        <v>Current Partner</v>
      </c>
      <c r="U351" s="16" t="b">
        <f>IFERROR(__xludf.DUMMYFUNCTION("""COMPUTED_VALUE"""),FALSE)</f>
        <v>0</v>
      </c>
      <c r="V351" s="16"/>
      <c r="W351" s="16"/>
      <c r="X351" s="16"/>
    </row>
    <row r="352">
      <c r="A352" s="16" t="str">
        <f>IFERROR(__xludf.DUMMYFUNCTION("""COMPUTED_VALUE"""),"Edith")</f>
        <v>Edith</v>
      </c>
      <c r="B352" s="16" t="str">
        <f>IFERROR(__xludf.DUMMYFUNCTION("""COMPUTED_VALUE"""),"Cruickshank")</f>
        <v>Cruickshank</v>
      </c>
      <c r="C352" s="16" t="str">
        <f>IFERROR(__xludf.DUMMYFUNCTION("""COMPUTED_VALUE"""),"Sr. Manager, Business Development")</f>
        <v>Sr. Manager, Business Development</v>
      </c>
      <c r="D352" s="16" t="str">
        <f>IFERROR(__xludf.DUMMYFUNCTION("""COMPUTED_VALUE"""),"SailPoint Technologies, Inc.")</f>
        <v>SailPoint Technologies, Inc.</v>
      </c>
      <c r="E352" s="16" t="str">
        <f>IFERROR(__xludf.DUMMYFUNCTION("""COMPUTED_VALUE"""),"Growth")</f>
        <v>Growth</v>
      </c>
      <c r="F352" s="16" t="str">
        <f>IFERROR(__xludf.DUMMYFUNCTION("""COMPUTED_VALUE"""),"edith.cruickshank@sailpoint.com")</f>
        <v>edith.cruickshank@sailpoint.com</v>
      </c>
      <c r="G352" s="16" t="str">
        <f>IFERROR(__xludf.DUMMYFUNCTION("""COMPUTED_VALUE"""),"Tim Kennedy")</f>
        <v>Tim Kennedy</v>
      </c>
      <c r="H352" s="16" t="str">
        <f>IFERROR(__xludf.DUMMYFUNCTION("""COMPUTED_VALUE"""),"PartnerConnect - Technology")</f>
        <v>PartnerConnect - Technology</v>
      </c>
      <c r="I352" s="16" t="str">
        <f>IFERROR(__xludf.DUMMYFUNCTION("""COMPUTED_VALUE"""),"11120 Four Points Drive, Suite 100")</f>
        <v>11120 Four Points Drive, Suite 100</v>
      </c>
      <c r="J352" s="16"/>
      <c r="K352" s="16" t="str">
        <f>IFERROR(__xludf.DUMMYFUNCTION("""COMPUTED_VALUE"""),"Austin")</f>
        <v>Austin</v>
      </c>
      <c r="L352" s="16" t="str">
        <f>IFERROR(__xludf.DUMMYFUNCTION("""COMPUTED_VALUE"""),"Texas")</f>
        <v>Texas</v>
      </c>
      <c r="M352" s="16">
        <f>IFERROR(__xludf.DUMMYFUNCTION("""COMPUTED_VALUE"""),78726.0)</f>
        <v>78726</v>
      </c>
      <c r="N352" s="16" t="str">
        <f>IFERROR(__xludf.DUMMYFUNCTION("""COMPUTED_VALUE"""),"United States")</f>
        <v>United States</v>
      </c>
      <c r="O352" s="16" t="str">
        <f>IFERROR(__xludf.DUMMYFUNCTION("""COMPUTED_VALUE"""),"High")</f>
        <v>High</v>
      </c>
      <c r="P352" s="16" t="b">
        <f>IFERROR(__xludf.DUMMYFUNCTION("""COMPUTED_VALUE"""),TRUE)</f>
        <v>1</v>
      </c>
      <c r="Q352" s="16" t="b">
        <f>IFERROR(__xludf.DUMMYFUNCTION("""COMPUTED_VALUE"""),FALSE)</f>
        <v>0</v>
      </c>
      <c r="R352" s="16" t="str">
        <f>IFERROR(__xludf.DUMMYFUNCTION("""COMPUTED_VALUE"""),"Business")</f>
        <v>Business</v>
      </c>
      <c r="S352" s="16" t="str">
        <f>IFERROR(__xludf.DUMMYFUNCTION("""COMPUTED_VALUE"""),"SailPoint")</f>
        <v>SailPoint</v>
      </c>
      <c r="T352" s="16" t="str">
        <f>IFERROR(__xludf.DUMMYFUNCTION("""COMPUTED_VALUE"""),"Current Partner")</f>
        <v>Current Partner</v>
      </c>
      <c r="U352" s="16" t="b">
        <f>IFERROR(__xludf.DUMMYFUNCTION("""COMPUTED_VALUE"""),FALSE)</f>
        <v>0</v>
      </c>
      <c r="V352" s="16"/>
      <c r="W352" s="16"/>
      <c r="X352" s="16"/>
    </row>
    <row r="353">
      <c r="A353" s="16" t="str">
        <f>IFERROR(__xludf.DUMMYFUNCTION("""COMPUTED_VALUE"""),"Dinesh")</f>
        <v>Dinesh</v>
      </c>
      <c r="B353" s="16" t="str">
        <f>IFERROR(__xludf.DUMMYFUNCTION("""COMPUTED_VALUE"""),"Mishra")</f>
        <v>Mishra</v>
      </c>
      <c r="C353" s="16" t="str">
        <f>IFERROR(__xludf.DUMMYFUNCTION("""COMPUTED_VALUE"""),"Product Manager")</f>
        <v>Product Manager</v>
      </c>
      <c r="D353" s="16" t="str">
        <f>IFERROR(__xludf.DUMMYFUNCTION("""COMPUTED_VALUE"""),"SailPoint Technologies, Inc.")</f>
        <v>SailPoint Technologies, Inc.</v>
      </c>
      <c r="E353" s="16" t="str">
        <f>IFERROR(__xludf.DUMMYFUNCTION("""COMPUTED_VALUE"""),"Growth")</f>
        <v>Growth</v>
      </c>
      <c r="F353" s="16" t="str">
        <f>IFERROR(__xludf.DUMMYFUNCTION("""COMPUTED_VALUE"""),"dinesh.mishra@sailpoint.com")</f>
        <v>dinesh.mishra@sailpoint.com</v>
      </c>
      <c r="G353" s="16" t="str">
        <f>IFERROR(__xludf.DUMMYFUNCTION("""COMPUTED_VALUE"""),"Tim Kennedy")</f>
        <v>Tim Kennedy</v>
      </c>
      <c r="H353" s="16" t="str">
        <f>IFERROR(__xludf.DUMMYFUNCTION("""COMPUTED_VALUE"""),"PartnerConnect - Technology")</f>
        <v>PartnerConnect - Technology</v>
      </c>
      <c r="I353" s="16" t="str">
        <f>IFERROR(__xludf.DUMMYFUNCTION("""COMPUTED_VALUE"""),"11120 Four Points Drive, Suite 100")</f>
        <v>11120 Four Points Drive, Suite 100</v>
      </c>
      <c r="J353" s="16"/>
      <c r="K353" s="16" t="str">
        <f>IFERROR(__xludf.DUMMYFUNCTION("""COMPUTED_VALUE"""),"Austin")</f>
        <v>Austin</v>
      </c>
      <c r="L353" s="16" t="str">
        <f>IFERROR(__xludf.DUMMYFUNCTION("""COMPUTED_VALUE"""),"Texas")</f>
        <v>Texas</v>
      </c>
      <c r="M353" s="16">
        <f>IFERROR(__xludf.DUMMYFUNCTION("""COMPUTED_VALUE"""),78726.0)</f>
        <v>78726</v>
      </c>
      <c r="N353" s="16" t="str">
        <f>IFERROR(__xludf.DUMMYFUNCTION("""COMPUTED_VALUE"""),"United States")</f>
        <v>United States</v>
      </c>
      <c r="O353" s="16" t="str">
        <f>IFERROR(__xludf.DUMMYFUNCTION("""COMPUTED_VALUE"""),"High")</f>
        <v>High</v>
      </c>
      <c r="P353" s="16" t="b">
        <f>IFERROR(__xludf.DUMMYFUNCTION("""COMPUTED_VALUE"""),TRUE)</f>
        <v>1</v>
      </c>
      <c r="Q353" s="16" t="b">
        <f>IFERROR(__xludf.DUMMYFUNCTION("""COMPUTED_VALUE"""),TRUE)</f>
        <v>1</v>
      </c>
      <c r="R353" s="16" t="str">
        <f>IFERROR(__xludf.DUMMYFUNCTION("""COMPUTED_VALUE"""),"Admin, Support, Technical")</f>
        <v>Admin, Support, Technical</v>
      </c>
      <c r="S353" s="16" t="str">
        <f>IFERROR(__xludf.DUMMYFUNCTION("""COMPUTED_VALUE"""),"SailPoint")</f>
        <v>SailPoint</v>
      </c>
      <c r="T353" s="16" t="str">
        <f>IFERROR(__xludf.DUMMYFUNCTION("""COMPUTED_VALUE"""),"Current Partner")</f>
        <v>Current Partner</v>
      </c>
      <c r="U353" s="16" t="b">
        <f>IFERROR(__xludf.DUMMYFUNCTION("""COMPUTED_VALUE"""),FALSE)</f>
        <v>0</v>
      </c>
      <c r="V353" s="16"/>
      <c r="W353" s="16"/>
      <c r="X353" s="16"/>
    </row>
    <row r="354">
      <c r="A354" s="16" t="str">
        <f>IFERROR(__xludf.DUMMYFUNCTION("""COMPUTED_VALUE"""),"Julia")</f>
        <v>Julia</v>
      </c>
      <c r="B354" s="16" t="str">
        <f>IFERROR(__xludf.DUMMYFUNCTION("""COMPUTED_VALUE"""),"Hardin")</f>
        <v>Hardin</v>
      </c>
      <c r="C354" s="16" t="str">
        <f>IFERROR(__xludf.DUMMYFUNCTION("""COMPUTED_VALUE"""),"Sr. Partner Account Director")</f>
        <v>Sr. Partner Account Director</v>
      </c>
      <c r="D354" s="16" t="str">
        <f>IFERROR(__xludf.DUMMYFUNCTION("""COMPUTED_VALUE"""),"Salesforce")</f>
        <v>Salesforce</v>
      </c>
      <c r="E354" s="16" t="str">
        <f>IFERROR(__xludf.DUMMYFUNCTION("""COMPUTED_VALUE"""),"Advantage")</f>
        <v>Advantage</v>
      </c>
      <c r="F354" s="16" t="str">
        <f>IFERROR(__xludf.DUMMYFUNCTION("""COMPUTED_VALUE"""),"jhardin@salesforce.com")</f>
        <v>jhardin@salesforce.com</v>
      </c>
      <c r="G354" s="16" t="str">
        <f>IFERROR(__xludf.DUMMYFUNCTION("""COMPUTED_VALUE"""),"Eric Apse")</f>
        <v>Eric Apse</v>
      </c>
      <c r="H354" s="16" t="str">
        <f>IFERROR(__xludf.DUMMYFUNCTION("""COMPUTED_VALUE"""),"PartnerConnect - Technology")</f>
        <v>PartnerConnect - Technology</v>
      </c>
      <c r="I354" s="16"/>
      <c r="J354" s="16"/>
      <c r="K354" s="16"/>
      <c r="L354" s="16"/>
      <c r="M354" s="16"/>
      <c r="N354" s="16" t="str">
        <f>IFERROR(__xludf.DUMMYFUNCTION("""COMPUTED_VALUE"""),"United States")</f>
        <v>United States</v>
      </c>
      <c r="O354" s="16" t="str">
        <f>IFERROR(__xludf.DUMMYFUNCTION("""COMPUTED_VALUE"""),"Medium")</f>
        <v>Medium</v>
      </c>
      <c r="P354" s="16" t="b">
        <f>IFERROR(__xludf.DUMMYFUNCTION("""COMPUTED_VALUE"""),TRUE)</f>
        <v>1</v>
      </c>
      <c r="Q354" s="16" t="b">
        <f>IFERROR(__xludf.DUMMYFUNCTION("""COMPUTED_VALUE"""),TRUE)</f>
        <v>1</v>
      </c>
      <c r="R354" s="16" t="str">
        <f>IFERROR(__xludf.DUMMYFUNCTION("""COMPUTED_VALUE"""),"Business, Events, Marketing")</f>
        <v>Business, Events, Marketing</v>
      </c>
      <c r="S354" s="16" t="str">
        <f>IFERROR(__xludf.DUMMYFUNCTION("""COMPUTED_VALUE"""),"Salesforce")</f>
        <v>Salesforce</v>
      </c>
      <c r="T354" s="16" t="str">
        <f>IFERROR(__xludf.DUMMYFUNCTION("""COMPUTED_VALUE"""),"Current Partner")</f>
        <v>Current Partner</v>
      </c>
      <c r="U354" s="16" t="b">
        <f>IFERROR(__xludf.DUMMYFUNCTION("""COMPUTED_VALUE"""),FALSE)</f>
        <v>0</v>
      </c>
      <c r="V354" s="16"/>
      <c r="W354" s="16"/>
      <c r="X354" s="16"/>
    </row>
    <row r="355">
      <c r="A355" s="16" t="str">
        <f>IFERROR(__xludf.DUMMYFUNCTION("""COMPUTED_VALUE"""),"Helen")</f>
        <v>Helen</v>
      </c>
      <c r="B355" s="16" t="str">
        <f>IFERROR(__xludf.DUMMYFUNCTION("""COMPUTED_VALUE"""),"Kim")</f>
        <v>Kim</v>
      </c>
      <c r="C355" s="16" t="str">
        <f>IFERROR(__xludf.DUMMYFUNCTION("""COMPUTED_VALUE"""),"Principal Partner Manager, Strategic Financial Services")</f>
        <v>Principal Partner Manager, Strategic Financial Services</v>
      </c>
      <c r="D355" s="16" t="str">
        <f>IFERROR(__xludf.DUMMYFUNCTION("""COMPUTED_VALUE"""),"Salesforce")</f>
        <v>Salesforce</v>
      </c>
      <c r="E355" s="16" t="str">
        <f>IFERROR(__xludf.DUMMYFUNCTION("""COMPUTED_VALUE"""),"Advantage")</f>
        <v>Advantage</v>
      </c>
      <c r="F355" s="16" t="str">
        <f>IFERROR(__xludf.DUMMYFUNCTION("""COMPUTED_VALUE"""),"helen.kim@salesforce.com")</f>
        <v>helen.kim@salesforce.com</v>
      </c>
      <c r="G355" s="16" t="str">
        <f>IFERROR(__xludf.DUMMYFUNCTION("""COMPUTED_VALUE"""),"Eric Apse")</f>
        <v>Eric Apse</v>
      </c>
      <c r="H355" s="16" t="str">
        <f>IFERROR(__xludf.DUMMYFUNCTION("""COMPUTED_VALUE"""),"PartnerConnect - Technology")</f>
        <v>PartnerConnect - Technology</v>
      </c>
      <c r="I355" s="16" t="str">
        <f>IFERROR(__xludf.DUMMYFUNCTION("""COMPUTED_VALUE"""),"The Landmark at One Market StSuite 300")</f>
        <v>The Landmark at One Market StSuite 300</v>
      </c>
      <c r="J355" s="16"/>
      <c r="K355" s="16" t="str">
        <f>IFERROR(__xludf.DUMMYFUNCTION("""COMPUTED_VALUE"""),"San Francisco")</f>
        <v>San Francisco</v>
      </c>
      <c r="L355" s="16" t="str">
        <f>IFERROR(__xludf.DUMMYFUNCTION("""COMPUTED_VALUE"""),"California")</f>
        <v>California</v>
      </c>
      <c r="M355" s="16">
        <f>IFERROR(__xludf.DUMMYFUNCTION("""COMPUTED_VALUE"""),94105.0)</f>
        <v>94105</v>
      </c>
      <c r="N355" s="16" t="str">
        <f>IFERROR(__xludf.DUMMYFUNCTION("""COMPUTED_VALUE"""),"United States")</f>
        <v>United States</v>
      </c>
      <c r="O355" s="16" t="str">
        <f>IFERROR(__xludf.DUMMYFUNCTION("""COMPUTED_VALUE"""),"Medium")</f>
        <v>Medium</v>
      </c>
      <c r="P355" s="16" t="b">
        <f>IFERROR(__xludf.DUMMYFUNCTION("""COMPUTED_VALUE"""),TRUE)</f>
        <v>1</v>
      </c>
      <c r="Q355" s="16" t="b">
        <f>IFERROR(__xludf.DUMMYFUNCTION("""COMPUTED_VALUE"""),FALSE)</f>
        <v>0</v>
      </c>
      <c r="R355" s="16" t="str">
        <f>IFERROR(__xludf.DUMMYFUNCTION("""COMPUTED_VALUE"""),"Admin")</f>
        <v>Admin</v>
      </c>
      <c r="S355" s="16" t="str">
        <f>IFERROR(__xludf.DUMMYFUNCTION("""COMPUTED_VALUE"""),"Salesforce")</f>
        <v>Salesforce</v>
      </c>
      <c r="T355" s="16" t="str">
        <f>IFERROR(__xludf.DUMMYFUNCTION("""COMPUTED_VALUE"""),"Current Partner")</f>
        <v>Current Partner</v>
      </c>
      <c r="U355" s="16" t="b">
        <f>IFERROR(__xludf.DUMMYFUNCTION("""COMPUTED_VALUE"""),FALSE)</f>
        <v>0</v>
      </c>
      <c r="V355" s="16"/>
      <c r="W355" s="16"/>
      <c r="X355" s="16"/>
    </row>
    <row r="356">
      <c r="A356" s="16" t="str">
        <f>IFERROR(__xludf.DUMMYFUNCTION("""COMPUTED_VALUE"""),"Kristie")</f>
        <v>Kristie</v>
      </c>
      <c r="B356" s="16" t="str">
        <f>IFERROR(__xludf.DUMMYFUNCTION("""COMPUTED_VALUE"""),"Wieland")</f>
        <v>Wieland</v>
      </c>
      <c r="C356" s="16" t="str">
        <f>IFERROR(__xludf.DUMMYFUNCTION("""COMPUTED_VALUE"""),"VP of Marketing")</f>
        <v>VP of Marketing</v>
      </c>
      <c r="D356" s="16" t="str">
        <f>IFERROR(__xludf.DUMMYFUNCTION("""COMPUTED_VALUE"""),"SambaSafety")</f>
        <v>SambaSafety</v>
      </c>
      <c r="E356" s="16" t="str">
        <f>IFERROR(__xludf.DUMMYFUNCTION("""COMPUTED_VALUE"""),"Growth")</f>
        <v>Growth</v>
      </c>
      <c r="F356" s="16" t="str">
        <f>IFERROR(__xludf.DUMMYFUNCTION("""COMPUTED_VALUE"""),"kwieland@sambasafety.com")</f>
        <v>kwieland@sambasafety.com</v>
      </c>
      <c r="G356" s="16" t="str">
        <f>IFERROR(__xludf.DUMMYFUNCTION("""COMPUTED_VALUE"""),"Aaron Shaw")</f>
        <v>Aaron Shaw</v>
      </c>
      <c r="H356" s="16" t="str">
        <f>IFERROR(__xludf.DUMMYFUNCTION("""COMPUTED_VALUE"""),"PartnerConnect - Technology")</f>
        <v>PartnerConnect - Technology</v>
      </c>
      <c r="I356" s="16" t="str">
        <f>IFERROR(__xludf.DUMMYFUNCTION("""COMPUTED_VALUE"""),"5619 DTC Pkwy")</f>
        <v>5619 DTC Pkwy</v>
      </c>
      <c r="J356" s="16"/>
      <c r="K356" s="16" t="str">
        <f>IFERROR(__xludf.DUMMYFUNCTION("""COMPUTED_VALUE"""),"Greenwood Village")</f>
        <v>Greenwood Village</v>
      </c>
      <c r="L356" s="16" t="str">
        <f>IFERROR(__xludf.DUMMYFUNCTION("""COMPUTED_VALUE"""),"COLORADO")</f>
        <v>COLORADO</v>
      </c>
      <c r="M356" s="16">
        <f>IFERROR(__xludf.DUMMYFUNCTION("""COMPUTED_VALUE"""),80111.0)</f>
        <v>80111</v>
      </c>
      <c r="N356" s="16" t="str">
        <f>IFERROR(__xludf.DUMMYFUNCTION("""COMPUTED_VALUE"""),"United States")</f>
        <v>United States</v>
      </c>
      <c r="O356" s="16" t="str">
        <f>IFERROR(__xludf.DUMMYFUNCTION("""COMPUTED_VALUE"""),"Low")</f>
        <v>Low</v>
      </c>
      <c r="P356" s="16" t="b">
        <f>IFERROR(__xludf.DUMMYFUNCTION("""COMPUTED_VALUE"""),FALSE)</f>
        <v>0</v>
      </c>
      <c r="Q356" s="16" t="b">
        <f>IFERROR(__xludf.DUMMYFUNCTION("""COMPUTED_VALUE"""),TRUE)</f>
        <v>1</v>
      </c>
      <c r="R356" s="16" t="str">
        <f>IFERROR(__xludf.DUMMYFUNCTION("""COMPUTED_VALUE"""),"Business, Events, Marketing")</f>
        <v>Business, Events, Marketing</v>
      </c>
      <c r="S356" s="16" t="str">
        <f>IFERROR(__xludf.DUMMYFUNCTION("""COMPUTED_VALUE"""),"Samba")</f>
        <v>Samba</v>
      </c>
      <c r="T356" s="16" t="str">
        <f>IFERROR(__xludf.DUMMYFUNCTION("""COMPUTED_VALUE"""),"Current Partner")</f>
        <v>Current Partner</v>
      </c>
      <c r="U356" s="16" t="b">
        <f>IFERROR(__xludf.DUMMYFUNCTION("""COMPUTED_VALUE"""),FALSE)</f>
        <v>0</v>
      </c>
      <c r="V356" s="16"/>
      <c r="W356" s="16"/>
      <c r="X356" s="16"/>
    </row>
    <row r="357">
      <c r="A357" s="16" t="str">
        <f>IFERROR(__xludf.DUMMYFUNCTION("""COMPUTED_VALUE"""),"Rich")</f>
        <v>Rich</v>
      </c>
      <c r="B357" s="16" t="str">
        <f>IFERROR(__xludf.DUMMYFUNCTION("""COMPUTED_VALUE"""),"Lacey")</f>
        <v>Lacey</v>
      </c>
      <c r="C357" s="16" t="str">
        <f>IFERROR(__xludf.DUMMYFUNCTION("""COMPUTED_VALUE"""),"CPO")</f>
        <v>CPO</v>
      </c>
      <c r="D357" s="16" t="str">
        <f>IFERROR(__xludf.DUMMYFUNCTION("""COMPUTED_VALUE"""),"SambaSafety")</f>
        <v>SambaSafety</v>
      </c>
      <c r="E357" s="16" t="str">
        <f>IFERROR(__xludf.DUMMYFUNCTION("""COMPUTED_VALUE"""),"Growth")</f>
        <v>Growth</v>
      </c>
      <c r="F357" s="16" t="str">
        <f>IFERROR(__xludf.DUMMYFUNCTION("""COMPUTED_VALUE"""),"rlacey@sambasafety.com")</f>
        <v>rlacey@sambasafety.com</v>
      </c>
      <c r="G357" s="16" t="str">
        <f>IFERROR(__xludf.DUMMYFUNCTION("""COMPUTED_VALUE"""),"Aaron Shaw")</f>
        <v>Aaron Shaw</v>
      </c>
      <c r="H357" s="16" t="str">
        <f>IFERROR(__xludf.DUMMYFUNCTION("""COMPUTED_VALUE"""),"PartnerConnect - Technology")</f>
        <v>PartnerConnect - Technology</v>
      </c>
      <c r="I357" s="16"/>
      <c r="J357" s="16"/>
      <c r="K357" s="16"/>
      <c r="L357" s="16"/>
      <c r="M357" s="16"/>
      <c r="N357" s="16" t="str">
        <f>IFERROR(__xludf.DUMMYFUNCTION("""COMPUTED_VALUE"""),"United States")</f>
        <v>United States</v>
      </c>
      <c r="O357" s="16" t="str">
        <f>IFERROR(__xludf.DUMMYFUNCTION("""COMPUTED_VALUE"""),"Low")</f>
        <v>Low</v>
      </c>
      <c r="P357" s="16" t="b">
        <f>IFERROR(__xludf.DUMMYFUNCTION("""COMPUTED_VALUE"""),TRUE)</f>
        <v>1</v>
      </c>
      <c r="Q357" s="16" t="b">
        <f>IFERROR(__xludf.DUMMYFUNCTION("""COMPUTED_VALUE"""),TRUE)</f>
        <v>1</v>
      </c>
      <c r="R357" s="16" t="str">
        <f>IFERROR(__xludf.DUMMYFUNCTION("""COMPUTED_VALUE"""),"Technical, Training")</f>
        <v>Technical, Training</v>
      </c>
      <c r="S357" s="16" t="str">
        <f>IFERROR(__xludf.DUMMYFUNCTION("""COMPUTED_VALUE"""),"Samba")</f>
        <v>Samba</v>
      </c>
      <c r="T357" s="16" t="str">
        <f>IFERROR(__xludf.DUMMYFUNCTION("""COMPUTED_VALUE"""),"Current Partner")</f>
        <v>Current Partner</v>
      </c>
      <c r="U357" s="16" t="b">
        <f>IFERROR(__xludf.DUMMYFUNCTION("""COMPUTED_VALUE"""),FALSE)</f>
        <v>0</v>
      </c>
      <c r="V357" s="16"/>
      <c r="W357" s="16"/>
      <c r="X357" s="16"/>
    </row>
    <row r="358">
      <c r="A358" s="16" t="str">
        <f>IFERROR(__xludf.DUMMYFUNCTION("""COMPUTED_VALUE"""),"Charles")</f>
        <v>Charles</v>
      </c>
      <c r="B358" s="16" t="str">
        <f>IFERROR(__xludf.DUMMYFUNCTION("""COMPUTED_VALUE"""),"Smith")</f>
        <v>Smith</v>
      </c>
      <c r="C358" s="16" t="str">
        <f>IFERROR(__xludf.DUMMYFUNCTION("""COMPUTED_VALUE"""),"Vice President, Product Management")</f>
        <v>Vice President, Product Management</v>
      </c>
      <c r="D358" s="16" t="str">
        <f>IFERROR(__xludf.DUMMYFUNCTION("""COMPUTED_VALUE"""),"SambaSafety")</f>
        <v>SambaSafety</v>
      </c>
      <c r="E358" s="16" t="str">
        <f>IFERROR(__xludf.DUMMYFUNCTION("""COMPUTED_VALUE"""),"Growth")</f>
        <v>Growth</v>
      </c>
      <c r="F358" s="16" t="str">
        <f>IFERROR(__xludf.DUMMYFUNCTION("""COMPUTED_VALUE"""),"csmith@sambasafety.com")</f>
        <v>csmith@sambasafety.com</v>
      </c>
      <c r="G358" s="16" t="str">
        <f>IFERROR(__xludf.DUMMYFUNCTION("""COMPUTED_VALUE"""),"Aaron Shaw")</f>
        <v>Aaron Shaw</v>
      </c>
      <c r="H358" s="16" t="str">
        <f>IFERROR(__xludf.DUMMYFUNCTION("""COMPUTED_VALUE"""),"PartnerConnect - Technology")</f>
        <v>PartnerConnect - Technology</v>
      </c>
      <c r="I358" s="16" t="str">
        <f>IFERROR(__xludf.DUMMYFUNCTION("""COMPUTED_VALUE"""),"8814 Horizon Blvd, Suite 110")</f>
        <v>8814 Horizon Blvd, Suite 110</v>
      </c>
      <c r="J358" s="16"/>
      <c r="K358" s="16" t="str">
        <f>IFERROR(__xludf.DUMMYFUNCTION("""COMPUTED_VALUE"""),"Albuquerque")</f>
        <v>Albuquerque</v>
      </c>
      <c r="L358" s="16" t="str">
        <f>IFERROR(__xludf.DUMMYFUNCTION("""COMPUTED_VALUE"""),"New Mexico")</f>
        <v>New Mexico</v>
      </c>
      <c r="M358" s="16">
        <f>IFERROR(__xludf.DUMMYFUNCTION("""COMPUTED_VALUE"""),87113.0)</f>
        <v>87113</v>
      </c>
      <c r="N358" s="16" t="str">
        <f>IFERROR(__xludf.DUMMYFUNCTION("""COMPUTED_VALUE"""),"United States")</f>
        <v>United States</v>
      </c>
      <c r="O358" s="16" t="str">
        <f>IFERROR(__xludf.DUMMYFUNCTION("""COMPUTED_VALUE"""),"Low")</f>
        <v>Low</v>
      </c>
      <c r="P358" s="16" t="b">
        <f>IFERROR(__xludf.DUMMYFUNCTION("""COMPUTED_VALUE"""),TRUE)</f>
        <v>1</v>
      </c>
      <c r="Q358" s="16" t="b">
        <f>IFERROR(__xludf.DUMMYFUNCTION("""COMPUTED_VALUE"""),FALSE)</f>
        <v>0</v>
      </c>
      <c r="R358" s="16" t="str">
        <f>IFERROR(__xludf.DUMMYFUNCTION("""COMPUTED_VALUE"""),"Admin")</f>
        <v>Admin</v>
      </c>
      <c r="S358" s="16" t="str">
        <f>IFERROR(__xludf.DUMMYFUNCTION("""COMPUTED_VALUE"""),"Samba")</f>
        <v>Samba</v>
      </c>
      <c r="T358" s="16" t="str">
        <f>IFERROR(__xludf.DUMMYFUNCTION("""COMPUTED_VALUE"""),"Current Partner")</f>
        <v>Current Partner</v>
      </c>
      <c r="U358" s="16" t="b">
        <f>IFERROR(__xludf.DUMMYFUNCTION("""COMPUTED_VALUE"""),FALSE)</f>
        <v>0</v>
      </c>
      <c r="V358" s="16"/>
      <c r="W358" s="16"/>
      <c r="X358" s="16"/>
    </row>
    <row r="359">
      <c r="A359" s="16" t="str">
        <f>IFERROR(__xludf.DUMMYFUNCTION("""COMPUTED_VALUE"""),"Amanda")</f>
        <v>Amanda</v>
      </c>
      <c r="B359" s="16" t="str">
        <f>IFERROR(__xludf.DUMMYFUNCTION("""COMPUTED_VALUE"""),"Karcz")</f>
        <v>Karcz</v>
      </c>
      <c r="C359" s="16" t="str">
        <f>IFERROR(__xludf.DUMMYFUNCTION("""COMPUTED_VALUE"""),"Product Owner")</f>
        <v>Product Owner</v>
      </c>
      <c r="D359" s="16" t="str">
        <f>IFERROR(__xludf.DUMMYFUNCTION("""COMPUTED_VALUE"""),"SambaSafety")</f>
        <v>SambaSafety</v>
      </c>
      <c r="E359" s="16" t="str">
        <f>IFERROR(__xludf.DUMMYFUNCTION("""COMPUTED_VALUE"""),"Growth")</f>
        <v>Growth</v>
      </c>
      <c r="F359" s="16" t="str">
        <f>IFERROR(__xludf.DUMMYFUNCTION("""COMPUTED_VALUE"""),"akarcz@sambasafety.com")</f>
        <v>akarcz@sambasafety.com</v>
      </c>
      <c r="G359" s="16" t="str">
        <f>IFERROR(__xludf.DUMMYFUNCTION("""COMPUTED_VALUE"""),"Aaron Shaw")</f>
        <v>Aaron Shaw</v>
      </c>
      <c r="H359" s="16" t="str">
        <f>IFERROR(__xludf.DUMMYFUNCTION("""COMPUTED_VALUE"""),"PartnerConnect - Technology")</f>
        <v>PartnerConnect - Technology</v>
      </c>
      <c r="I359" s="16"/>
      <c r="J359" s="16"/>
      <c r="K359" s="16"/>
      <c r="L359" s="16"/>
      <c r="M359" s="16"/>
      <c r="N359" s="16" t="str">
        <f>IFERROR(__xludf.DUMMYFUNCTION("""COMPUTED_VALUE"""),"United States")</f>
        <v>United States</v>
      </c>
      <c r="O359" s="16" t="str">
        <f>IFERROR(__xludf.DUMMYFUNCTION("""COMPUTED_VALUE"""),"Low")</f>
        <v>Low</v>
      </c>
      <c r="P359" s="16" t="b">
        <f>IFERROR(__xludf.DUMMYFUNCTION("""COMPUTED_VALUE"""),TRUE)</f>
        <v>1</v>
      </c>
      <c r="Q359" s="16" t="b">
        <f>IFERROR(__xludf.DUMMYFUNCTION("""COMPUTED_VALUE"""),TRUE)</f>
        <v>1</v>
      </c>
      <c r="R359" s="16" t="str">
        <f>IFERROR(__xludf.DUMMYFUNCTION("""COMPUTED_VALUE"""),"Admin, Training")</f>
        <v>Admin, Training</v>
      </c>
      <c r="S359" s="16" t="str">
        <f>IFERROR(__xludf.DUMMYFUNCTION("""COMPUTED_VALUE"""),"Samba")</f>
        <v>Samba</v>
      </c>
      <c r="T359" s="16" t="str">
        <f>IFERROR(__xludf.DUMMYFUNCTION("""COMPUTED_VALUE"""),"Current Partner")</f>
        <v>Current Partner</v>
      </c>
      <c r="U359" s="16" t="b">
        <f>IFERROR(__xludf.DUMMYFUNCTION("""COMPUTED_VALUE"""),FALSE)</f>
        <v>0</v>
      </c>
      <c r="V359" s="16"/>
      <c r="W359" s="16"/>
      <c r="X359" s="16"/>
    </row>
    <row r="360">
      <c r="A360" s="16" t="str">
        <f>IFERROR(__xludf.DUMMYFUNCTION("""COMPUTED_VALUE"""),"Franklin")</f>
        <v>Franklin</v>
      </c>
      <c r="B360" s="16" t="str">
        <f>IFERROR(__xludf.DUMMYFUNCTION("""COMPUTED_VALUE"""),"Manchester")</f>
        <v>Manchester</v>
      </c>
      <c r="C360" s="16"/>
      <c r="D360" s="16" t="str">
        <f>IFERROR(__xludf.DUMMYFUNCTION("""COMPUTED_VALUE"""),"SAS Institute, Inc.")</f>
        <v>SAS Institute, Inc.</v>
      </c>
      <c r="E360" s="16" t="str">
        <f>IFERROR(__xludf.DUMMYFUNCTION("""COMPUTED_VALUE"""),"Select")</f>
        <v>Select</v>
      </c>
      <c r="F360" s="16" t="str">
        <f>IFERROR(__xludf.DUMMYFUNCTION("""COMPUTED_VALUE"""),"franklin.manchester@sas.com")</f>
        <v>franklin.manchester@sas.com</v>
      </c>
      <c r="G360" s="16" t="str">
        <f>IFERROR(__xludf.DUMMYFUNCTION("""COMPUTED_VALUE"""),"Eric Apse")</f>
        <v>Eric Apse</v>
      </c>
      <c r="H360" s="16" t="str">
        <f>IFERROR(__xludf.DUMMYFUNCTION("""COMPUTED_VALUE"""),"PartnerConnect - Technology")</f>
        <v>PartnerConnect - Technology</v>
      </c>
      <c r="I360" s="16" t="str">
        <f>IFERROR(__xludf.DUMMYFUNCTION("""COMPUTED_VALUE"""),"100 SAS Campus Drive")</f>
        <v>100 SAS Campus Drive</v>
      </c>
      <c r="J360" s="16"/>
      <c r="K360" s="16" t="str">
        <f>IFERROR(__xludf.DUMMYFUNCTION("""COMPUTED_VALUE"""),"Cary")</f>
        <v>Cary</v>
      </c>
      <c r="L360" s="16" t="str">
        <f>IFERROR(__xludf.DUMMYFUNCTION("""COMPUTED_VALUE"""),"North Carolina")</f>
        <v>North Carolina</v>
      </c>
      <c r="M360" s="16">
        <f>IFERROR(__xludf.DUMMYFUNCTION("""COMPUTED_VALUE"""),27513.0)</f>
        <v>27513</v>
      </c>
      <c r="N360" s="16" t="str">
        <f>IFERROR(__xludf.DUMMYFUNCTION("""COMPUTED_VALUE"""),"United States")</f>
        <v>United States</v>
      </c>
      <c r="O360" s="16" t="str">
        <f>IFERROR(__xludf.DUMMYFUNCTION("""COMPUTED_VALUE"""),"Low")</f>
        <v>Low</v>
      </c>
      <c r="P360" s="16" t="b">
        <f>IFERROR(__xludf.DUMMYFUNCTION("""COMPUTED_VALUE"""),TRUE)</f>
        <v>1</v>
      </c>
      <c r="Q360" s="16" t="b">
        <f>IFERROR(__xludf.DUMMYFUNCTION("""COMPUTED_VALUE"""),FALSE)</f>
        <v>0</v>
      </c>
      <c r="R360" s="16" t="str">
        <f>IFERROR(__xludf.DUMMYFUNCTION("""COMPUTED_VALUE"""),"Admin")</f>
        <v>Admin</v>
      </c>
      <c r="S360" s="16" t="str">
        <f>IFERROR(__xludf.DUMMYFUNCTION("""COMPUTED_VALUE"""),"SAS")</f>
        <v>SAS</v>
      </c>
      <c r="T360" s="16" t="str">
        <f>IFERROR(__xludf.DUMMYFUNCTION("""COMPUTED_VALUE"""),"Current Partner")</f>
        <v>Current Partner</v>
      </c>
      <c r="U360" s="16" t="b">
        <f>IFERROR(__xludf.DUMMYFUNCTION("""COMPUTED_VALUE"""),FALSE)</f>
        <v>0</v>
      </c>
      <c r="V360" s="16"/>
      <c r="W360" s="16"/>
      <c r="X360" s="16"/>
    </row>
    <row r="361">
      <c r="A361" s="16" t="str">
        <f>IFERROR(__xludf.DUMMYFUNCTION("""COMPUTED_VALUE"""),"Tracey")</f>
        <v>Tracey</v>
      </c>
      <c r="B361" s="16" t="str">
        <f>IFERROR(__xludf.DUMMYFUNCTION("""COMPUTED_VALUE"""),"Rees")</f>
        <v>Rees</v>
      </c>
      <c r="C361" s="16"/>
      <c r="D361" s="16" t="str">
        <f>IFERROR(__xludf.DUMMYFUNCTION("""COMPUTED_VALUE"""),"SBS Insurance Service Limited")</f>
        <v>SBS Insurance Service Limited</v>
      </c>
      <c r="E361" s="16" t="str">
        <f>IFERROR(__xludf.DUMMYFUNCTION("""COMPUTED_VALUE"""),"Growth")</f>
        <v>Growth</v>
      </c>
      <c r="F361" s="16" t="str">
        <f>IFERROR(__xludf.DUMMYFUNCTION("""COMPUTED_VALUE"""),"trees@sbs-claims.co.uk")</f>
        <v>trees@sbs-claims.co.uk</v>
      </c>
      <c r="G361" s="16" t="str">
        <f>IFERROR(__xludf.DUMMYFUNCTION("""COMPUTED_VALUE"""),"Vivienne Hoary")</f>
        <v>Vivienne Hoary</v>
      </c>
      <c r="H361" s="16" t="str">
        <f>IFERROR(__xludf.DUMMYFUNCTION("""COMPUTED_VALUE"""),"PartnerConnect - Technology")</f>
        <v>PartnerConnect - Technology</v>
      </c>
      <c r="I361" s="16" t="str">
        <f>IFERROR(__xludf.DUMMYFUNCTION("""COMPUTED_VALUE"""),"Chase House
")</f>
        <v>Chase House
</v>
      </c>
      <c r="J361" s="16" t="str">
        <f>IFERROR(__xludf.DUMMYFUNCTION("""COMPUTED_VALUE"""),"Park Plaza
")</f>
        <v>Park Plaza
</v>
      </c>
      <c r="K361" s="16" t="str">
        <f>IFERROR(__xludf.DUMMYFUNCTION("""COMPUTED_VALUE"""),"Cannock")</f>
        <v>Cannock</v>
      </c>
      <c r="L361" s="16" t="str">
        <f>IFERROR(__xludf.DUMMYFUNCTION("""COMPUTED_VALUE"""),"Staffordshire")</f>
        <v>Staffordshire</v>
      </c>
      <c r="M361" s="16" t="str">
        <f>IFERROR(__xludf.DUMMYFUNCTION("""COMPUTED_VALUE"""),"WS12 2DD")</f>
        <v>WS12 2DD</v>
      </c>
      <c r="N361" s="16" t="str">
        <f>IFERROR(__xludf.DUMMYFUNCTION("""COMPUTED_VALUE"""),"United Kingdom")</f>
        <v>United Kingdom</v>
      </c>
      <c r="O361" s="16" t="str">
        <f>IFERROR(__xludf.DUMMYFUNCTION("""COMPUTED_VALUE"""),"Low")</f>
        <v>Low</v>
      </c>
      <c r="P361" s="16" t="b">
        <f>IFERROR(__xludf.DUMMYFUNCTION("""COMPUTED_VALUE"""),TRUE)</f>
        <v>1</v>
      </c>
      <c r="Q361" s="16" t="b">
        <f>IFERROR(__xludf.DUMMYFUNCTION("""COMPUTED_VALUE"""),FALSE)</f>
        <v>0</v>
      </c>
      <c r="R361" s="16" t="str">
        <f>IFERROR(__xludf.DUMMYFUNCTION("""COMPUTED_VALUE"""),"Admin, Business, Marketing")</f>
        <v>Admin, Business, Marketing</v>
      </c>
      <c r="S361" s="16" t="str">
        <f>IFERROR(__xludf.DUMMYFUNCTION("""COMPUTED_VALUE"""),"SBS")</f>
        <v>SBS</v>
      </c>
      <c r="T361" s="16" t="str">
        <f>IFERROR(__xludf.DUMMYFUNCTION("""COMPUTED_VALUE"""),"Current Partner")</f>
        <v>Current Partner</v>
      </c>
      <c r="U361" s="16" t="b">
        <f>IFERROR(__xludf.DUMMYFUNCTION("""COMPUTED_VALUE"""),FALSE)</f>
        <v>0</v>
      </c>
      <c r="V361" s="16"/>
      <c r="W361" s="16"/>
      <c r="X361" s="16"/>
    </row>
    <row r="362">
      <c r="A362" s="16" t="str">
        <f>IFERROR(__xludf.DUMMYFUNCTION("""COMPUTED_VALUE"""),"Sean")</f>
        <v>Sean</v>
      </c>
      <c r="B362" s="16" t="str">
        <f>IFERROR(__xludf.DUMMYFUNCTION("""COMPUTED_VALUE"""),"Crowley")</f>
        <v>Crowley</v>
      </c>
      <c r="C362" s="16"/>
      <c r="D362" s="16" t="str">
        <f>IFERROR(__xludf.DUMMYFUNCTION("""COMPUTED_VALUE"""),"SBS Insurance Service Limited")</f>
        <v>SBS Insurance Service Limited</v>
      </c>
      <c r="E362" s="16" t="str">
        <f>IFERROR(__xludf.DUMMYFUNCTION("""COMPUTED_VALUE"""),"Growth")</f>
        <v>Growth</v>
      </c>
      <c r="F362" s="16" t="str">
        <f>IFERROR(__xludf.DUMMYFUNCTION("""COMPUTED_VALUE"""),"s.crowley@sbs-claims.co.uk")</f>
        <v>s.crowley@sbs-claims.co.uk</v>
      </c>
      <c r="G362" s="16" t="str">
        <f>IFERROR(__xludf.DUMMYFUNCTION("""COMPUTED_VALUE"""),"Vivienne Hoary")</f>
        <v>Vivienne Hoary</v>
      </c>
      <c r="H362" s="16" t="str">
        <f>IFERROR(__xludf.DUMMYFUNCTION("""COMPUTED_VALUE"""),"PartnerConnect - Technology")</f>
        <v>PartnerConnect - Technology</v>
      </c>
      <c r="I362" s="16" t="str">
        <f>IFERROR(__xludf.DUMMYFUNCTION("""COMPUTED_VALUE"""),"Chase House
")</f>
        <v>Chase House
</v>
      </c>
      <c r="J362" s="16" t="str">
        <f>IFERROR(__xludf.DUMMYFUNCTION("""COMPUTED_VALUE"""),"Park Plaza
")</f>
        <v>Park Plaza
</v>
      </c>
      <c r="K362" s="16" t="str">
        <f>IFERROR(__xludf.DUMMYFUNCTION("""COMPUTED_VALUE"""),"Cannock")</f>
        <v>Cannock</v>
      </c>
      <c r="L362" s="16" t="str">
        <f>IFERROR(__xludf.DUMMYFUNCTION("""COMPUTED_VALUE"""),"Staffordshire")</f>
        <v>Staffordshire</v>
      </c>
      <c r="M362" s="16" t="str">
        <f>IFERROR(__xludf.DUMMYFUNCTION("""COMPUTED_VALUE"""),"WS12 2DD")</f>
        <v>WS12 2DD</v>
      </c>
      <c r="N362" s="16" t="str">
        <f>IFERROR(__xludf.DUMMYFUNCTION("""COMPUTED_VALUE"""),"United Kingdom")</f>
        <v>United Kingdom</v>
      </c>
      <c r="O362" s="16" t="str">
        <f>IFERROR(__xludf.DUMMYFUNCTION("""COMPUTED_VALUE"""),"Low")</f>
        <v>Low</v>
      </c>
      <c r="P362" s="16" t="b">
        <f>IFERROR(__xludf.DUMMYFUNCTION("""COMPUTED_VALUE"""),FALSE)</f>
        <v>0</v>
      </c>
      <c r="Q362" s="16" t="b">
        <f>IFERROR(__xludf.DUMMYFUNCTION("""COMPUTED_VALUE"""),TRUE)</f>
        <v>1</v>
      </c>
      <c r="R362" s="16" t="str">
        <f>IFERROR(__xludf.DUMMYFUNCTION("""COMPUTED_VALUE"""),"Business, Events, Marketing")</f>
        <v>Business, Events, Marketing</v>
      </c>
      <c r="S362" s="16" t="str">
        <f>IFERROR(__xludf.DUMMYFUNCTION("""COMPUTED_VALUE"""),"SBS")</f>
        <v>SBS</v>
      </c>
      <c r="T362" s="16" t="str">
        <f>IFERROR(__xludf.DUMMYFUNCTION("""COMPUTED_VALUE"""),"Current Partner")</f>
        <v>Current Partner</v>
      </c>
      <c r="U362" s="16" t="b">
        <f>IFERROR(__xludf.DUMMYFUNCTION("""COMPUTED_VALUE"""),FALSE)</f>
        <v>0</v>
      </c>
      <c r="V362" s="16"/>
      <c r="W362" s="16"/>
      <c r="X362" s="16"/>
    </row>
    <row r="363">
      <c r="A363" s="16" t="str">
        <f>IFERROR(__xludf.DUMMYFUNCTION("""COMPUTED_VALUE"""),"Charlotte")</f>
        <v>Charlotte</v>
      </c>
      <c r="B363" s="16" t="str">
        <f>IFERROR(__xludf.DUMMYFUNCTION("""COMPUTED_VALUE"""),"Rous")</f>
        <v>Rous</v>
      </c>
      <c r="C363" s="16" t="str">
        <f>IFERROR(__xludf.DUMMYFUNCTION("""COMPUTED_VALUE"""),"Alliances")</f>
        <v>Alliances</v>
      </c>
      <c r="D363" s="16" t="str">
        <f>IFERROR(__xludf.DUMMYFUNCTION("""COMPUTED_VALUE"""),"Scope Technology")</f>
        <v>Scope Technology</v>
      </c>
      <c r="E363" s="16" t="str">
        <f>IFERROR(__xludf.DUMMYFUNCTION("""COMPUTED_VALUE"""),"Growth")</f>
        <v>Growth</v>
      </c>
      <c r="F363" s="16" t="str">
        <f>IFERROR(__xludf.DUMMYFUNCTION("""COMPUTED_VALUE"""),"charlotte.rous@scopetechnology.com")</f>
        <v>charlotte.rous@scopetechnology.com</v>
      </c>
      <c r="G363" s="16" t="str">
        <f>IFERROR(__xludf.DUMMYFUNCTION("""COMPUTED_VALUE"""),"Tim Kennedy")</f>
        <v>Tim Kennedy</v>
      </c>
      <c r="H363" s="16" t="str">
        <f>IFERROR(__xludf.DUMMYFUNCTION("""COMPUTED_VALUE"""),"PartnerConnect - Technology")</f>
        <v>PartnerConnect - Technology</v>
      </c>
      <c r="I363" s="16" t="str">
        <f>IFERROR(__xludf.DUMMYFUNCTION("""COMPUTED_VALUE"""),"2A Ashbourne Court")</f>
        <v>2A Ashbourne Court</v>
      </c>
      <c r="J363" s="16"/>
      <c r="K363" s="16" t="str">
        <f>IFERROR(__xludf.DUMMYFUNCTION("""COMPUTED_VALUE"""),"Ashbourne")</f>
        <v>Ashbourne</v>
      </c>
      <c r="L363" s="16" t="str">
        <f>IFERROR(__xludf.DUMMYFUNCTION("""COMPUTED_VALUE"""),"County Meath")</f>
        <v>County Meath</v>
      </c>
      <c r="M363" s="16" t="str">
        <f>IFERROR(__xludf.DUMMYFUNCTION("""COMPUTED_VALUE"""),"A84")</f>
        <v>A84</v>
      </c>
      <c r="N363" s="16" t="str">
        <f>IFERROR(__xludf.DUMMYFUNCTION("""COMPUTED_VALUE"""),"Ireland")</f>
        <v>Ireland</v>
      </c>
      <c r="O363" s="16" t="str">
        <f>IFERROR(__xludf.DUMMYFUNCTION("""COMPUTED_VALUE"""),"Low")</f>
        <v>Low</v>
      </c>
      <c r="P363" s="16" t="b">
        <f>IFERROR(__xludf.DUMMYFUNCTION("""COMPUTED_VALUE"""),TRUE)</f>
        <v>1</v>
      </c>
      <c r="Q363" s="16" t="b">
        <f>IFERROR(__xludf.DUMMYFUNCTION("""COMPUTED_VALUE"""),FALSE)</f>
        <v>0</v>
      </c>
      <c r="R363" s="16" t="str">
        <f>IFERROR(__xludf.DUMMYFUNCTION("""COMPUTED_VALUE"""),"Admin, Business")</f>
        <v>Admin, Business</v>
      </c>
      <c r="S363" s="16" t="str">
        <f>IFERROR(__xludf.DUMMYFUNCTION("""COMPUTED_VALUE"""),"Scope Technologies")</f>
        <v>Scope Technologies</v>
      </c>
      <c r="T363" s="16" t="str">
        <f>IFERROR(__xludf.DUMMYFUNCTION("""COMPUTED_VALUE"""),"Current Partner")</f>
        <v>Current Partner</v>
      </c>
      <c r="U363" s="16" t="b">
        <f>IFERROR(__xludf.DUMMYFUNCTION("""COMPUTED_VALUE"""),FALSE)</f>
        <v>0</v>
      </c>
      <c r="V363" s="16"/>
      <c r="W363" s="16"/>
      <c r="X363" s="16"/>
    </row>
    <row r="364">
      <c r="A364" s="16" t="str">
        <f>IFERROR(__xludf.DUMMYFUNCTION("""COMPUTED_VALUE"""),"Miyu")</f>
        <v>Miyu</v>
      </c>
      <c r="B364" s="16" t="str">
        <f>IFERROR(__xludf.DUMMYFUNCTION("""COMPUTED_VALUE"""),"Takahashi")</f>
        <v>Takahashi</v>
      </c>
      <c r="C364" s="16"/>
      <c r="D364" s="16" t="str">
        <f>IFERROR(__xludf.DUMMYFUNCTION("""COMPUTED_VALUE"""),"Seiko Solutions Inc.")</f>
        <v>Seiko Solutions Inc.</v>
      </c>
      <c r="E364" s="16" t="str">
        <f>IFERROR(__xludf.DUMMYFUNCTION("""COMPUTED_VALUE"""),"Growth")</f>
        <v>Growth</v>
      </c>
      <c r="F364" s="16" t="str">
        <f>IFERROR(__xludf.DUMMYFUNCTION("""COMPUTED_VALUE"""),"miyu.takahashi@seiko-sol.co.jp")</f>
        <v>miyu.takahashi@seiko-sol.co.jp</v>
      </c>
      <c r="G364" s="16" t="str">
        <f>IFERROR(__xludf.DUMMYFUNCTION("""COMPUTED_VALUE"""),"Ketaki Padhye")</f>
        <v>Ketaki Padhye</v>
      </c>
      <c r="H364" s="16" t="str">
        <f>IFERROR(__xludf.DUMMYFUNCTION("""COMPUTED_VALUE"""),"PartnerConnect - Technology")</f>
        <v>PartnerConnect - Technology</v>
      </c>
      <c r="I364" s="16"/>
      <c r="J364" s="16"/>
      <c r="K364" s="16"/>
      <c r="L364" s="16"/>
      <c r="M364" s="16"/>
      <c r="N364" s="16" t="str">
        <f>IFERROR(__xludf.DUMMYFUNCTION("""COMPUTED_VALUE"""),"Japan")</f>
        <v>Japan</v>
      </c>
      <c r="O364" s="16" t="str">
        <f>IFERROR(__xludf.DUMMYFUNCTION("""COMPUTED_VALUE"""),"Medium")</f>
        <v>Medium</v>
      </c>
      <c r="P364" s="16" t="b">
        <f>IFERROR(__xludf.DUMMYFUNCTION("""COMPUTED_VALUE"""),TRUE)</f>
        <v>1</v>
      </c>
      <c r="Q364" s="16" t="b">
        <f>IFERROR(__xludf.DUMMYFUNCTION("""COMPUTED_VALUE"""),FALSE)</f>
        <v>0</v>
      </c>
      <c r="R364" s="16" t="str">
        <f>IFERROR(__xludf.DUMMYFUNCTION("""COMPUTED_VALUE"""),"Admin")</f>
        <v>Admin</v>
      </c>
      <c r="S364" s="16" t="str">
        <f>IFERROR(__xludf.DUMMYFUNCTION("""COMPUTED_VALUE"""),"Seiko Solutions")</f>
        <v>Seiko Solutions</v>
      </c>
      <c r="T364" s="16" t="str">
        <f>IFERROR(__xludf.DUMMYFUNCTION("""COMPUTED_VALUE"""),"Current Partner")</f>
        <v>Current Partner</v>
      </c>
      <c r="U364" s="16" t="b">
        <f>IFERROR(__xludf.DUMMYFUNCTION("""COMPUTED_VALUE"""),FALSE)</f>
        <v>0</v>
      </c>
      <c r="V364" s="16"/>
      <c r="W364" s="16"/>
      <c r="X364" s="16"/>
    </row>
    <row r="365">
      <c r="A365" s="16" t="str">
        <f>IFERROR(__xludf.DUMMYFUNCTION("""COMPUTED_VALUE"""),"Andrew")</f>
        <v>Andrew</v>
      </c>
      <c r="B365" s="16" t="str">
        <f>IFERROR(__xludf.DUMMYFUNCTION("""COMPUTED_VALUE"""),"Hunter")</f>
        <v>Hunter</v>
      </c>
      <c r="C365" s="16" t="str">
        <f>IFERROR(__xludf.DUMMYFUNCTION("""COMPUTED_VALUE"""),"Head of Strategic Business Development | Financial Services")</f>
        <v>Head of Strategic Business Development | Financial Services</v>
      </c>
      <c r="D365" s="16" t="str">
        <f>IFERROR(__xludf.DUMMYFUNCTION("""COMPUTED_VALUE"""),"ServiceNow")</f>
        <v>ServiceNow</v>
      </c>
      <c r="E365" s="16" t="str">
        <f>IFERROR(__xludf.DUMMYFUNCTION("""COMPUTED_VALUE"""),"Growth")</f>
        <v>Growth</v>
      </c>
      <c r="F365" s="16" t="str">
        <f>IFERROR(__xludf.DUMMYFUNCTION("""COMPUTED_VALUE"""),"andrew.hunter@servicenow.com")</f>
        <v>andrew.hunter@servicenow.com</v>
      </c>
      <c r="G365" s="16" t="str">
        <f>IFERROR(__xludf.DUMMYFUNCTION("""COMPUTED_VALUE"""),"Gregg Rabenold")</f>
        <v>Gregg Rabenold</v>
      </c>
      <c r="H365" s="16" t="str">
        <f>IFERROR(__xludf.DUMMYFUNCTION("""COMPUTED_VALUE"""),"PartnerConnect - Technology")</f>
        <v>PartnerConnect - Technology</v>
      </c>
      <c r="I365" s="16" t="str">
        <f>IFERROR(__xludf.DUMMYFUNCTION("""COMPUTED_VALUE"""),"170 Wren Drive")</f>
        <v>170 Wren Drive</v>
      </c>
      <c r="J365" s="16"/>
      <c r="K365" s="16" t="str">
        <f>IFERROR(__xludf.DUMMYFUNCTION("""COMPUTED_VALUE"""),"roswell")</f>
        <v>roswell</v>
      </c>
      <c r="L365" s="16" t="str">
        <f>IFERROR(__xludf.DUMMYFUNCTION("""COMPUTED_VALUE"""),"GEORGIA")</f>
        <v>GEORGIA</v>
      </c>
      <c r="M365" s="16">
        <f>IFERROR(__xludf.DUMMYFUNCTION("""COMPUTED_VALUE"""),30076.0)</f>
        <v>30076</v>
      </c>
      <c r="N365" s="16" t="str">
        <f>IFERROR(__xludf.DUMMYFUNCTION("""COMPUTED_VALUE"""),"United States")</f>
        <v>United States</v>
      </c>
      <c r="O365" s="16" t="str">
        <f>IFERROR(__xludf.DUMMYFUNCTION("""COMPUTED_VALUE"""),"Medium")</f>
        <v>Medium</v>
      </c>
      <c r="P365" s="16" t="b">
        <f>IFERROR(__xludf.DUMMYFUNCTION("""COMPUTED_VALUE"""),TRUE)</f>
        <v>1</v>
      </c>
      <c r="Q365" s="16" t="b">
        <f>IFERROR(__xludf.DUMMYFUNCTION("""COMPUTED_VALUE"""),TRUE)</f>
        <v>1</v>
      </c>
      <c r="R365" s="16" t="str">
        <f>IFERROR(__xludf.DUMMYFUNCTION("""COMPUTED_VALUE"""),"Admin, Business")</f>
        <v>Admin, Business</v>
      </c>
      <c r="S365" s="16" t="str">
        <f>IFERROR(__xludf.DUMMYFUNCTION("""COMPUTED_VALUE"""),"ServiceNow")</f>
        <v>ServiceNow</v>
      </c>
      <c r="T365" s="16" t="str">
        <f>IFERROR(__xludf.DUMMYFUNCTION("""COMPUTED_VALUE"""),"Current Partner")</f>
        <v>Current Partner</v>
      </c>
      <c r="U365" s="16" t="b">
        <f>IFERROR(__xludf.DUMMYFUNCTION("""COMPUTED_VALUE"""),FALSE)</f>
        <v>0</v>
      </c>
      <c r="V365" s="16"/>
      <c r="W365" s="16"/>
      <c r="X365" s="16"/>
    </row>
    <row r="366">
      <c r="A366" s="16" t="str">
        <f>IFERROR(__xludf.DUMMYFUNCTION("""COMPUTED_VALUE"""),"Rob")</f>
        <v>Rob</v>
      </c>
      <c r="B366" s="16" t="str">
        <f>IFERROR(__xludf.DUMMYFUNCTION("""COMPUTED_VALUE"""),"Morton")</f>
        <v>Morton</v>
      </c>
      <c r="C366" s="16"/>
      <c r="D366" s="16" t="str">
        <f>IFERROR(__xludf.DUMMYFUNCTION("""COMPUTED_VALUE"""),"Shift Technology")</f>
        <v>Shift Technology</v>
      </c>
      <c r="E366" s="16" t="str">
        <f>IFERROR(__xludf.DUMMYFUNCTION("""COMPUTED_VALUE"""),"Advantage")</f>
        <v>Advantage</v>
      </c>
      <c r="F366" s="16" t="str">
        <f>IFERROR(__xludf.DUMMYFUNCTION("""COMPUTED_VALUE"""),"rob.morton@shift-technology.com")</f>
        <v>rob.morton@shift-technology.com</v>
      </c>
      <c r="G366" s="16" t="str">
        <f>IFERROR(__xludf.DUMMYFUNCTION("""COMPUTED_VALUE"""),"Fatima Aoulagha-Bannou")</f>
        <v>Fatima Aoulagha-Bannou</v>
      </c>
      <c r="H366" s="16" t="str">
        <f>IFERROR(__xludf.DUMMYFUNCTION("""COMPUTED_VALUE"""),"PartnerConnect - Technology")</f>
        <v>PartnerConnect - Technology</v>
      </c>
      <c r="I366" s="16" t="str">
        <f>IFERROR(__xludf.DUMMYFUNCTION("""COMPUTED_VALUE"""),"2-14 rue Gerty Archimede")</f>
        <v>2-14 rue Gerty Archimede</v>
      </c>
      <c r="J366" s="16"/>
      <c r="K366" s="16" t="str">
        <f>IFERROR(__xludf.DUMMYFUNCTION("""COMPUTED_VALUE"""),"Paris")</f>
        <v>Paris</v>
      </c>
      <c r="L366" s="16"/>
      <c r="M366" s="16">
        <f>IFERROR(__xludf.DUMMYFUNCTION("""COMPUTED_VALUE"""),75012.0)</f>
        <v>75012</v>
      </c>
      <c r="N366" s="16" t="str">
        <f>IFERROR(__xludf.DUMMYFUNCTION("""COMPUTED_VALUE"""),"France")</f>
        <v>France</v>
      </c>
      <c r="O366" s="16" t="str">
        <f>IFERROR(__xludf.DUMMYFUNCTION("""COMPUTED_VALUE"""),"Strategic")</f>
        <v>Strategic</v>
      </c>
      <c r="P366" s="16" t="b">
        <f>IFERROR(__xludf.DUMMYFUNCTION("""COMPUTED_VALUE"""),FALSE)</f>
        <v>0</v>
      </c>
      <c r="Q366" s="16" t="b">
        <f>IFERROR(__xludf.DUMMYFUNCTION("""COMPUTED_VALUE"""),TRUE)</f>
        <v>1</v>
      </c>
      <c r="R366" s="16" t="str">
        <f>IFERROR(__xludf.DUMMYFUNCTION("""COMPUTED_VALUE"""),"Business, Events, Marketing")</f>
        <v>Business, Events, Marketing</v>
      </c>
      <c r="S366" s="16" t="str">
        <f>IFERROR(__xludf.DUMMYFUNCTION("""COMPUTED_VALUE"""),"Shift")</f>
        <v>Shift</v>
      </c>
      <c r="T366" s="16" t="str">
        <f>IFERROR(__xludf.DUMMYFUNCTION("""COMPUTED_VALUE"""),"Current Partner")</f>
        <v>Current Partner</v>
      </c>
      <c r="U366" s="16" t="b">
        <f>IFERROR(__xludf.DUMMYFUNCTION("""COMPUTED_VALUE"""),FALSE)</f>
        <v>0</v>
      </c>
      <c r="V366" s="16"/>
      <c r="W366" s="16"/>
      <c r="X366" s="16"/>
    </row>
    <row r="367">
      <c r="A367" s="16" t="str">
        <f>IFERROR(__xludf.DUMMYFUNCTION("""COMPUTED_VALUE"""),"Stephanie")</f>
        <v>Stephanie</v>
      </c>
      <c r="B367" s="16" t="str">
        <f>IFERROR(__xludf.DUMMYFUNCTION("""COMPUTED_VALUE"""),"Lemos")</f>
        <v>Lemos</v>
      </c>
      <c r="C367" s="16" t="str">
        <f>IFERROR(__xludf.DUMMYFUNCTION("""COMPUTED_VALUE"""),"Senior Field Marketing Manager, Americas")</f>
        <v>Senior Field Marketing Manager, Americas</v>
      </c>
      <c r="D367" s="16" t="str">
        <f>IFERROR(__xludf.DUMMYFUNCTION("""COMPUTED_VALUE"""),"Shift Technology")</f>
        <v>Shift Technology</v>
      </c>
      <c r="E367" s="16" t="str">
        <f>IFERROR(__xludf.DUMMYFUNCTION("""COMPUTED_VALUE"""),"Advantage")</f>
        <v>Advantage</v>
      </c>
      <c r="F367" s="16" t="str">
        <f>IFERROR(__xludf.DUMMYFUNCTION("""COMPUTED_VALUE"""),"stephanie.lemos@shift-technology.com")</f>
        <v>stephanie.lemos@shift-technology.com</v>
      </c>
      <c r="G367" s="16" t="str">
        <f>IFERROR(__xludf.DUMMYFUNCTION("""COMPUTED_VALUE"""),"Fatima Aoulagha-Bannou")</f>
        <v>Fatima Aoulagha-Bannou</v>
      </c>
      <c r="H367" s="16" t="str">
        <f>IFERROR(__xludf.DUMMYFUNCTION("""COMPUTED_VALUE"""),"PartnerConnect - Technology")</f>
        <v>PartnerConnect - Technology</v>
      </c>
      <c r="I367" s="16"/>
      <c r="J367" s="16"/>
      <c r="K367" s="16"/>
      <c r="L367" s="16"/>
      <c r="M367" s="16"/>
      <c r="N367" s="16" t="str">
        <f>IFERROR(__xludf.DUMMYFUNCTION("""COMPUTED_VALUE"""),"United States")</f>
        <v>United States</v>
      </c>
      <c r="O367" s="16" t="str">
        <f>IFERROR(__xludf.DUMMYFUNCTION("""COMPUTED_VALUE"""),"Strategic")</f>
        <v>Strategic</v>
      </c>
      <c r="P367" s="16" t="b">
        <f>IFERROR(__xludf.DUMMYFUNCTION("""COMPUTED_VALUE"""),FALSE)</f>
        <v>0</v>
      </c>
      <c r="Q367" s="16" t="b">
        <f>IFERROR(__xludf.DUMMYFUNCTION("""COMPUTED_VALUE"""),TRUE)</f>
        <v>1</v>
      </c>
      <c r="R367" s="16" t="str">
        <f>IFERROR(__xludf.DUMMYFUNCTION("""COMPUTED_VALUE"""),"")</f>
        <v/>
      </c>
      <c r="S367" s="16" t="str">
        <f>IFERROR(__xludf.DUMMYFUNCTION("""COMPUTED_VALUE"""),"Shift")</f>
        <v>Shift</v>
      </c>
      <c r="T367" s="16" t="str">
        <f>IFERROR(__xludf.DUMMYFUNCTION("""COMPUTED_VALUE"""),"Current Partner")</f>
        <v>Current Partner</v>
      </c>
      <c r="U367" s="16" t="b">
        <f>IFERROR(__xludf.DUMMYFUNCTION("""COMPUTED_VALUE"""),FALSE)</f>
        <v>0</v>
      </c>
      <c r="V367" s="16"/>
      <c r="W367" s="16"/>
      <c r="X367" s="16"/>
    </row>
    <row r="368">
      <c r="A368" s="16" t="str">
        <f>IFERROR(__xludf.DUMMYFUNCTION("""COMPUTED_VALUE"""),"Drew")</f>
        <v>Drew</v>
      </c>
      <c r="B368" s="16" t="str">
        <f>IFERROR(__xludf.DUMMYFUNCTION("""COMPUTED_VALUE"""),"Whitmore")</f>
        <v>Whitmore</v>
      </c>
      <c r="C368" s="16" t="str">
        <f>IFERROR(__xludf.DUMMYFUNCTION("""COMPUTED_VALUE"""),"Global Head of Partnerships")</f>
        <v>Global Head of Partnerships</v>
      </c>
      <c r="D368" s="16" t="str">
        <f>IFERROR(__xludf.DUMMYFUNCTION("""COMPUTED_VALUE"""),"Shift Technology")</f>
        <v>Shift Technology</v>
      </c>
      <c r="E368" s="16" t="str">
        <f>IFERROR(__xludf.DUMMYFUNCTION("""COMPUTED_VALUE"""),"Advantage")</f>
        <v>Advantage</v>
      </c>
      <c r="F368" s="16" t="str">
        <f>IFERROR(__xludf.DUMMYFUNCTION("""COMPUTED_VALUE"""),"drew.whitmore@shift-technology.com")</f>
        <v>drew.whitmore@shift-technology.com</v>
      </c>
      <c r="G368" s="16" t="str">
        <f>IFERROR(__xludf.DUMMYFUNCTION("""COMPUTED_VALUE"""),"Fatima Aoulagha-Bannou")</f>
        <v>Fatima Aoulagha-Bannou</v>
      </c>
      <c r="H368" s="16" t="str">
        <f>IFERROR(__xludf.DUMMYFUNCTION("""COMPUTED_VALUE"""),"PartnerConnect - Technology")</f>
        <v>PartnerConnect - Technology</v>
      </c>
      <c r="I368" s="16" t="str">
        <f>IFERROR(__xludf.DUMMYFUNCTION("""COMPUTED_VALUE"""),"321 Summer St 7th Floor")</f>
        <v>321 Summer St 7th Floor</v>
      </c>
      <c r="J368" s="16"/>
      <c r="K368" s="16" t="str">
        <f>IFERROR(__xludf.DUMMYFUNCTION("""COMPUTED_VALUE"""),"Boston")</f>
        <v>Boston</v>
      </c>
      <c r="L368" s="16" t="str">
        <f>IFERROR(__xludf.DUMMYFUNCTION("""COMPUTED_VALUE"""),"MASSACHUSETTS")</f>
        <v>MASSACHUSETTS</v>
      </c>
      <c r="M368" s="16">
        <f>IFERROR(__xludf.DUMMYFUNCTION("""COMPUTED_VALUE"""),2210.0)</f>
        <v>2210</v>
      </c>
      <c r="N368" s="16" t="str">
        <f>IFERROR(__xludf.DUMMYFUNCTION("""COMPUTED_VALUE"""),"United States")</f>
        <v>United States</v>
      </c>
      <c r="O368" s="16" t="str">
        <f>IFERROR(__xludf.DUMMYFUNCTION("""COMPUTED_VALUE"""),"Strategic")</f>
        <v>Strategic</v>
      </c>
      <c r="P368" s="16" t="b">
        <f>IFERROR(__xludf.DUMMYFUNCTION("""COMPUTED_VALUE"""),TRUE)</f>
        <v>1</v>
      </c>
      <c r="Q368" s="16" t="b">
        <f>IFERROR(__xludf.DUMMYFUNCTION("""COMPUTED_VALUE"""),FALSE)</f>
        <v>0</v>
      </c>
      <c r="R368" s="16" t="str">
        <f>IFERROR(__xludf.DUMMYFUNCTION("""COMPUTED_VALUE"""),"Admin, Business, Support, Client Partner / Partner Account Executive")</f>
        <v>Admin, Business, Support, Client Partner / Partner Account Executive</v>
      </c>
      <c r="S368" s="16" t="str">
        <f>IFERROR(__xludf.DUMMYFUNCTION("""COMPUTED_VALUE"""),"Shift")</f>
        <v>Shift</v>
      </c>
      <c r="T368" s="16" t="str">
        <f>IFERROR(__xludf.DUMMYFUNCTION("""COMPUTED_VALUE"""),"Current Partner")</f>
        <v>Current Partner</v>
      </c>
      <c r="U368" s="16" t="b">
        <f>IFERROR(__xludf.DUMMYFUNCTION("""COMPUTED_VALUE"""),FALSE)</f>
        <v>0</v>
      </c>
      <c r="V368" s="16"/>
      <c r="W368" s="16"/>
      <c r="X368" s="16"/>
    </row>
    <row r="369">
      <c r="A369" s="16" t="str">
        <f>IFERROR(__xludf.DUMMYFUNCTION("""COMPUTED_VALUE"""),"Vlad")</f>
        <v>Vlad</v>
      </c>
      <c r="B369" s="16" t="str">
        <f>IFERROR(__xludf.DUMMYFUNCTION("""COMPUTED_VALUE"""),"Koltchine")</f>
        <v>Koltchine</v>
      </c>
      <c r="C369" s="16" t="str">
        <f>IFERROR(__xludf.DUMMYFUNCTION("""COMPUTED_VALUE"""),"Chief Revenue Officer")</f>
        <v>Chief Revenue Officer</v>
      </c>
      <c r="D369" s="16" t="str">
        <f>IFERROR(__xludf.DUMMYFUNCTION("""COMPUTED_VALUE"""),"Sinistar")</f>
        <v>Sinistar</v>
      </c>
      <c r="E369" s="16" t="str">
        <f>IFERROR(__xludf.DUMMYFUNCTION("""COMPUTED_VALUE"""),"Insurtech Vanguard")</f>
        <v>Insurtech Vanguard</v>
      </c>
      <c r="F369" s="16" t="str">
        <f>IFERROR(__xludf.DUMMYFUNCTION("""COMPUTED_VALUE"""),"vlad.koltchine@sinistar.com")</f>
        <v>vlad.koltchine@sinistar.com</v>
      </c>
      <c r="G369" s="16" t="str">
        <f>IFERROR(__xludf.DUMMYFUNCTION("""COMPUTED_VALUE"""),"Shannon Spies")</f>
        <v>Shannon Spies</v>
      </c>
      <c r="H369" s="16"/>
      <c r="I369" s="16" t="str">
        <f>IFERROR(__xludf.DUMMYFUNCTION("""COMPUTED_VALUE"""),"433 St-Joseph Est")</f>
        <v>433 St-Joseph Est</v>
      </c>
      <c r="J369" s="16"/>
      <c r="K369" s="16" t="str">
        <f>IFERROR(__xludf.DUMMYFUNCTION("""COMPUTED_VALUE"""),"Montreal")</f>
        <v>Montreal</v>
      </c>
      <c r="L369" s="16" t="str">
        <f>IFERROR(__xludf.DUMMYFUNCTION("""COMPUTED_VALUE"""),"Québec")</f>
        <v>Québec</v>
      </c>
      <c r="M369" s="16" t="str">
        <f>IFERROR(__xludf.DUMMYFUNCTION("""COMPUTED_VALUE"""),"H2J1J6")</f>
        <v>H2J1J6</v>
      </c>
      <c r="N369" s="16" t="str">
        <f>IFERROR(__xludf.DUMMYFUNCTION("""COMPUTED_VALUE"""),"Canada")</f>
        <v>Canada</v>
      </c>
      <c r="O369" s="16"/>
      <c r="P369" s="16" t="b">
        <f>IFERROR(__xludf.DUMMYFUNCTION("""COMPUTED_VALUE"""),TRUE)</f>
        <v>1</v>
      </c>
      <c r="Q369" s="16" t="b">
        <f>IFERROR(__xludf.DUMMYFUNCTION("""COMPUTED_VALUE"""),FALSE)</f>
        <v>0</v>
      </c>
      <c r="R369" s="16" t="str">
        <f>IFERROR(__xludf.DUMMYFUNCTION("""COMPUTED_VALUE"""),"Admin")</f>
        <v>Admin</v>
      </c>
      <c r="S369" s="16" t="str">
        <f>IFERROR(__xludf.DUMMYFUNCTION("""COMPUTED_VALUE"""),"Sinstar")</f>
        <v>Sinstar</v>
      </c>
      <c r="T369" s="16" t="str">
        <f>IFERROR(__xludf.DUMMYFUNCTION("""COMPUTED_VALUE"""),"Current Vanguard")</f>
        <v>Current Vanguard</v>
      </c>
      <c r="U369" s="16" t="b">
        <f>IFERROR(__xludf.DUMMYFUNCTION("""COMPUTED_VALUE"""),FALSE)</f>
        <v>0</v>
      </c>
      <c r="V369" s="16"/>
      <c r="W369" s="16"/>
      <c r="X369" s="16"/>
    </row>
    <row r="370">
      <c r="A370" s="16" t="str">
        <f>IFERROR(__xludf.DUMMYFUNCTION("""COMPUTED_VALUE"""),"Jake")</f>
        <v>Jake</v>
      </c>
      <c r="B370" s="16" t="str">
        <f>IFERROR(__xludf.DUMMYFUNCTION("""COMPUTED_VALUE"""),"Rubenstein")</f>
        <v>Rubenstein</v>
      </c>
      <c r="C370" s="16"/>
      <c r="D370" s="16" t="str">
        <f>IFERROR(__xludf.DUMMYFUNCTION("""COMPUTED_VALUE"""),"Skopenow")</f>
        <v>Skopenow</v>
      </c>
      <c r="E370" s="16" t="str">
        <f>IFERROR(__xludf.DUMMYFUNCTION("""COMPUTED_VALUE"""),"Growth")</f>
        <v>Growth</v>
      </c>
      <c r="F370" s="16" t="str">
        <f>IFERROR(__xludf.DUMMYFUNCTION("""COMPUTED_VALUE"""),"jake.rubenstein@skopenow.com")</f>
        <v>jake.rubenstein@skopenow.com</v>
      </c>
      <c r="G370" s="16" t="str">
        <f>IFERROR(__xludf.DUMMYFUNCTION("""COMPUTED_VALUE"""),"Aaron Shaw")</f>
        <v>Aaron Shaw</v>
      </c>
      <c r="H370" s="16" t="str">
        <f>IFERROR(__xludf.DUMMYFUNCTION("""COMPUTED_VALUE"""),"PartnerConnect - Technology")</f>
        <v>PartnerConnect - Technology</v>
      </c>
      <c r="I370" s="16" t="str">
        <f>IFERROR(__xludf.DUMMYFUNCTION("""COMPUTED_VALUE"""),"12 East 49th")</f>
        <v>12 East 49th</v>
      </c>
      <c r="J370" s="16"/>
      <c r="K370" s="16" t="str">
        <f>IFERROR(__xludf.DUMMYFUNCTION("""COMPUTED_VALUE"""),"New York")</f>
        <v>New York</v>
      </c>
      <c r="L370" s="16" t="str">
        <f>IFERROR(__xludf.DUMMYFUNCTION("""COMPUTED_VALUE"""),"New York")</f>
        <v>New York</v>
      </c>
      <c r="M370" s="16">
        <f>IFERROR(__xludf.DUMMYFUNCTION("""COMPUTED_VALUE"""),10017.0)</f>
        <v>10017</v>
      </c>
      <c r="N370" s="16" t="str">
        <f>IFERROR(__xludf.DUMMYFUNCTION("""COMPUTED_VALUE"""),"United States")</f>
        <v>United States</v>
      </c>
      <c r="O370" s="16" t="str">
        <f>IFERROR(__xludf.DUMMYFUNCTION("""COMPUTED_VALUE"""),"Low")</f>
        <v>Low</v>
      </c>
      <c r="P370" s="16" t="b">
        <f>IFERROR(__xludf.DUMMYFUNCTION("""COMPUTED_VALUE"""),TRUE)</f>
        <v>1</v>
      </c>
      <c r="Q370" s="16" t="b">
        <f>IFERROR(__xludf.DUMMYFUNCTION("""COMPUTED_VALUE"""),TRUE)</f>
        <v>1</v>
      </c>
      <c r="R370" s="16" t="str">
        <f>IFERROR(__xludf.DUMMYFUNCTION("""COMPUTED_VALUE"""),"Admin, Business, Technical")</f>
        <v>Admin, Business, Technical</v>
      </c>
      <c r="S370" s="16" t="str">
        <f>IFERROR(__xludf.DUMMYFUNCTION("""COMPUTED_VALUE"""),"Skopenow")</f>
        <v>Skopenow</v>
      </c>
      <c r="T370" s="16" t="str">
        <f>IFERROR(__xludf.DUMMYFUNCTION("""COMPUTED_VALUE"""),"Current Partner")</f>
        <v>Current Partner</v>
      </c>
      <c r="U370" s="16" t="b">
        <f>IFERROR(__xludf.DUMMYFUNCTION("""COMPUTED_VALUE"""),FALSE)</f>
        <v>0</v>
      </c>
      <c r="V370" s="16"/>
      <c r="W370" s="16"/>
      <c r="X370" s="16"/>
    </row>
    <row r="371">
      <c r="A371" s="16" t="str">
        <f>IFERROR(__xludf.DUMMYFUNCTION("""COMPUTED_VALUE"""),"Melissa")</f>
        <v>Melissa</v>
      </c>
      <c r="B371" s="16" t="str">
        <f>IFERROR(__xludf.DUMMYFUNCTION("""COMPUTED_VALUE"""),"Reedy")</f>
        <v>Reedy</v>
      </c>
      <c r="C371" s="16" t="str">
        <f>IFERROR(__xludf.DUMMYFUNCTION("""COMPUTED_VALUE"""),"Director of Events")</f>
        <v>Director of Events</v>
      </c>
      <c r="D371" s="16" t="str">
        <f>IFERROR(__xludf.DUMMYFUNCTION("""COMPUTED_VALUE"""),"Skopenow")</f>
        <v>Skopenow</v>
      </c>
      <c r="E371" s="16" t="str">
        <f>IFERROR(__xludf.DUMMYFUNCTION("""COMPUTED_VALUE"""),"Growth")</f>
        <v>Growth</v>
      </c>
      <c r="F371" s="16" t="str">
        <f>IFERROR(__xludf.DUMMYFUNCTION("""COMPUTED_VALUE"""),"melissa@skopenow.com")</f>
        <v>melissa@skopenow.com</v>
      </c>
      <c r="G371" s="16" t="str">
        <f>IFERROR(__xludf.DUMMYFUNCTION("""COMPUTED_VALUE"""),"Aaron Shaw")</f>
        <v>Aaron Shaw</v>
      </c>
      <c r="H371" s="16" t="str">
        <f>IFERROR(__xludf.DUMMYFUNCTION("""COMPUTED_VALUE"""),"PartnerConnect - Technology")</f>
        <v>PartnerConnect - Technology</v>
      </c>
      <c r="I371" s="16" t="str">
        <f>IFERROR(__xludf.DUMMYFUNCTION("""COMPUTED_VALUE"""),"12 East 49th")</f>
        <v>12 East 49th</v>
      </c>
      <c r="J371" s="16"/>
      <c r="K371" s="16" t="str">
        <f>IFERROR(__xludf.DUMMYFUNCTION("""COMPUTED_VALUE"""),"New York")</f>
        <v>New York</v>
      </c>
      <c r="L371" s="16" t="str">
        <f>IFERROR(__xludf.DUMMYFUNCTION("""COMPUTED_VALUE"""),"New York")</f>
        <v>New York</v>
      </c>
      <c r="M371" s="16">
        <f>IFERROR(__xludf.DUMMYFUNCTION("""COMPUTED_VALUE"""),10017.0)</f>
        <v>10017</v>
      </c>
      <c r="N371" s="16" t="str">
        <f>IFERROR(__xludf.DUMMYFUNCTION("""COMPUTED_VALUE"""),"United States")</f>
        <v>United States</v>
      </c>
      <c r="O371" s="16" t="str">
        <f>IFERROR(__xludf.DUMMYFUNCTION("""COMPUTED_VALUE"""),"Low")</f>
        <v>Low</v>
      </c>
      <c r="P371" s="16" t="b">
        <f>IFERROR(__xludf.DUMMYFUNCTION("""COMPUTED_VALUE"""),FALSE)</f>
        <v>0</v>
      </c>
      <c r="Q371" s="16" t="b">
        <f>IFERROR(__xludf.DUMMYFUNCTION("""COMPUTED_VALUE"""),TRUE)</f>
        <v>1</v>
      </c>
      <c r="R371" s="16" t="str">
        <f>IFERROR(__xludf.DUMMYFUNCTION("""COMPUTED_VALUE"""),"Events")</f>
        <v>Events</v>
      </c>
      <c r="S371" s="16" t="str">
        <f>IFERROR(__xludf.DUMMYFUNCTION("""COMPUTED_VALUE"""),"Skopenow")</f>
        <v>Skopenow</v>
      </c>
      <c r="T371" s="16" t="str">
        <f>IFERROR(__xludf.DUMMYFUNCTION("""COMPUTED_VALUE"""),"Current Partner")</f>
        <v>Current Partner</v>
      </c>
      <c r="U371" s="16" t="b">
        <f>IFERROR(__xludf.DUMMYFUNCTION("""COMPUTED_VALUE"""),FALSE)</f>
        <v>0</v>
      </c>
      <c r="V371" s="16"/>
      <c r="W371" s="16"/>
      <c r="X371" s="16"/>
    </row>
    <row r="372">
      <c r="A372" s="16" t="str">
        <f>IFERROR(__xludf.DUMMYFUNCTION("""COMPUTED_VALUE"""),"Anthony")</f>
        <v>Anthony</v>
      </c>
      <c r="B372" s="16" t="str">
        <f>IFERROR(__xludf.DUMMYFUNCTION("""COMPUTED_VALUE"""),"Winslow")</f>
        <v>Winslow</v>
      </c>
      <c r="C372" s="16" t="str">
        <f>IFERROR(__xludf.DUMMYFUNCTION("""COMPUTED_VALUE"""),"VP of Marketing")</f>
        <v>VP of Marketing</v>
      </c>
      <c r="D372" s="16" t="str">
        <f>IFERROR(__xludf.DUMMYFUNCTION("""COMPUTED_VALUE"""),"Skopenow")</f>
        <v>Skopenow</v>
      </c>
      <c r="E372" s="16" t="str">
        <f>IFERROR(__xludf.DUMMYFUNCTION("""COMPUTED_VALUE"""),"Growth")</f>
        <v>Growth</v>
      </c>
      <c r="F372" s="16" t="str">
        <f>IFERROR(__xludf.DUMMYFUNCTION("""COMPUTED_VALUE"""),"anthony@skopenow.com")</f>
        <v>anthony@skopenow.com</v>
      </c>
      <c r="G372" s="16" t="str">
        <f>IFERROR(__xludf.DUMMYFUNCTION("""COMPUTED_VALUE"""),"Aaron Shaw")</f>
        <v>Aaron Shaw</v>
      </c>
      <c r="H372" s="16" t="str">
        <f>IFERROR(__xludf.DUMMYFUNCTION("""COMPUTED_VALUE"""),"PartnerConnect - Technology")</f>
        <v>PartnerConnect - Technology</v>
      </c>
      <c r="I372" s="16" t="str">
        <f>IFERROR(__xludf.DUMMYFUNCTION("""COMPUTED_VALUE"""),"12 East 49th")</f>
        <v>12 East 49th</v>
      </c>
      <c r="J372" s="16"/>
      <c r="K372" s="16" t="str">
        <f>IFERROR(__xludf.DUMMYFUNCTION("""COMPUTED_VALUE"""),"New York")</f>
        <v>New York</v>
      </c>
      <c r="L372" s="16" t="str">
        <f>IFERROR(__xludf.DUMMYFUNCTION("""COMPUTED_VALUE"""),"New York")</f>
        <v>New York</v>
      </c>
      <c r="M372" s="16">
        <f>IFERROR(__xludf.DUMMYFUNCTION("""COMPUTED_VALUE"""),10017.0)</f>
        <v>10017</v>
      </c>
      <c r="N372" s="16" t="str">
        <f>IFERROR(__xludf.DUMMYFUNCTION("""COMPUTED_VALUE"""),"United States")</f>
        <v>United States</v>
      </c>
      <c r="O372" s="16" t="str">
        <f>IFERROR(__xludf.DUMMYFUNCTION("""COMPUTED_VALUE"""),"Low")</f>
        <v>Low</v>
      </c>
      <c r="P372" s="16" t="b">
        <f>IFERROR(__xludf.DUMMYFUNCTION("""COMPUTED_VALUE"""),FALSE)</f>
        <v>0</v>
      </c>
      <c r="Q372" s="16" t="b">
        <f>IFERROR(__xludf.DUMMYFUNCTION("""COMPUTED_VALUE"""),TRUE)</f>
        <v>1</v>
      </c>
      <c r="R372" s="16" t="str">
        <f>IFERROR(__xludf.DUMMYFUNCTION("""COMPUTED_VALUE"""),"Events, Marketing")</f>
        <v>Events, Marketing</v>
      </c>
      <c r="S372" s="16" t="str">
        <f>IFERROR(__xludf.DUMMYFUNCTION("""COMPUTED_VALUE"""),"Skopenow")</f>
        <v>Skopenow</v>
      </c>
      <c r="T372" s="16" t="str">
        <f>IFERROR(__xludf.DUMMYFUNCTION("""COMPUTED_VALUE"""),"Current Partner")</f>
        <v>Current Partner</v>
      </c>
      <c r="U372" s="16" t="b">
        <f>IFERROR(__xludf.DUMMYFUNCTION("""COMPUTED_VALUE"""),FALSE)</f>
        <v>0</v>
      </c>
      <c r="V372" s="16"/>
      <c r="W372" s="16"/>
      <c r="X372" s="16"/>
    </row>
    <row r="373">
      <c r="A373" s="16" t="str">
        <f>IFERROR(__xludf.DUMMYFUNCTION("""COMPUTED_VALUE"""),"Chuck")</f>
        <v>Chuck</v>
      </c>
      <c r="B373" s="16" t="str">
        <f>IFERROR(__xludf.DUMMYFUNCTION("""COMPUTED_VALUE"""),"Fazio")</f>
        <v>Fazio</v>
      </c>
      <c r="C373" s="16" t="str">
        <f>IFERROR(__xludf.DUMMYFUNCTION("""COMPUTED_VALUE"""),"VP Global Partners")</f>
        <v>VP Global Partners</v>
      </c>
      <c r="D373" s="16" t="str">
        <f>IFERROR(__xludf.DUMMYFUNCTION("""COMPUTED_VALUE"""),"SmartComms LLC")</f>
        <v>SmartComms LLC</v>
      </c>
      <c r="E373" s="16" t="str">
        <f>IFERROR(__xludf.DUMMYFUNCTION("""COMPUTED_VALUE"""),"Premier")</f>
        <v>Premier</v>
      </c>
      <c r="F373" s="16" t="str">
        <f>IFERROR(__xludf.DUMMYFUNCTION("""COMPUTED_VALUE"""),"cfazio@smartcommunications.com")</f>
        <v>cfazio@smartcommunications.com</v>
      </c>
      <c r="G373" s="16" t="str">
        <f>IFERROR(__xludf.DUMMYFUNCTION("""COMPUTED_VALUE"""),"Kelly Clayton")</f>
        <v>Kelly Clayton</v>
      </c>
      <c r="H373" s="16" t="str">
        <f>IFERROR(__xludf.DUMMYFUNCTION("""COMPUTED_VALUE"""),"PartnerConnect - Technology")</f>
        <v>PartnerConnect - Technology</v>
      </c>
      <c r="I373" s="16" t="str">
        <f>IFERROR(__xludf.DUMMYFUNCTION("""COMPUTED_VALUE"""),"18208 Preston Road")</f>
        <v>18208 Preston Road</v>
      </c>
      <c r="J373" s="16"/>
      <c r="K373" s="16" t="str">
        <f>IFERROR(__xludf.DUMMYFUNCTION("""COMPUTED_VALUE"""),"Dallas")</f>
        <v>Dallas</v>
      </c>
      <c r="L373" s="16" t="str">
        <f>IFERROR(__xludf.DUMMYFUNCTION("""COMPUTED_VALUE"""),"Texas")</f>
        <v>Texas</v>
      </c>
      <c r="M373" s="16">
        <f>IFERROR(__xludf.DUMMYFUNCTION("""COMPUTED_VALUE"""),75252.0)</f>
        <v>75252</v>
      </c>
      <c r="N373" s="16" t="str">
        <f>IFERROR(__xludf.DUMMYFUNCTION("""COMPUTED_VALUE"""),"United States")</f>
        <v>United States</v>
      </c>
      <c r="O373" s="16" t="str">
        <f>IFERROR(__xludf.DUMMYFUNCTION("""COMPUTED_VALUE"""),"Strategic")</f>
        <v>Strategic</v>
      </c>
      <c r="P373" s="16" t="b">
        <f>IFERROR(__xludf.DUMMYFUNCTION("""COMPUTED_VALUE"""),FALSE)</f>
        <v>0</v>
      </c>
      <c r="Q373" s="16" t="b">
        <f>IFERROR(__xludf.DUMMYFUNCTION("""COMPUTED_VALUE"""),TRUE)</f>
        <v>1</v>
      </c>
      <c r="R373" s="16" t="str">
        <f>IFERROR(__xludf.DUMMYFUNCTION("""COMPUTED_VALUE"""),"Admin, Business")</f>
        <v>Admin, Business</v>
      </c>
      <c r="S373" s="16" t="str">
        <f>IFERROR(__xludf.DUMMYFUNCTION("""COMPUTED_VALUE"""),"Smart Communications")</f>
        <v>Smart Communications</v>
      </c>
      <c r="T373" s="16" t="str">
        <f>IFERROR(__xludf.DUMMYFUNCTION("""COMPUTED_VALUE"""),"Current Partner")</f>
        <v>Current Partner</v>
      </c>
      <c r="U373" s="16" t="b">
        <f>IFERROR(__xludf.DUMMYFUNCTION("""COMPUTED_VALUE"""),FALSE)</f>
        <v>0</v>
      </c>
      <c r="V373" s="16"/>
      <c r="W373" s="16"/>
      <c r="X373" s="16"/>
    </row>
    <row r="374">
      <c r="A374" s="16" t="str">
        <f>IFERROR(__xludf.DUMMYFUNCTION("""COMPUTED_VALUE"""),"Cecilia")</f>
        <v>Cecilia</v>
      </c>
      <c r="B374" s="16" t="str">
        <f>IFERROR(__xludf.DUMMYFUNCTION("""COMPUTED_VALUE"""),"Chase")</f>
        <v>Chase</v>
      </c>
      <c r="C374" s="16"/>
      <c r="D374" s="16" t="str">
        <f>IFERROR(__xludf.DUMMYFUNCTION("""COMPUTED_VALUE"""),"SmartComms LLC")</f>
        <v>SmartComms LLC</v>
      </c>
      <c r="E374" s="16" t="str">
        <f>IFERROR(__xludf.DUMMYFUNCTION("""COMPUTED_VALUE"""),"Premier")</f>
        <v>Premier</v>
      </c>
      <c r="F374" s="16" t="str">
        <f>IFERROR(__xludf.DUMMYFUNCTION("""COMPUTED_VALUE"""),"cchase@smartcommunications.com")</f>
        <v>cchase@smartcommunications.com</v>
      </c>
      <c r="G374" s="16" t="str">
        <f>IFERROR(__xludf.DUMMYFUNCTION("""COMPUTED_VALUE"""),"Kelly Clayton")</f>
        <v>Kelly Clayton</v>
      </c>
      <c r="H374" s="16" t="str">
        <f>IFERROR(__xludf.DUMMYFUNCTION("""COMPUTED_VALUE"""),"PartnerConnect - Technology")</f>
        <v>PartnerConnect - Technology</v>
      </c>
      <c r="I374" s="16" t="str">
        <f>IFERROR(__xludf.DUMMYFUNCTION("""COMPUTED_VALUE"""),"18208 Preston Rd, STE D9 #350")</f>
        <v>18208 Preston Rd, STE D9 #350</v>
      </c>
      <c r="J374" s="16"/>
      <c r="K374" s="16" t="str">
        <f>IFERROR(__xludf.DUMMYFUNCTION("""COMPUTED_VALUE"""),"Dallas")</f>
        <v>Dallas</v>
      </c>
      <c r="L374" s="16" t="str">
        <f>IFERROR(__xludf.DUMMYFUNCTION("""COMPUTED_VALUE"""),"Texas")</f>
        <v>Texas</v>
      </c>
      <c r="M374" s="16">
        <f>IFERROR(__xludf.DUMMYFUNCTION("""COMPUTED_VALUE"""),75252.0)</f>
        <v>75252</v>
      </c>
      <c r="N374" s="16" t="str">
        <f>IFERROR(__xludf.DUMMYFUNCTION("""COMPUTED_VALUE"""),"United States")</f>
        <v>United States</v>
      </c>
      <c r="O374" s="16" t="str">
        <f>IFERROR(__xludf.DUMMYFUNCTION("""COMPUTED_VALUE"""),"Strategic")</f>
        <v>Strategic</v>
      </c>
      <c r="P374" s="16" t="b">
        <f>IFERROR(__xludf.DUMMYFUNCTION("""COMPUTED_VALUE"""),FALSE)</f>
        <v>0</v>
      </c>
      <c r="Q374" s="16" t="b">
        <f>IFERROR(__xludf.DUMMYFUNCTION("""COMPUTED_VALUE"""),TRUE)</f>
        <v>1</v>
      </c>
      <c r="R374" s="16" t="str">
        <f>IFERROR(__xludf.DUMMYFUNCTION("""COMPUTED_VALUE"""),"Events")</f>
        <v>Events</v>
      </c>
      <c r="S374" s="16" t="str">
        <f>IFERROR(__xludf.DUMMYFUNCTION("""COMPUTED_VALUE"""),"Smart Communications")</f>
        <v>Smart Communications</v>
      </c>
      <c r="T374" s="16" t="str">
        <f>IFERROR(__xludf.DUMMYFUNCTION("""COMPUTED_VALUE"""),"Current Partner")</f>
        <v>Current Partner</v>
      </c>
      <c r="U374" s="16" t="b">
        <f>IFERROR(__xludf.DUMMYFUNCTION("""COMPUTED_VALUE"""),FALSE)</f>
        <v>0</v>
      </c>
      <c r="V374" s="16"/>
      <c r="W374" s="16"/>
      <c r="X374" s="16"/>
    </row>
    <row r="375">
      <c r="A375" s="16" t="str">
        <f>IFERROR(__xludf.DUMMYFUNCTION("""COMPUTED_VALUE"""),"Maurice")</f>
        <v>Maurice</v>
      </c>
      <c r="B375" s="16" t="str">
        <f>IFERROR(__xludf.DUMMYFUNCTION("""COMPUTED_VALUE"""),"Bastidas")</f>
        <v>Bastidas</v>
      </c>
      <c r="C375" s="16" t="str">
        <f>IFERROR(__xludf.DUMMYFUNCTION("""COMPUTED_VALUE"""),"Sr. Director, Strategic Partnerships")</f>
        <v>Sr. Director, Strategic Partnerships</v>
      </c>
      <c r="D375" s="16" t="str">
        <f>IFERROR(__xludf.DUMMYFUNCTION("""COMPUTED_VALUE"""),"SmartComms LLC")</f>
        <v>SmartComms LLC</v>
      </c>
      <c r="E375" s="16" t="str">
        <f>IFERROR(__xludf.DUMMYFUNCTION("""COMPUTED_VALUE"""),"Premier")</f>
        <v>Premier</v>
      </c>
      <c r="F375" s="16" t="str">
        <f>IFERROR(__xludf.DUMMYFUNCTION("""COMPUTED_VALUE"""),"mbastidas@smartcommunications.com")</f>
        <v>mbastidas@smartcommunications.com</v>
      </c>
      <c r="G375" s="16" t="str">
        <f>IFERROR(__xludf.DUMMYFUNCTION("""COMPUTED_VALUE"""),"Kelly Clayton")</f>
        <v>Kelly Clayton</v>
      </c>
      <c r="H375" s="16" t="str">
        <f>IFERROR(__xludf.DUMMYFUNCTION("""COMPUTED_VALUE"""),"PartnerConnect - Technology")</f>
        <v>PartnerConnect - Technology</v>
      </c>
      <c r="I375" s="16" t="str">
        <f>IFERROR(__xludf.DUMMYFUNCTION("""COMPUTED_VALUE"""),"18106 S.W. 29th St.")</f>
        <v>18106 S.W. 29th St.</v>
      </c>
      <c r="J375" s="16"/>
      <c r="K375" s="16" t="str">
        <f>IFERROR(__xludf.DUMMYFUNCTION("""COMPUTED_VALUE"""),"Miramar")</f>
        <v>Miramar</v>
      </c>
      <c r="L375" s="16" t="str">
        <f>IFERROR(__xludf.DUMMYFUNCTION("""COMPUTED_VALUE"""),"Florida")</f>
        <v>Florida</v>
      </c>
      <c r="M375" s="16">
        <f>IFERROR(__xludf.DUMMYFUNCTION("""COMPUTED_VALUE"""),33029.0)</f>
        <v>33029</v>
      </c>
      <c r="N375" s="16" t="str">
        <f>IFERROR(__xludf.DUMMYFUNCTION("""COMPUTED_VALUE"""),"United States")</f>
        <v>United States</v>
      </c>
      <c r="O375" s="16" t="str">
        <f>IFERROR(__xludf.DUMMYFUNCTION("""COMPUTED_VALUE"""),"Strategic")</f>
        <v>Strategic</v>
      </c>
      <c r="P375" s="16" t="b">
        <f>IFERROR(__xludf.DUMMYFUNCTION("""COMPUTED_VALUE"""),TRUE)</f>
        <v>1</v>
      </c>
      <c r="Q375" s="16" t="b">
        <f>IFERROR(__xludf.DUMMYFUNCTION("""COMPUTED_VALUE"""),FALSE)</f>
        <v>0</v>
      </c>
      <c r="R375" s="16" t="str">
        <f>IFERROR(__xludf.DUMMYFUNCTION("""COMPUTED_VALUE"""),"Admin, Support")</f>
        <v>Admin, Support</v>
      </c>
      <c r="S375" s="16" t="str">
        <f>IFERROR(__xludf.DUMMYFUNCTION("""COMPUTED_VALUE"""),"Smart Communications")</f>
        <v>Smart Communications</v>
      </c>
      <c r="T375" s="16" t="str">
        <f>IFERROR(__xludf.DUMMYFUNCTION("""COMPUTED_VALUE"""),"Current Partner")</f>
        <v>Current Partner</v>
      </c>
      <c r="U375" s="16" t="b">
        <f>IFERROR(__xludf.DUMMYFUNCTION("""COMPUTED_VALUE"""),FALSE)</f>
        <v>0</v>
      </c>
      <c r="V375" s="16"/>
      <c r="W375" s="16"/>
      <c r="X375" s="16"/>
    </row>
    <row r="376">
      <c r="A376" s="16" t="str">
        <f>IFERROR(__xludf.DUMMYFUNCTION("""COMPUTED_VALUE"""),"Ryan")</f>
        <v>Ryan</v>
      </c>
      <c r="B376" s="16" t="str">
        <f>IFERROR(__xludf.DUMMYFUNCTION("""COMPUTED_VALUE"""),"Muir")</f>
        <v>Muir</v>
      </c>
      <c r="C376" s="16" t="str">
        <f>IFERROR(__xludf.DUMMYFUNCTION("""COMPUTED_VALUE"""),"Sr. Product Marketing Manager")</f>
        <v>Sr. Product Marketing Manager</v>
      </c>
      <c r="D376" s="16" t="str">
        <f>IFERROR(__xludf.DUMMYFUNCTION("""COMPUTED_VALUE"""),"Smarty, LLC")</f>
        <v>Smarty, LLC</v>
      </c>
      <c r="E376" s="16" t="str">
        <f>IFERROR(__xludf.DUMMYFUNCTION("""COMPUTED_VALUE"""),"Advantage")</f>
        <v>Advantage</v>
      </c>
      <c r="F376" s="16" t="str">
        <f>IFERROR(__xludf.DUMMYFUNCTION("""COMPUTED_VALUE"""),"ryan.muir@smarty.com")</f>
        <v>ryan.muir@smarty.com</v>
      </c>
      <c r="G376" s="16" t="str">
        <f>IFERROR(__xludf.DUMMYFUNCTION("""COMPUTED_VALUE"""),"Tim Kennedy")</f>
        <v>Tim Kennedy</v>
      </c>
      <c r="H376" s="16" t="str">
        <f>IFERROR(__xludf.DUMMYFUNCTION("""COMPUTED_VALUE"""),"PartnerConnect - Technology")</f>
        <v>PartnerConnect - Technology</v>
      </c>
      <c r="I376" s="16" t="str">
        <f>IFERROR(__xludf.DUMMYFUNCTION("""COMPUTED_VALUE"""),"1476 Sandhill Rd")</f>
        <v>1476 Sandhill Rd</v>
      </c>
      <c r="J376" s="16"/>
      <c r="K376" s="16" t="str">
        <f>IFERROR(__xludf.DUMMYFUNCTION("""COMPUTED_VALUE"""),"Orem")</f>
        <v>Orem</v>
      </c>
      <c r="L376" s="16" t="str">
        <f>IFERROR(__xludf.DUMMYFUNCTION("""COMPUTED_VALUE"""),"Utah")</f>
        <v>Utah</v>
      </c>
      <c r="M376" s="16">
        <f>IFERROR(__xludf.DUMMYFUNCTION("""COMPUTED_VALUE"""),84058.0)</f>
        <v>84058</v>
      </c>
      <c r="N376" s="16" t="str">
        <f>IFERROR(__xludf.DUMMYFUNCTION("""COMPUTED_VALUE"""),"United States")</f>
        <v>United States</v>
      </c>
      <c r="O376" s="16" t="str">
        <f>IFERROR(__xludf.DUMMYFUNCTION("""COMPUTED_VALUE"""),"Medium")</f>
        <v>Medium</v>
      </c>
      <c r="P376" s="16" t="b">
        <f>IFERROR(__xludf.DUMMYFUNCTION("""COMPUTED_VALUE"""),FALSE)</f>
        <v>0</v>
      </c>
      <c r="Q376" s="16" t="b">
        <f>IFERROR(__xludf.DUMMYFUNCTION("""COMPUTED_VALUE"""),TRUE)</f>
        <v>1</v>
      </c>
      <c r="R376" s="16" t="str">
        <f>IFERROR(__xludf.DUMMYFUNCTION("""COMPUTED_VALUE"""),"Admin")</f>
        <v>Admin</v>
      </c>
      <c r="S376" s="16" t="str">
        <f>IFERROR(__xludf.DUMMYFUNCTION("""COMPUTED_VALUE"""),"Smarty")</f>
        <v>Smarty</v>
      </c>
      <c r="T376" s="16" t="str">
        <f>IFERROR(__xludf.DUMMYFUNCTION("""COMPUTED_VALUE"""),"Current Partner")</f>
        <v>Current Partner</v>
      </c>
      <c r="U376" s="16" t="b">
        <f>IFERROR(__xludf.DUMMYFUNCTION("""COMPUTED_VALUE"""),FALSE)</f>
        <v>0</v>
      </c>
      <c r="V376" s="16"/>
      <c r="W376" s="16"/>
      <c r="X376" s="16"/>
    </row>
    <row r="377">
      <c r="A377" s="16" t="str">
        <f>IFERROR(__xludf.DUMMYFUNCTION("""COMPUTED_VALUE"""),"Eric")</f>
        <v>Eric</v>
      </c>
      <c r="B377" s="16" t="str">
        <f>IFERROR(__xludf.DUMMYFUNCTION("""COMPUTED_VALUE"""),"Jones")</f>
        <v>Jones</v>
      </c>
      <c r="C377" s="16" t="str">
        <f>IFERROR(__xludf.DUMMYFUNCTION("""COMPUTED_VALUE"""),"Campaign Marketing Manager")</f>
        <v>Campaign Marketing Manager</v>
      </c>
      <c r="D377" s="16" t="str">
        <f>IFERROR(__xludf.DUMMYFUNCTION("""COMPUTED_VALUE"""),"Smarty, LLC")</f>
        <v>Smarty, LLC</v>
      </c>
      <c r="E377" s="16" t="str">
        <f>IFERROR(__xludf.DUMMYFUNCTION("""COMPUTED_VALUE"""),"Advantage")</f>
        <v>Advantage</v>
      </c>
      <c r="F377" s="16" t="str">
        <f>IFERROR(__xludf.DUMMYFUNCTION("""COMPUTED_VALUE"""),"eric.jones@smarty.com")</f>
        <v>eric.jones@smarty.com</v>
      </c>
      <c r="G377" s="16" t="str">
        <f>IFERROR(__xludf.DUMMYFUNCTION("""COMPUTED_VALUE"""),"Tim Kennedy")</f>
        <v>Tim Kennedy</v>
      </c>
      <c r="H377" s="16" t="str">
        <f>IFERROR(__xludf.DUMMYFUNCTION("""COMPUTED_VALUE"""),"PartnerConnect - Technology")</f>
        <v>PartnerConnect - Technology</v>
      </c>
      <c r="I377" s="16"/>
      <c r="J377" s="16"/>
      <c r="K377" s="16"/>
      <c r="L377" s="16"/>
      <c r="M377" s="16"/>
      <c r="N377" s="16" t="str">
        <f>IFERROR(__xludf.DUMMYFUNCTION("""COMPUTED_VALUE"""),"United States")</f>
        <v>United States</v>
      </c>
      <c r="O377" s="16" t="str">
        <f>IFERROR(__xludf.DUMMYFUNCTION("""COMPUTED_VALUE"""),"Medium")</f>
        <v>Medium</v>
      </c>
      <c r="P377" s="16" t="b">
        <f>IFERROR(__xludf.DUMMYFUNCTION("""COMPUTED_VALUE"""),FALSE)</f>
        <v>0</v>
      </c>
      <c r="Q377" s="16" t="b">
        <f>IFERROR(__xludf.DUMMYFUNCTION("""COMPUTED_VALUE"""),TRUE)</f>
        <v>1</v>
      </c>
      <c r="R377" s="16" t="str">
        <f>IFERROR(__xludf.DUMMYFUNCTION("""COMPUTED_VALUE"""),"Marketing")</f>
        <v>Marketing</v>
      </c>
      <c r="S377" s="16" t="str">
        <f>IFERROR(__xludf.DUMMYFUNCTION("""COMPUTED_VALUE"""),"Smarty")</f>
        <v>Smarty</v>
      </c>
      <c r="T377" s="16" t="str">
        <f>IFERROR(__xludf.DUMMYFUNCTION("""COMPUTED_VALUE"""),"Current Partner")</f>
        <v>Current Partner</v>
      </c>
      <c r="U377" s="16" t="b">
        <f>IFERROR(__xludf.DUMMYFUNCTION("""COMPUTED_VALUE"""),FALSE)</f>
        <v>0</v>
      </c>
      <c r="V377" s="16"/>
      <c r="W377" s="16"/>
      <c r="X377" s="16"/>
    </row>
    <row r="378">
      <c r="A378" s="16" t="str">
        <f>IFERROR(__xludf.DUMMYFUNCTION("""COMPUTED_VALUE"""),"Trevor")</f>
        <v>Trevor</v>
      </c>
      <c r="B378" s="16" t="str">
        <f>IFERROR(__xludf.DUMMYFUNCTION("""COMPUTED_VALUE"""),"Toolson")</f>
        <v>Toolson</v>
      </c>
      <c r="C378" s="16" t="str">
        <f>IFERROR(__xludf.DUMMYFUNCTION("""COMPUTED_VALUE"""),"Account Executive")</f>
        <v>Account Executive</v>
      </c>
      <c r="D378" s="16" t="str">
        <f>IFERROR(__xludf.DUMMYFUNCTION("""COMPUTED_VALUE"""),"Smarty, LLC")</f>
        <v>Smarty, LLC</v>
      </c>
      <c r="E378" s="16" t="str">
        <f>IFERROR(__xludf.DUMMYFUNCTION("""COMPUTED_VALUE"""),"Advantage")</f>
        <v>Advantage</v>
      </c>
      <c r="F378" s="16" t="str">
        <f>IFERROR(__xludf.DUMMYFUNCTION("""COMPUTED_VALUE"""),"trevor@smarty.com")</f>
        <v>trevor@smarty.com</v>
      </c>
      <c r="G378" s="16" t="str">
        <f>IFERROR(__xludf.DUMMYFUNCTION("""COMPUTED_VALUE"""),"Tim Kennedy")</f>
        <v>Tim Kennedy</v>
      </c>
      <c r="H378" s="16" t="str">
        <f>IFERROR(__xludf.DUMMYFUNCTION("""COMPUTED_VALUE"""),"PartnerConnect - Technology")</f>
        <v>PartnerConnect - Technology</v>
      </c>
      <c r="I378" s="16" t="str">
        <f>IFERROR(__xludf.DUMMYFUNCTION("""COMPUTED_VALUE"""),"1476 Sandhill Rd")</f>
        <v>1476 Sandhill Rd</v>
      </c>
      <c r="J378" s="16"/>
      <c r="K378" s="16" t="str">
        <f>IFERROR(__xludf.DUMMYFUNCTION("""COMPUTED_VALUE"""),"Orem")</f>
        <v>Orem</v>
      </c>
      <c r="L378" s="16" t="str">
        <f>IFERROR(__xludf.DUMMYFUNCTION("""COMPUTED_VALUE"""),"Utah")</f>
        <v>Utah</v>
      </c>
      <c r="M378" s="16">
        <f>IFERROR(__xludf.DUMMYFUNCTION("""COMPUTED_VALUE"""),84058.0)</f>
        <v>84058</v>
      </c>
      <c r="N378" s="16" t="str">
        <f>IFERROR(__xludf.DUMMYFUNCTION("""COMPUTED_VALUE"""),"United States")</f>
        <v>United States</v>
      </c>
      <c r="O378" s="16" t="str">
        <f>IFERROR(__xludf.DUMMYFUNCTION("""COMPUTED_VALUE"""),"Medium")</f>
        <v>Medium</v>
      </c>
      <c r="P378" s="16" t="b">
        <f>IFERROR(__xludf.DUMMYFUNCTION("""COMPUTED_VALUE"""),TRUE)</f>
        <v>1</v>
      </c>
      <c r="Q378" s="16" t="b">
        <f>IFERROR(__xludf.DUMMYFUNCTION("""COMPUTED_VALUE"""),TRUE)</f>
        <v>1</v>
      </c>
      <c r="R378" s="16" t="str">
        <f>IFERROR(__xludf.DUMMYFUNCTION("""COMPUTED_VALUE"""),"Admin, Business, Marketing, NPE User, Client Partner / Partner Account Executive")</f>
        <v>Admin, Business, Marketing, NPE User, Client Partner / Partner Account Executive</v>
      </c>
      <c r="S378" s="16" t="str">
        <f>IFERROR(__xludf.DUMMYFUNCTION("""COMPUTED_VALUE"""),"Smarty")</f>
        <v>Smarty</v>
      </c>
      <c r="T378" s="16" t="str">
        <f>IFERROR(__xludf.DUMMYFUNCTION("""COMPUTED_VALUE"""),"Current Partner")</f>
        <v>Current Partner</v>
      </c>
      <c r="U378" s="16" t="b">
        <f>IFERROR(__xludf.DUMMYFUNCTION("""COMPUTED_VALUE"""),TRUE)</f>
        <v>1</v>
      </c>
      <c r="V378" s="16"/>
      <c r="W378" s="16"/>
      <c r="X378" s="16"/>
    </row>
    <row r="379">
      <c r="A379" s="16" t="str">
        <f>IFERROR(__xludf.DUMMYFUNCTION("""COMPUTED_VALUE"""),"Holly")</f>
        <v>Holly</v>
      </c>
      <c r="B379" s="16" t="str">
        <f>IFERROR(__xludf.DUMMYFUNCTION("""COMPUTED_VALUE"""),"Joyce")</f>
        <v>Joyce</v>
      </c>
      <c r="C379" s="16"/>
      <c r="D379" s="16" t="str">
        <f>IFERROR(__xludf.DUMMYFUNCTION("""COMPUTED_VALUE"""),"Smarty, LLC")</f>
        <v>Smarty, LLC</v>
      </c>
      <c r="E379" s="16" t="str">
        <f>IFERROR(__xludf.DUMMYFUNCTION("""COMPUTED_VALUE"""),"Advantage")</f>
        <v>Advantage</v>
      </c>
      <c r="F379" s="16" t="str">
        <f>IFERROR(__xludf.DUMMYFUNCTION("""COMPUTED_VALUE"""),"holly@smarty.com")</f>
        <v>holly@smarty.com</v>
      </c>
      <c r="G379" s="16" t="str">
        <f>IFERROR(__xludf.DUMMYFUNCTION("""COMPUTED_VALUE"""),"Tim Kennedy")</f>
        <v>Tim Kennedy</v>
      </c>
      <c r="H379" s="16" t="str">
        <f>IFERROR(__xludf.DUMMYFUNCTION("""COMPUTED_VALUE"""),"PartnerConnect - Technology")</f>
        <v>PartnerConnect - Technology</v>
      </c>
      <c r="I379" s="16" t="str">
        <f>IFERROR(__xludf.DUMMYFUNCTION("""COMPUTED_VALUE"""),"3214 N University Ave, #409")</f>
        <v>3214 N University Ave, #409</v>
      </c>
      <c r="J379" s="16"/>
      <c r="K379" s="16" t="str">
        <f>IFERROR(__xludf.DUMMYFUNCTION("""COMPUTED_VALUE"""),"Provo")</f>
        <v>Provo</v>
      </c>
      <c r="L379" s="16" t="str">
        <f>IFERROR(__xludf.DUMMYFUNCTION("""COMPUTED_VALUE"""),"Utah")</f>
        <v>Utah</v>
      </c>
      <c r="M379" s="16">
        <f>IFERROR(__xludf.DUMMYFUNCTION("""COMPUTED_VALUE"""),84604.0)</f>
        <v>84604</v>
      </c>
      <c r="N379" s="16" t="str">
        <f>IFERROR(__xludf.DUMMYFUNCTION("""COMPUTED_VALUE"""),"United States")</f>
        <v>United States</v>
      </c>
      <c r="O379" s="16" t="str">
        <f>IFERROR(__xludf.DUMMYFUNCTION("""COMPUTED_VALUE"""),"Medium")</f>
        <v>Medium</v>
      </c>
      <c r="P379" s="16" t="b">
        <f>IFERROR(__xludf.DUMMYFUNCTION("""COMPUTED_VALUE"""),FALSE)</f>
        <v>0</v>
      </c>
      <c r="Q379" s="16" t="b">
        <f>IFERROR(__xludf.DUMMYFUNCTION("""COMPUTED_VALUE"""),TRUE)</f>
        <v>1</v>
      </c>
      <c r="R379" s="16" t="str">
        <f>IFERROR(__xludf.DUMMYFUNCTION("""COMPUTED_VALUE"""),"Marketing")</f>
        <v>Marketing</v>
      </c>
      <c r="S379" s="16" t="str">
        <f>IFERROR(__xludf.DUMMYFUNCTION("""COMPUTED_VALUE"""),"Smarty")</f>
        <v>Smarty</v>
      </c>
      <c r="T379" s="16" t="str">
        <f>IFERROR(__xludf.DUMMYFUNCTION("""COMPUTED_VALUE"""),"Current Partner")</f>
        <v>Current Partner</v>
      </c>
      <c r="U379" s="16" t="b">
        <f>IFERROR(__xludf.DUMMYFUNCTION("""COMPUTED_VALUE"""),FALSE)</f>
        <v>0</v>
      </c>
      <c r="V379" s="16"/>
      <c r="W379" s="16"/>
      <c r="X379" s="16"/>
    </row>
    <row r="380">
      <c r="A380" s="16" t="str">
        <f>IFERROR(__xludf.DUMMYFUNCTION("""COMPUTED_VALUE"""),"Matt")</f>
        <v>Matt</v>
      </c>
      <c r="B380" s="16" t="str">
        <f>IFERROR(__xludf.DUMMYFUNCTION("""COMPUTED_VALUE"""),"Sulkis")</f>
        <v>Sulkis</v>
      </c>
      <c r="C380" s="16" t="str">
        <f>IFERROR(__xludf.DUMMYFUNCTION("""COMPUTED_VALUE"""),"Partner Development Manager")</f>
        <v>Partner Development Manager</v>
      </c>
      <c r="D380" s="16" t="str">
        <f>IFERROR(__xludf.DUMMYFUNCTION("""COMPUTED_VALUE"""),"Snowflake")</f>
        <v>Snowflake</v>
      </c>
      <c r="E380" s="16" t="str">
        <f>IFERROR(__xludf.DUMMYFUNCTION("""COMPUTED_VALUE"""),"Growth")</f>
        <v>Growth</v>
      </c>
      <c r="F380" s="16" t="str">
        <f>IFERROR(__xludf.DUMMYFUNCTION("""COMPUTED_VALUE"""),"matt.sulkis@snowflake.com")</f>
        <v>matt.sulkis@snowflake.com</v>
      </c>
      <c r="G380" s="16" t="str">
        <f>IFERROR(__xludf.DUMMYFUNCTION("""COMPUTED_VALUE"""),"Paul Harper")</f>
        <v>Paul Harper</v>
      </c>
      <c r="H380" s="16" t="str">
        <f>IFERROR(__xludf.DUMMYFUNCTION("""COMPUTED_VALUE"""),"PartnerConnect - Technology")</f>
        <v>PartnerConnect - Technology</v>
      </c>
      <c r="I380" s="16" t="str">
        <f>IFERROR(__xludf.DUMMYFUNCTION("""COMPUTED_VALUE"""),"106 East Babcock Street, Suite 3A")</f>
        <v>106 East Babcock Street, Suite 3A</v>
      </c>
      <c r="J380" s="16"/>
      <c r="K380" s="16" t="str">
        <f>IFERROR(__xludf.DUMMYFUNCTION("""COMPUTED_VALUE"""),"Bozeman")</f>
        <v>Bozeman</v>
      </c>
      <c r="L380" s="16" t="str">
        <f>IFERROR(__xludf.DUMMYFUNCTION("""COMPUTED_VALUE"""),"Montana")</f>
        <v>Montana</v>
      </c>
      <c r="M380" s="16">
        <f>IFERROR(__xludf.DUMMYFUNCTION("""COMPUTED_VALUE"""),59715.0)</f>
        <v>59715</v>
      </c>
      <c r="N380" s="16" t="str">
        <f>IFERROR(__xludf.DUMMYFUNCTION("""COMPUTED_VALUE"""),"United States")</f>
        <v>United States</v>
      </c>
      <c r="O380" s="16" t="str">
        <f>IFERROR(__xludf.DUMMYFUNCTION("""COMPUTED_VALUE"""),"High")</f>
        <v>High</v>
      </c>
      <c r="P380" s="16" t="b">
        <f>IFERROR(__xludf.DUMMYFUNCTION("""COMPUTED_VALUE"""),TRUE)</f>
        <v>1</v>
      </c>
      <c r="Q380" s="16" t="b">
        <f>IFERROR(__xludf.DUMMYFUNCTION("""COMPUTED_VALUE"""),FALSE)</f>
        <v>0</v>
      </c>
      <c r="R380" s="16" t="str">
        <f>IFERROR(__xludf.DUMMYFUNCTION("""COMPUTED_VALUE"""),"Admin, Training")</f>
        <v>Admin, Training</v>
      </c>
      <c r="S380" s="16" t="str">
        <f>IFERROR(__xludf.DUMMYFUNCTION("""COMPUTED_VALUE"""),"Snowflake")</f>
        <v>Snowflake</v>
      </c>
      <c r="T380" s="16" t="str">
        <f>IFERROR(__xludf.DUMMYFUNCTION("""COMPUTED_VALUE"""),"Current Partner")</f>
        <v>Current Partner</v>
      </c>
      <c r="U380" s="16" t="b">
        <f>IFERROR(__xludf.DUMMYFUNCTION("""COMPUTED_VALUE"""),FALSE)</f>
        <v>0</v>
      </c>
      <c r="V380" s="16"/>
      <c r="W380" s="16"/>
      <c r="X380" s="16"/>
    </row>
    <row r="381">
      <c r="A381" s="16" t="str">
        <f>IFERROR(__xludf.DUMMYFUNCTION("""COMPUTED_VALUE"""),"Nick")</f>
        <v>Nick</v>
      </c>
      <c r="B381" s="16" t="str">
        <f>IFERROR(__xludf.DUMMYFUNCTION("""COMPUTED_VALUE"""),"Brundula")</f>
        <v>Brundula</v>
      </c>
      <c r="C381" s="16" t="str">
        <f>IFERROR(__xludf.DUMMYFUNCTION("""COMPUTED_VALUE"""),"EVP Operations")</f>
        <v>EVP Operations</v>
      </c>
      <c r="D381" s="16" t="str">
        <f>IFERROR(__xludf.DUMMYFUNCTION("""COMPUTED_VALUE"""),"Social Discovery Corp.")</f>
        <v>Social Discovery Corp.</v>
      </c>
      <c r="E381" s="16" t="str">
        <f>IFERROR(__xludf.DUMMYFUNCTION("""COMPUTED_VALUE"""),"Growth")</f>
        <v>Growth</v>
      </c>
      <c r="F381" s="16" t="str">
        <f>IFERROR(__xludf.DUMMYFUNCTION("""COMPUTED_VALUE"""),"nick@socialdiscoverycorp.com")</f>
        <v>nick@socialdiscoverycorp.com</v>
      </c>
      <c r="G381" s="16" t="str">
        <f>IFERROR(__xludf.DUMMYFUNCTION("""COMPUTED_VALUE"""),"Rod Gowin")</f>
        <v>Rod Gowin</v>
      </c>
      <c r="H381" s="16" t="str">
        <f>IFERROR(__xludf.DUMMYFUNCTION("""COMPUTED_VALUE"""),"PartnerConnect - Technology")</f>
        <v>PartnerConnect - Technology</v>
      </c>
      <c r="I381" s="16"/>
      <c r="J381" s="16"/>
      <c r="K381" s="16"/>
      <c r="L381" s="16"/>
      <c r="M381" s="16"/>
      <c r="N381" s="16" t="str">
        <f>IFERROR(__xludf.DUMMYFUNCTION("""COMPUTED_VALUE"""),"United States")</f>
        <v>United States</v>
      </c>
      <c r="O381" s="16" t="str">
        <f>IFERROR(__xludf.DUMMYFUNCTION("""COMPUTED_VALUE"""),"Medium")</f>
        <v>Medium</v>
      </c>
      <c r="P381" s="16" t="b">
        <f>IFERROR(__xludf.DUMMYFUNCTION("""COMPUTED_VALUE"""),FALSE)</f>
        <v>0</v>
      </c>
      <c r="Q381" s="16" t="b">
        <f>IFERROR(__xludf.DUMMYFUNCTION("""COMPUTED_VALUE"""),TRUE)</f>
        <v>1</v>
      </c>
      <c r="R381" s="16" t="str">
        <f>IFERROR(__xludf.DUMMYFUNCTION("""COMPUTED_VALUE"""),"Support, Technical, NPE User")</f>
        <v>Support, Technical, NPE User</v>
      </c>
      <c r="S381" s="16" t="str">
        <f>IFERROR(__xludf.DUMMYFUNCTION("""COMPUTED_VALUE"""),"Social Discovery")</f>
        <v>Social Discovery</v>
      </c>
      <c r="T381" s="16" t="str">
        <f>IFERROR(__xludf.DUMMYFUNCTION("""COMPUTED_VALUE"""),"Current Partner")</f>
        <v>Current Partner</v>
      </c>
      <c r="U381" s="16" t="b">
        <f>IFERROR(__xludf.DUMMYFUNCTION("""COMPUTED_VALUE"""),TRUE)</f>
        <v>1</v>
      </c>
      <c r="V381" s="16"/>
      <c r="W381" s="16"/>
      <c r="X381" s="16"/>
    </row>
    <row r="382">
      <c r="A382" s="16" t="str">
        <f>IFERROR(__xludf.DUMMYFUNCTION("""COMPUTED_VALUE"""),"Allan")</f>
        <v>Allan</v>
      </c>
      <c r="B382" s="16" t="str">
        <f>IFERROR(__xludf.DUMMYFUNCTION("""COMPUTED_VALUE"""),"Stark")</f>
        <v>Stark</v>
      </c>
      <c r="C382" s="16" t="str">
        <f>IFERROR(__xludf.DUMMYFUNCTION("""COMPUTED_VALUE"""),"CEO")</f>
        <v>CEO</v>
      </c>
      <c r="D382" s="16" t="str">
        <f>IFERROR(__xludf.DUMMYFUNCTION("""COMPUTED_VALUE"""),"Social Discovery Corp.")</f>
        <v>Social Discovery Corp.</v>
      </c>
      <c r="E382" s="16" t="str">
        <f>IFERROR(__xludf.DUMMYFUNCTION("""COMPUTED_VALUE"""),"Growth")</f>
        <v>Growth</v>
      </c>
      <c r="F382" s="16" t="str">
        <f>IFERROR(__xludf.DUMMYFUNCTION("""COMPUTED_VALUE"""),"allan@socialdiscoverycorp.com")</f>
        <v>allan@socialdiscoverycorp.com</v>
      </c>
      <c r="G382" s="16" t="str">
        <f>IFERROR(__xludf.DUMMYFUNCTION("""COMPUTED_VALUE"""),"Rod Gowin")</f>
        <v>Rod Gowin</v>
      </c>
      <c r="H382" s="16" t="str">
        <f>IFERROR(__xludf.DUMMYFUNCTION("""COMPUTED_VALUE"""),"PartnerConnect - Technology")</f>
        <v>PartnerConnect - Technology</v>
      </c>
      <c r="I382" s="16" t="str">
        <f>IFERROR(__xludf.DUMMYFUNCTION("""COMPUTED_VALUE"""),"7804C Fairview Rd")</f>
        <v>7804C Fairview Rd</v>
      </c>
      <c r="J382" s="16"/>
      <c r="K382" s="16" t="str">
        <f>IFERROR(__xludf.DUMMYFUNCTION("""COMPUTED_VALUE"""),"Charlotte")</f>
        <v>Charlotte</v>
      </c>
      <c r="L382" s="16" t="str">
        <f>IFERROR(__xludf.DUMMYFUNCTION("""COMPUTED_VALUE"""),"North Carolina")</f>
        <v>North Carolina</v>
      </c>
      <c r="M382" s="16">
        <f>IFERROR(__xludf.DUMMYFUNCTION("""COMPUTED_VALUE"""),28226.0)</f>
        <v>28226</v>
      </c>
      <c r="N382" s="16" t="str">
        <f>IFERROR(__xludf.DUMMYFUNCTION("""COMPUTED_VALUE"""),"United States")</f>
        <v>United States</v>
      </c>
      <c r="O382" s="16" t="str">
        <f>IFERROR(__xludf.DUMMYFUNCTION("""COMPUTED_VALUE"""),"Medium")</f>
        <v>Medium</v>
      </c>
      <c r="P382" s="16" t="b">
        <f>IFERROR(__xludf.DUMMYFUNCTION("""COMPUTED_VALUE"""),FALSE)</f>
        <v>0</v>
      </c>
      <c r="Q382" s="16" t="b">
        <f>IFERROR(__xludf.DUMMYFUNCTION("""COMPUTED_VALUE"""),TRUE)</f>
        <v>1</v>
      </c>
      <c r="R382" s="16" t="str">
        <f>IFERROR(__xludf.DUMMYFUNCTION("""COMPUTED_VALUE"""),"Admin, Business, Marketing, Client Partner / Partner Account Executive")</f>
        <v>Admin, Business, Marketing, Client Partner / Partner Account Executive</v>
      </c>
      <c r="S382" s="16" t="str">
        <f>IFERROR(__xludf.DUMMYFUNCTION("""COMPUTED_VALUE"""),"Social Discovery")</f>
        <v>Social Discovery</v>
      </c>
      <c r="T382" s="16" t="str">
        <f>IFERROR(__xludf.DUMMYFUNCTION("""COMPUTED_VALUE"""),"Current Partner")</f>
        <v>Current Partner</v>
      </c>
      <c r="U382" s="16" t="b">
        <f>IFERROR(__xludf.DUMMYFUNCTION("""COMPUTED_VALUE"""),FALSE)</f>
        <v>0</v>
      </c>
      <c r="V382" s="16"/>
      <c r="W382" s="16"/>
      <c r="X382" s="16"/>
    </row>
    <row r="383">
      <c r="A383" s="16" t="str">
        <f>IFERROR(__xludf.DUMMYFUNCTION("""COMPUTED_VALUE"""),"Steve")</f>
        <v>Steve</v>
      </c>
      <c r="B383" s="16" t="str">
        <f>IFERROR(__xludf.DUMMYFUNCTION("""COMPUTED_VALUE"""),"Gibbons")</f>
        <v>Gibbons</v>
      </c>
      <c r="C383" s="16" t="str">
        <f>IFERROR(__xludf.DUMMYFUNCTION("""COMPUTED_VALUE"""),"CFO")</f>
        <v>CFO</v>
      </c>
      <c r="D383" s="16" t="str">
        <f>IFERROR(__xludf.DUMMYFUNCTION("""COMPUTED_VALUE"""),"Social Discovery Corp.")</f>
        <v>Social Discovery Corp.</v>
      </c>
      <c r="E383" s="16" t="str">
        <f>IFERROR(__xludf.DUMMYFUNCTION("""COMPUTED_VALUE"""),"Growth")</f>
        <v>Growth</v>
      </c>
      <c r="F383" s="16" t="str">
        <f>IFERROR(__xludf.DUMMYFUNCTION("""COMPUTED_VALUE"""),"steve@socialdiscoverycorp.com")</f>
        <v>steve@socialdiscoverycorp.com</v>
      </c>
      <c r="G383" s="16" t="str">
        <f>IFERROR(__xludf.DUMMYFUNCTION("""COMPUTED_VALUE"""),"Rod Gowin")</f>
        <v>Rod Gowin</v>
      </c>
      <c r="H383" s="16" t="str">
        <f>IFERROR(__xludf.DUMMYFUNCTION("""COMPUTED_VALUE"""),"PartnerConnect - Technology")</f>
        <v>PartnerConnect - Technology</v>
      </c>
      <c r="I383" s="16" t="str">
        <f>IFERROR(__xludf.DUMMYFUNCTION("""COMPUTED_VALUE"""),"7804C Fairview Rd #354")</f>
        <v>7804C Fairview Rd #354</v>
      </c>
      <c r="J383" s="16"/>
      <c r="K383" s="16" t="str">
        <f>IFERROR(__xludf.DUMMYFUNCTION("""COMPUTED_VALUE"""),"Charlotte")</f>
        <v>Charlotte</v>
      </c>
      <c r="L383" s="16" t="str">
        <f>IFERROR(__xludf.DUMMYFUNCTION("""COMPUTED_VALUE"""),"North Carolina")</f>
        <v>North Carolina</v>
      </c>
      <c r="M383" s="16">
        <f>IFERROR(__xludf.DUMMYFUNCTION("""COMPUTED_VALUE"""),28226.0)</f>
        <v>28226</v>
      </c>
      <c r="N383" s="16" t="str">
        <f>IFERROR(__xludf.DUMMYFUNCTION("""COMPUTED_VALUE"""),"United States")</f>
        <v>United States</v>
      </c>
      <c r="O383" s="16" t="str">
        <f>IFERROR(__xludf.DUMMYFUNCTION("""COMPUTED_VALUE"""),"Medium")</f>
        <v>Medium</v>
      </c>
      <c r="P383" s="16" t="b">
        <f>IFERROR(__xludf.DUMMYFUNCTION("""COMPUTED_VALUE"""),TRUE)</f>
        <v>1</v>
      </c>
      <c r="Q383" s="16" t="b">
        <f>IFERROR(__xludf.DUMMYFUNCTION("""COMPUTED_VALUE"""),FALSE)</f>
        <v>0</v>
      </c>
      <c r="R383" s="16" t="str">
        <f>IFERROR(__xludf.DUMMYFUNCTION("""COMPUTED_VALUE"""),"Admin, Business, Legal / Contracts, Marketing, Support, Technical")</f>
        <v>Admin, Business, Legal / Contracts, Marketing, Support, Technical</v>
      </c>
      <c r="S383" s="16" t="str">
        <f>IFERROR(__xludf.DUMMYFUNCTION("""COMPUTED_VALUE"""),"Social Discovery")</f>
        <v>Social Discovery</v>
      </c>
      <c r="T383" s="16" t="str">
        <f>IFERROR(__xludf.DUMMYFUNCTION("""COMPUTED_VALUE"""),"Current Partner")</f>
        <v>Current Partner</v>
      </c>
      <c r="U383" s="16" t="b">
        <f>IFERROR(__xludf.DUMMYFUNCTION("""COMPUTED_VALUE"""),FALSE)</f>
        <v>0</v>
      </c>
      <c r="V383" s="16"/>
      <c r="W383" s="16"/>
      <c r="X383" s="16"/>
    </row>
    <row r="384">
      <c r="A384" s="16" t="str">
        <f>IFERROR(__xludf.DUMMYFUNCTION("""COMPUTED_VALUE"""),"Yannick")</f>
        <v>Yannick</v>
      </c>
      <c r="B384" s="16" t="str">
        <f>IFERROR(__xludf.DUMMYFUNCTION("""COMPUTED_VALUE"""),"Brethouwer")</f>
        <v>Brethouwer</v>
      </c>
      <c r="C384" s="16" t="str">
        <f>IFERROR(__xludf.DUMMYFUNCTION("""COMPUTED_VALUE"""),"CTO")</f>
        <v>CTO</v>
      </c>
      <c r="D384" s="16" t="str">
        <f>IFERROR(__xludf.DUMMYFUNCTION("""COMPUTED_VALUE"""),"Social Discovery Corp.")</f>
        <v>Social Discovery Corp.</v>
      </c>
      <c r="E384" s="16" t="str">
        <f>IFERROR(__xludf.DUMMYFUNCTION("""COMPUTED_VALUE"""),"Growth")</f>
        <v>Growth</v>
      </c>
      <c r="F384" s="16" t="str">
        <f>IFERROR(__xludf.DUMMYFUNCTION("""COMPUTED_VALUE"""),"yannick@socialdiscoverycorp.com")</f>
        <v>yannick@socialdiscoverycorp.com</v>
      </c>
      <c r="G384" s="16" t="str">
        <f>IFERROR(__xludf.DUMMYFUNCTION("""COMPUTED_VALUE"""),"Rod Gowin")</f>
        <v>Rod Gowin</v>
      </c>
      <c r="H384" s="16" t="str">
        <f>IFERROR(__xludf.DUMMYFUNCTION("""COMPUTED_VALUE"""),"PartnerConnect - Technology")</f>
        <v>PartnerConnect - Technology</v>
      </c>
      <c r="I384" s="16" t="str">
        <f>IFERROR(__xludf.DUMMYFUNCTION("""COMPUTED_VALUE"""),"7804C Fairview Rd")</f>
        <v>7804C Fairview Rd</v>
      </c>
      <c r="J384" s="16"/>
      <c r="K384" s="16" t="str">
        <f>IFERROR(__xludf.DUMMYFUNCTION("""COMPUTED_VALUE"""),"Charlotte")</f>
        <v>Charlotte</v>
      </c>
      <c r="L384" s="16" t="str">
        <f>IFERROR(__xludf.DUMMYFUNCTION("""COMPUTED_VALUE"""),"North Carolina")</f>
        <v>North Carolina</v>
      </c>
      <c r="M384" s="16">
        <f>IFERROR(__xludf.DUMMYFUNCTION("""COMPUTED_VALUE"""),28226.0)</f>
        <v>28226</v>
      </c>
      <c r="N384" s="16" t="str">
        <f>IFERROR(__xludf.DUMMYFUNCTION("""COMPUTED_VALUE"""),"United States")</f>
        <v>United States</v>
      </c>
      <c r="O384" s="16" t="str">
        <f>IFERROR(__xludf.DUMMYFUNCTION("""COMPUTED_VALUE"""),"Medium")</f>
        <v>Medium</v>
      </c>
      <c r="P384" s="16" t="b">
        <f>IFERROR(__xludf.DUMMYFUNCTION("""COMPUTED_VALUE"""),FALSE)</f>
        <v>0</v>
      </c>
      <c r="Q384" s="16" t="b">
        <f>IFERROR(__xludf.DUMMYFUNCTION("""COMPUTED_VALUE"""),TRUE)</f>
        <v>1</v>
      </c>
      <c r="R384" s="16" t="str">
        <f>IFERROR(__xludf.DUMMYFUNCTION("""COMPUTED_VALUE"""),"Business, Support, Technical, Training, NPE User, Delivery Lead / BA")</f>
        <v>Business, Support, Technical, Training, NPE User, Delivery Lead / BA</v>
      </c>
      <c r="S384" s="16" t="str">
        <f>IFERROR(__xludf.DUMMYFUNCTION("""COMPUTED_VALUE"""),"Social Discovery")</f>
        <v>Social Discovery</v>
      </c>
      <c r="T384" s="16" t="str">
        <f>IFERROR(__xludf.DUMMYFUNCTION("""COMPUTED_VALUE"""),"Current Partner")</f>
        <v>Current Partner</v>
      </c>
      <c r="U384" s="16" t="b">
        <f>IFERROR(__xludf.DUMMYFUNCTION("""COMPUTED_VALUE"""),TRUE)</f>
        <v>1</v>
      </c>
      <c r="V384" s="16"/>
      <c r="W384" s="16"/>
      <c r="X384" s="16"/>
    </row>
    <row r="385">
      <c r="A385" s="16" t="str">
        <f>IFERROR(__xludf.DUMMYFUNCTION("""COMPUTED_VALUE"""),"Elyas")</f>
        <v>Elyas</v>
      </c>
      <c r="B385" s="16" t="str">
        <f>IFERROR(__xludf.DUMMYFUNCTION("""COMPUTED_VALUE"""),"Dridba")</f>
        <v>Dridba</v>
      </c>
      <c r="C385" s="16"/>
      <c r="D385" s="16" t="str">
        <f>IFERROR(__xludf.DUMMYFUNCTION("""COMPUTED_VALUE"""),"Solera Home")</f>
        <v>Solera Home</v>
      </c>
      <c r="E385" s="16" t="str">
        <f>IFERROR(__xludf.DUMMYFUNCTION("""COMPUTED_VALUE"""),"Select")</f>
        <v>Select</v>
      </c>
      <c r="F385" s="16" t="str">
        <f>IFERROR(__xludf.DUMMYFUNCTION("""COMPUTED_VALUE"""),"elyas.dridba@sidexa.fr")</f>
        <v>elyas.dridba@sidexa.fr</v>
      </c>
      <c r="G385" s="16" t="str">
        <f>IFERROR(__xludf.DUMMYFUNCTION("""COMPUTED_VALUE"""),"Fatima Aoulagha-Bannou")</f>
        <v>Fatima Aoulagha-Bannou</v>
      </c>
      <c r="H385" s="16" t="str">
        <f>IFERROR(__xludf.DUMMYFUNCTION("""COMPUTED_VALUE"""),"PartnerConnect - Technology")</f>
        <v>PartnerConnect - Technology</v>
      </c>
      <c r="I385" s="16" t="str">
        <f>IFERROR(__xludf.DUMMYFUNCTION("""COMPUTED_VALUE"""),"60, rue Marcel Bonnet France")</f>
        <v>60, rue Marcel Bonnet France</v>
      </c>
      <c r="J385" s="16"/>
      <c r="K385" s="16" t="str">
        <f>IFERROR(__xludf.DUMMYFUNCTION("""COMPUTED_VALUE"""),"Cachan")</f>
        <v>Cachan</v>
      </c>
      <c r="L385" s="16"/>
      <c r="M385" s="16">
        <f>IFERROR(__xludf.DUMMYFUNCTION("""COMPUTED_VALUE"""),94230.0)</f>
        <v>94230</v>
      </c>
      <c r="N385" s="16" t="str">
        <f>IFERROR(__xludf.DUMMYFUNCTION("""COMPUTED_VALUE"""),"France")</f>
        <v>France</v>
      </c>
      <c r="O385" s="16" t="str">
        <f>IFERROR(__xludf.DUMMYFUNCTION("""COMPUTED_VALUE"""),"Low")</f>
        <v>Low</v>
      </c>
      <c r="P385" s="16" t="b">
        <f>IFERROR(__xludf.DUMMYFUNCTION("""COMPUTED_VALUE"""),TRUE)</f>
        <v>1</v>
      </c>
      <c r="Q385" s="16" t="b">
        <f>IFERROR(__xludf.DUMMYFUNCTION("""COMPUTED_VALUE"""),FALSE)</f>
        <v>0</v>
      </c>
      <c r="R385" s="16" t="str">
        <f>IFERROR(__xludf.DUMMYFUNCTION("""COMPUTED_VALUE"""),"Admin")</f>
        <v>Admin</v>
      </c>
      <c r="S385" s="16" t="str">
        <f>IFERROR(__xludf.DUMMYFUNCTION("""COMPUTED_VALUE"""),"Solera Home")</f>
        <v>Solera Home</v>
      </c>
      <c r="T385" s="16" t="str">
        <f>IFERROR(__xludf.DUMMYFUNCTION("""COMPUTED_VALUE"""),"Current Partner")</f>
        <v>Current Partner</v>
      </c>
      <c r="U385" s="16" t="b">
        <f>IFERROR(__xludf.DUMMYFUNCTION("""COMPUTED_VALUE"""),FALSE)</f>
        <v>0</v>
      </c>
      <c r="V385" s="16"/>
      <c r="W385" s="16"/>
      <c r="X385" s="16"/>
    </row>
    <row r="386">
      <c r="A386" s="16" t="str">
        <f>IFERROR(__xludf.DUMMYFUNCTION("""COMPUTED_VALUE"""),"Lizzie")</f>
        <v>Lizzie</v>
      </c>
      <c r="B386" s="16" t="str">
        <f>IFERROR(__xludf.DUMMYFUNCTION("""COMPUTED_VALUE"""),"Chisholm")</f>
        <v>Chisholm</v>
      </c>
      <c r="C386" s="16" t="str">
        <f>IFERROR(__xludf.DUMMYFUNCTION("""COMPUTED_VALUE"""),"Chief of Staff")</f>
        <v>Chief of Staff</v>
      </c>
      <c r="D386" s="27" t="str">
        <f>IFERROR(__xludf.DUMMYFUNCTION("""COMPUTED_VALUE"""),"Sprout.ai")</f>
        <v>Sprout.ai</v>
      </c>
      <c r="E386" s="16" t="str">
        <f>IFERROR(__xludf.DUMMYFUNCTION("""COMPUTED_VALUE"""),"Growth")</f>
        <v>Growth</v>
      </c>
      <c r="F386" s="16" t="str">
        <f>IFERROR(__xludf.DUMMYFUNCTION("""COMPUTED_VALUE"""),"e.chisholm@sprout.ai")</f>
        <v>e.chisholm@sprout.ai</v>
      </c>
      <c r="G386" s="16" t="str">
        <f>IFERROR(__xludf.DUMMYFUNCTION("""COMPUTED_VALUE"""),"Vivienne Hoary")</f>
        <v>Vivienne Hoary</v>
      </c>
      <c r="H386" s="16" t="str">
        <f>IFERROR(__xludf.DUMMYFUNCTION("""COMPUTED_VALUE"""),"PartnerConnect - Technology")</f>
        <v>PartnerConnect - Technology</v>
      </c>
      <c r="I386" s="16" t="str">
        <f>IFERROR(__xludf.DUMMYFUNCTION("""COMPUTED_VALUE"""),"1 Mark Square")</f>
        <v>1 Mark Square</v>
      </c>
      <c r="J386" s="16"/>
      <c r="K386" s="16" t="str">
        <f>IFERROR(__xludf.DUMMYFUNCTION("""COMPUTED_VALUE"""),"London")</f>
        <v>London</v>
      </c>
      <c r="L386" s="16" t="str">
        <f>IFERROR(__xludf.DUMMYFUNCTION("""COMPUTED_VALUE"""),"HACKNEY")</f>
        <v>HACKNEY</v>
      </c>
      <c r="M386" s="16" t="str">
        <f>IFERROR(__xludf.DUMMYFUNCTION("""COMPUTED_VALUE"""),"EC2A 4EG")</f>
        <v>EC2A 4EG</v>
      </c>
      <c r="N386" s="16" t="str">
        <f>IFERROR(__xludf.DUMMYFUNCTION("""COMPUTED_VALUE"""),"United Kingdom")</f>
        <v>United Kingdom</v>
      </c>
      <c r="O386" s="16" t="str">
        <f>IFERROR(__xludf.DUMMYFUNCTION("""COMPUTED_VALUE"""),"Medium")</f>
        <v>Medium</v>
      </c>
      <c r="P386" s="16" t="b">
        <f>IFERROR(__xludf.DUMMYFUNCTION("""COMPUTED_VALUE"""),TRUE)</f>
        <v>1</v>
      </c>
      <c r="Q386" s="16" t="b">
        <f>IFERROR(__xludf.DUMMYFUNCTION("""COMPUTED_VALUE"""),TRUE)</f>
        <v>1</v>
      </c>
      <c r="R386" s="16" t="str">
        <f>IFERROR(__xludf.DUMMYFUNCTION("""COMPUTED_VALUE"""),"Admin, Business, Events, Marketing, Support, NPE User")</f>
        <v>Admin, Business, Events, Marketing, Support, NPE User</v>
      </c>
      <c r="S386" s="27" t="str">
        <f>IFERROR(__xludf.DUMMYFUNCTION("""COMPUTED_VALUE"""),"Sprout.ai")</f>
        <v>Sprout.ai</v>
      </c>
      <c r="T386" s="16" t="str">
        <f>IFERROR(__xludf.DUMMYFUNCTION("""COMPUTED_VALUE"""),"Current Partner")</f>
        <v>Current Partner</v>
      </c>
      <c r="U386" s="16" t="b">
        <f>IFERROR(__xludf.DUMMYFUNCTION("""COMPUTED_VALUE"""),TRUE)</f>
        <v>1</v>
      </c>
      <c r="V386" s="16"/>
      <c r="W386" s="16"/>
      <c r="X386" s="16"/>
    </row>
    <row r="387">
      <c r="A387" s="16" t="str">
        <f>IFERROR(__xludf.DUMMYFUNCTION("""COMPUTED_VALUE"""),"Ed")</f>
        <v>Ed</v>
      </c>
      <c r="B387" s="16" t="str">
        <f>IFERROR(__xludf.DUMMYFUNCTION("""COMPUTED_VALUE"""),"Pyun")</f>
        <v>Pyun</v>
      </c>
      <c r="C387" s="16" t="str">
        <f>IFERROR(__xludf.DUMMYFUNCTION("""COMPUTED_VALUE"""),"Director - TAP")</f>
        <v>Director - TAP</v>
      </c>
      <c r="D387" s="16" t="str">
        <f>IFERROR(__xludf.DUMMYFUNCTION("""COMPUTED_VALUE"""),"SS&amp;C Blue Prism")</f>
        <v>SS&amp;C Blue Prism</v>
      </c>
      <c r="E387" s="16" t="str">
        <f>IFERROR(__xludf.DUMMYFUNCTION("""COMPUTED_VALUE"""),"Growth")</f>
        <v>Growth</v>
      </c>
      <c r="F387" s="16" t="str">
        <f>IFERROR(__xludf.DUMMYFUNCTION("""COMPUTED_VALUE"""),"ed.pyun@blueprism.com")</f>
        <v>ed.pyun@blueprism.com</v>
      </c>
      <c r="G387" s="16" t="str">
        <f>IFERROR(__xludf.DUMMYFUNCTION("""COMPUTED_VALUE"""),"Tim Kennedy")</f>
        <v>Tim Kennedy</v>
      </c>
      <c r="H387" s="16" t="str">
        <f>IFERROR(__xludf.DUMMYFUNCTION("""COMPUTED_VALUE"""),"PartnerConnect - Technology")</f>
        <v>PartnerConnect - Technology</v>
      </c>
      <c r="I387" s="16" t="str">
        <f>IFERROR(__xludf.DUMMYFUNCTION("""COMPUTED_VALUE"""),"2029 Greenfield Ln")</f>
        <v>2029 Greenfield Ln</v>
      </c>
      <c r="J387" s="16"/>
      <c r="K387" s="16" t="str">
        <f>IFERROR(__xludf.DUMMYFUNCTION("""COMPUTED_VALUE"""),"Allen")</f>
        <v>Allen</v>
      </c>
      <c r="L387" s="16" t="str">
        <f>IFERROR(__xludf.DUMMYFUNCTION("""COMPUTED_VALUE"""),"TEXAS")</f>
        <v>TEXAS</v>
      </c>
      <c r="M387" s="16">
        <f>IFERROR(__xludf.DUMMYFUNCTION("""COMPUTED_VALUE"""),75013.0)</f>
        <v>75013</v>
      </c>
      <c r="N387" s="16" t="str">
        <f>IFERROR(__xludf.DUMMYFUNCTION("""COMPUTED_VALUE"""),"United States")</f>
        <v>United States</v>
      </c>
      <c r="O387" s="16" t="str">
        <f>IFERROR(__xludf.DUMMYFUNCTION("""COMPUTED_VALUE"""),"Medium")</f>
        <v>Medium</v>
      </c>
      <c r="P387" s="16" t="b">
        <f>IFERROR(__xludf.DUMMYFUNCTION("""COMPUTED_VALUE"""),TRUE)</f>
        <v>1</v>
      </c>
      <c r="Q387" s="16" t="b">
        <f>IFERROR(__xludf.DUMMYFUNCTION("""COMPUTED_VALUE"""),TRUE)</f>
        <v>1</v>
      </c>
      <c r="R387" s="16" t="str">
        <f>IFERROR(__xludf.DUMMYFUNCTION("""COMPUTED_VALUE"""),"Admin, Business, Support")</f>
        <v>Admin, Business, Support</v>
      </c>
      <c r="S387" s="16" t="str">
        <f>IFERROR(__xludf.DUMMYFUNCTION("""COMPUTED_VALUE"""),"Blue Prism")</f>
        <v>Blue Prism</v>
      </c>
      <c r="T387" s="16" t="str">
        <f>IFERROR(__xludf.DUMMYFUNCTION("""COMPUTED_VALUE"""),"Current Partner")</f>
        <v>Current Partner</v>
      </c>
      <c r="U387" s="16" t="b">
        <f>IFERROR(__xludf.DUMMYFUNCTION("""COMPUTED_VALUE"""),FALSE)</f>
        <v>0</v>
      </c>
      <c r="V387" s="16"/>
      <c r="W387" s="16"/>
      <c r="X387" s="16"/>
    </row>
    <row r="388">
      <c r="A388" s="16" t="str">
        <f>IFERROR(__xludf.DUMMYFUNCTION("""COMPUTED_VALUE"""),"Emma")</f>
        <v>Emma</v>
      </c>
      <c r="B388" s="16" t="str">
        <f>IFERROR(__xludf.DUMMYFUNCTION("""COMPUTED_VALUE"""),"Vallandigham")</f>
        <v>Vallandigham</v>
      </c>
      <c r="C388" s="16"/>
      <c r="D388" s="16" t="str">
        <f>IFERROR(__xludf.DUMMYFUNCTION("""COMPUTED_VALUE"""),"SS&amp;C Blue Prism")</f>
        <v>SS&amp;C Blue Prism</v>
      </c>
      <c r="E388" s="16" t="str">
        <f>IFERROR(__xludf.DUMMYFUNCTION("""COMPUTED_VALUE"""),"Growth")</f>
        <v>Growth</v>
      </c>
      <c r="F388" s="16" t="str">
        <f>IFERROR(__xludf.DUMMYFUNCTION("""COMPUTED_VALUE"""),"emma.vallandigham@blueprism.com")</f>
        <v>emma.vallandigham@blueprism.com</v>
      </c>
      <c r="G388" s="16" t="str">
        <f>IFERROR(__xludf.DUMMYFUNCTION("""COMPUTED_VALUE"""),"Tim Kennedy")</f>
        <v>Tim Kennedy</v>
      </c>
      <c r="H388" s="16" t="str">
        <f>IFERROR(__xludf.DUMMYFUNCTION("""COMPUTED_VALUE"""),"PartnerConnect - Technology")</f>
        <v>PartnerConnect - Technology</v>
      </c>
      <c r="I388" s="16" t="str">
        <f>IFERROR(__xludf.DUMMYFUNCTION("""COMPUTED_VALUE"""),"2 Cinnamon Park Crab Lane")</f>
        <v>2 Cinnamon Park Crab Lane</v>
      </c>
      <c r="J388" s="16"/>
      <c r="K388" s="16" t="str">
        <f>IFERROR(__xludf.DUMMYFUNCTION("""COMPUTED_VALUE"""),"Fearnhead Warrington")</f>
        <v>Fearnhead Warrington</v>
      </c>
      <c r="L388" s="16" t="str">
        <f>IFERROR(__xludf.DUMMYFUNCTION("""COMPUTED_VALUE"""),"Cheshire")</f>
        <v>Cheshire</v>
      </c>
      <c r="M388" s="16" t="str">
        <f>IFERROR(__xludf.DUMMYFUNCTION("""COMPUTED_VALUE"""),"WA2 0XP")</f>
        <v>WA2 0XP</v>
      </c>
      <c r="N388" s="16" t="str">
        <f>IFERROR(__xludf.DUMMYFUNCTION("""COMPUTED_VALUE"""),"United Kingdom")</f>
        <v>United Kingdom</v>
      </c>
      <c r="O388" s="16" t="str">
        <f>IFERROR(__xludf.DUMMYFUNCTION("""COMPUTED_VALUE"""),"Medium")</f>
        <v>Medium</v>
      </c>
      <c r="P388" s="16" t="b">
        <f>IFERROR(__xludf.DUMMYFUNCTION("""COMPUTED_VALUE"""),FALSE)</f>
        <v>0</v>
      </c>
      <c r="Q388" s="16" t="b">
        <f>IFERROR(__xludf.DUMMYFUNCTION("""COMPUTED_VALUE"""),TRUE)</f>
        <v>1</v>
      </c>
      <c r="R388" s="16" t="str">
        <f>IFERROR(__xludf.DUMMYFUNCTION("""COMPUTED_VALUE"""),"Events")</f>
        <v>Events</v>
      </c>
      <c r="S388" s="16" t="str">
        <f>IFERROR(__xludf.DUMMYFUNCTION("""COMPUTED_VALUE"""),"Blue Prism")</f>
        <v>Blue Prism</v>
      </c>
      <c r="T388" s="16" t="str">
        <f>IFERROR(__xludf.DUMMYFUNCTION("""COMPUTED_VALUE"""),"Current Partner")</f>
        <v>Current Partner</v>
      </c>
      <c r="U388" s="16" t="b">
        <f>IFERROR(__xludf.DUMMYFUNCTION("""COMPUTED_VALUE"""),FALSE)</f>
        <v>0</v>
      </c>
      <c r="V388" s="16"/>
      <c r="W388" s="16"/>
      <c r="X388" s="16"/>
    </row>
    <row r="389">
      <c r="A389" s="16" t="str">
        <f>IFERROR(__xludf.DUMMYFUNCTION("""COMPUTED_VALUE"""),"Albert")</f>
        <v>Albert</v>
      </c>
      <c r="B389" s="16" t="str">
        <f>IFERROR(__xludf.DUMMYFUNCTION("""COMPUTED_VALUE"""),"Carbone")</f>
        <v>Carbone</v>
      </c>
      <c r="C389" s="16" t="str">
        <f>IFERROR(__xludf.DUMMYFUNCTION("""COMPUTED_VALUE"""),"President &amp; C.E.O.")</f>
        <v>President &amp; C.E.O.</v>
      </c>
      <c r="D389" s="16" t="str">
        <f>IFERROR(__xludf.DUMMYFUNCTION("""COMPUTED_VALUE"""),"Stelvio Australia")</f>
        <v>Stelvio Australia</v>
      </c>
      <c r="E389" s="16" t="str">
        <f>IFERROR(__xludf.DUMMYFUNCTION("""COMPUTED_VALUE"""),"Growth")</f>
        <v>Growth</v>
      </c>
      <c r="F389" s="16" t="str">
        <f>IFERROR(__xludf.DUMMYFUNCTION("""COMPUTED_VALUE"""),"acarbone@stelvio.com")</f>
        <v>acarbone@stelvio.com</v>
      </c>
      <c r="G389" s="16" t="str">
        <f>IFERROR(__xludf.DUMMYFUNCTION("""COMPUTED_VALUE"""),"Ketaki Padhye")</f>
        <v>Ketaki Padhye</v>
      </c>
      <c r="H389" s="16" t="str">
        <f>IFERROR(__xludf.DUMMYFUNCTION("""COMPUTED_VALUE"""),"PartnerConnect - Technology")</f>
        <v>PartnerConnect - Technology</v>
      </c>
      <c r="I389" s="16"/>
      <c r="J389" s="16"/>
      <c r="K389" s="16"/>
      <c r="L389" s="16"/>
      <c r="M389" s="16"/>
      <c r="N389" s="16" t="str">
        <f>IFERROR(__xludf.DUMMYFUNCTION("""COMPUTED_VALUE"""),"Australia")</f>
        <v>Australia</v>
      </c>
      <c r="O389" s="16" t="str">
        <f>IFERROR(__xludf.DUMMYFUNCTION("""COMPUTED_VALUE"""),"Medium")</f>
        <v>Medium</v>
      </c>
      <c r="P389" s="16" t="b">
        <f>IFERROR(__xludf.DUMMYFUNCTION("""COMPUTED_VALUE"""),TRUE)</f>
        <v>1</v>
      </c>
      <c r="Q389" s="16" t="b">
        <f>IFERROR(__xludf.DUMMYFUNCTION("""COMPUTED_VALUE"""),FALSE)</f>
        <v>0</v>
      </c>
      <c r="R389" s="16" t="str">
        <f>IFERROR(__xludf.DUMMYFUNCTION("""COMPUTED_VALUE"""),"Admin, Business, Events, Legal / Contracts, Marketing, Technical, Training, Main Billing Contact, Delivery Lead / BA, Client Partner / Partner Account Executive")</f>
        <v>Admin, Business, Events, Legal / Contracts, Marketing, Technical, Training, Main Billing Contact, Delivery Lead / BA, Client Partner / Partner Account Executive</v>
      </c>
      <c r="S389" s="16" t="str">
        <f>IFERROR(__xludf.DUMMYFUNCTION("""COMPUTED_VALUE"""),"Stelvio")</f>
        <v>Stelvio</v>
      </c>
      <c r="T389" s="16" t="str">
        <f>IFERROR(__xludf.DUMMYFUNCTION("""COMPUTED_VALUE"""),"Current Partner")</f>
        <v>Current Partner</v>
      </c>
      <c r="U389" s="16" t="b">
        <f>IFERROR(__xludf.DUMMYFUNCTION("""COMPUTED_VALUE"""),FALSE)</f>
        <v>0</v>
      </c>
      <c r="V389" s="16"/>
      <c r="W389" s="16"/>
      <c r="X389" s="16"/>
    </row>
    <row r="390">
      <c r="A390" s="16" t="str">
        <f>IFERROR(__xludf.DUMMYFUNCTION("""COMPUTED_VALUE"""),"Jerry")</f>
        <v>Jerry</v>
      </c>
      <c r="B390" s="16" t="str">
        <f>IFERROR(__xludf.DUMMYFUNCTION("""COMPUTED_VALUE"""),"Kulig")</f>
        <v>Kulig</v>
      </c>
      <c r="C390" s="16" t="str">
        <f>IFERROR(__xludf.DUMMYFUNCTION("""COMPUTED_VALUE"""),"SVP, StrataCare Product Portfolio")</f>
        <v>SVP, StrataCare Product Portfolio</v>
      </c>
      <c r="D390" s="16" t="str">
        <f>IFERROR(__xludf.DUMMYFUNCTION("""COMPUTED_VALUE"""),"StrataCare Casualty Claims Solutions LLC")</f>
        <v>StrataCare Casualty Claims Solutions LLC</v>
      </c>
      <c r="E390" s="16" t="str">
        <f>IFERROR(__xludf.DUMMYFUNCTION("""COMPUTED_VALUE"""),"Growth")</f>
        <v>Growth</v>
      </c>
      <c r="F390" s="16" t="str">
        <f>IFERROR(__xludf.DUMMYFUNCTION("""COMPUTED_VALUE"""),"jerry.kulig@stratacare.com")</f>
        <v>jerry.kulig@stratacare.com</v>
      </c>
      <c r="G390" s="16" t="str">
        <f>IFERROR(__xludf.DUMMYFUNCTION("""COMPUTED_VALUE"""),"Rod Gowin")</f>
        <v>Rod Gowin</v>
      </c>
      <c r="H390" s="16" t="str">
        <f>IFERROR(__xludf.DUMMYFUNCTION("""COMPUTED_VALUE"""),"PartnerConnect - Technology")</f>
        <v>PartnerConnect - Technology</v>
      </c>
      <c r="I390" s="16"/>
      <c r="J390" s="16"/>
      <c r="K390" s="16" t="str">
        <f>IFERROR(__xludf.DUMMYFUNCTION("""COMPUTED_VALUE"""),"King of Prussia")</f>
        <v>King of Prussia</v>
      </c>
      <c r="L390" s="16" t="str">
        <f>IFERROR(__xludf.DUMMYFUNCTION("""COMPUTED_VALUE"""),"PA")</f>
        <v>PA</v>
      </c>
      <c r="M390" s="16">
        <f>IFERROR(__xludf.DUMMYFUNCTION("""COMPUTED_VALUE"""),19406.0)</f>
        <v>19406</v>
      </c>
      <c r="N390" s="16" t="str">
        <f>IFERROR(__xludf.DUMMYFUNCTION("""COMPUTED_VALUE"""),"United States")</f>
        <v>United States</v>
      </c>
      <c r="O390" s="16" t="str">
        <f>IFERROR(__xludf.DUMMYFUNCTION("""COMPUTED_VALUE"""),"Medium")</f>
        <v>Medium</v>
      </c>
      <c r="P390" s="16" t="b">
        <f>IFERROR(__xludf.DUMMYFUNCTION("""COMPUTED_VALUE"""),TRUE)</f>
        <v>1</v>
      </c>
      <c r="Q390" s="16" t="b">
        <f>IFERROR(__xludf.DUMMYFUNCTION("""COMPUTED_VALUE"""),FALSE)</f>
        <v>0</v>
      </c>
      <c r="R390" s="16" t="str">
        <f>IFERROR(__xludf.DUMMYFUNCTION("""COMPUTED_VALUE"""),"Admin")</f>
        <v>Admin</v>
      </c>
      <c r="S390" s="16" t="str">
        <f>IFERROR(__xludf.DUMMYFUNCTION("""COMPUTED_VALUE"""),"Medrisk")</f>
        <v>Medrisk</v>
      </c>
      <c r="T390" s="16" t="str">
        <f>IFERROR(__xludf.DUMMYFUNCTION("""COMPUTED_VALUE"""),"Current Partner")</f>
        <v>Current Partner</v>
      </c>
      <c r="U390" s="16" t="b">
        <f>IFERROR(__xludf.DUMMYFUNCTION("""COMPUTED_VALUE"""),FALSE)</f>
        <v>0</v>
      </c>
      <c r="V390" s="16"/>
      <c r="W390" s="16"/>
      <c r="X390" s="16"/>
    </row>
    <row r="391">
      <c r="A391" s="16" t="str">
        <f>IFERROR(__xludf.DUMMYFUNCTION("""COMPUTED_VALUE"""),"Craig")</f>
        <v>Craig</v>
      </c>
      <c r="B391" s="16" t="str">
        <f>IFERROR(__xludf.DUMMYFUNCTION("""COMPUTED_VALUE"""),"Radulovich")</f>
        <v>Radulovich</v>
      </c>
      <c r="C391" s="16" t="str">
        <f>IFERROR(__xludf.DUMMYFUNCTION("""COMPUTED_VALUE"""),"President / COO")</f>
        <v>President / COO</v>
      </c>
      <c r="D391" s="16" t="str">
        <f>IFERROR(__xludf.DUMMYFUNCTION("""COMPUTED_VALUE"""),"Streamline Imaging LLC")</f>
        <v>Streamline Imaging LLC</v>
      </c>
      <c r="E391" s="16" t="str">
        <f>IFERROR(__xludf.DUMMYFUNCTION("""COMPUTED_VALUE"""),"Growth")</f>
        <v>Growth</v>
      </c>
      <c r="F391" s="16" t="str">
        <f>IFERROR(__xludf.DUMMYFUNCTION("""COMPUTED_VALUE"""),"craig.radulovich@streamlineworkcomp.com")</f>
        <v>craig.radulovich@streamlineworkcomp.com</v>
      </c>
      <c r="G391" s="16" t="str">
        <f>IFERROR(__xludf.DUMMYFUNCTION("""COMPUTED_VALUE"""),"Rod Gowin")</f>
        <v>Rod Gowin</v>
      </c>
      <c r="H391" s="16" t="str">
        <f>IFERROR(__xludf.DUMMYFUNCTION("""COMPUTED_VALUE"""),"PartnerConnect - Technology")</f>
        <v>PartnerConnect - Technology</v>
      </c>
      <c r="I391" s="16" t="str">
        <f>IFERROR(__xludf.DUMMYFUNCTION("""COMPUTED_VALUE"""),"4651 Salisbury Road, Suite 250")</f>
        <v>4651 Salisbury Road, Suite 250</v>
      </c>
      <c r="J391" s="16"/>
      <c r="K391" s="16" t="str">
        <f>IFERROR(__xludf.DUMMYFUNCTION("""COMPUTED_VALUE"""),"Jacksonville")</f>
        <v>Jacksonville</v>
      </c>
      <c r="L391" s="16" t="str">
        <f>IFERROR(__xludf.DUMMYFUNCTION("""COMPUTED_VALUE"""),"FL")</f>
        <v>FL</v>
      </c>
      <c r="M391" s="16">
        <f>IFERROR(__xludf.DUMMYFUNCTION("""COMPUTED_VALUE"""),32256.0)</f>
        <v>32256</v>
      </c>
      <c r="N391" s="16" t="str">
        <f>IFERROR(__xludf.DUMMYFUNCTION("""COMPUTED_VALUE"""),"United States")</f>
        <v>United States</v>
      </c>
      <c r="O391" s="16" t="str">
        <f>IFERROR(__xludf.DUMMYFUNCTION("""COMPUTED_VALUE"""),"Medium")</f>
        <v>Medium</v>
      </c>
      <c r="P391" s="16" t="b">
        <f>IFERROR(__xludf.DUMMYFUNCTION("""COMPUTED_VALUE"""),TRUE)</f>
        <v>1</v>
      </c>
      <c r="Q391" s="16" t="b">
        <f>IFERROR(__xludf.DUMMYFUNCTION("""COMPUTED_VALUE"""),FALSE)</f>
        <v>0</v>
      </c>
      <c r="R391" s="16" t="str">
        <f>IFERROR(__xludf.DUMMYFUNCTION("""COMPUTED_VALUE"""),"Admin, Business, Events, Legal / Contracts")</f>
        <v>Admin, Business, Events, Legal / Contracts</v>
      </c>
      <c r="S391" s="16" t="str">
        <f>IFERROR(__xludf.DUMMYFUNCTION("""COMPUTED_VALUE"""),"Streamline")</f>
        <v>Streamline</v>
      </c>
      <c r="T391" s="16" t="str">
        <f>IFERROR(__xludf.DUMMYFUNCTION("""COMPUTED_VALUE"""),"Current Partner")</f>
        <v>Current Partner</v>
      </c>
      <c r="U391" s="16" t="b">
        <f>IFERROR(__xludf.DUMMYFUNCTION("""COMPUTED_VALUE"""),FALSE)</f>
        <v>0</v>
      </c>
      <c r="V391" s="16"/>
      <c r="W391" s="16"/>
      <c r="X391" s="16"/>
    </row>
    <row r="392">
      <c r="A392" s="16" t="str">
        <f>IFERROR(__xludf.DUMMYFUNCTION("""COMPUTED_VALUE"""),"Ben")</f>
        <v>Ben</v>
      </c>
      <c r="B392" s="16" t="str">
        <f>IFERROR(__xludf.DUMMYFUNCTION("""COMPUTED_VALUE"""),"Braunschvig")</f>
        <v>Braunschvig</v>
      </c>
      <c r="C392" s="16" t="str">
        <f>IFERROR(__xludf.DUMMYFUNCTION("""COMPUTED_VALUE"""),"GTM Partnerships Leader")</f>
        <v>GTM Partnerships Leader</v>
      </c>
      <c r="D392" s="16" t="str">
        <f>IFERROR(__xludf.DUMMYFUNCTION("""COMPUTED_VALUE"""),"Stripe, Inc.")</f>
        <v>Stripe, Inc.</v>
      </c>
      <c r="E392" s="16" t="str">
        <f>IFERROR(__xludf.DUMMYFUNCTION("""COMPUTED_VALUE"""),"Growth")</f>
        <v>Growth</v>
      </c>
      <c r="F392" s="16" t="str">
        <f>IFERROR(__xludf.DUMMYFUNCTION("""COMPUTED_VALUE"""),"benjaminb@stripe.com")</f>
        <v>benjaminb@stripe.com</v>
      </c>
      <c r="G392" s="16" t="str">
        <f>IFERROR(__xludf.DUMMYFUNCTION("""COMPUTED_VALUE"""),"Fatima Aoulagha-Bannou")</f>
        <v>Fatima Aoulagha-Bannou</v>
      </c>
      <c r="H392" s="16" t="str">
        <f>IFERROR(__xludf.DUMMYFUNCTION("""COMPUTED_VALUE"""),"PartnerConnect - Technology")</f>
        <v>PartnerConnect - Technology</v>
      </c>
      <c r="I392" s="16" t="str">
        <f>IFERROR(__xludf.DUMMYFUNCTION("""COMPUTED_VALUE"""),"354 Oyster Point Blvd")</f>
        <v>354 Oyster Point Blvd</v>
      </c>
      <c r="J392" s="16"/>
      <c r="K392" s="16" t="str">
        <f>IFERROR(__xludf.DUMMYFUNCTION("""COMPUTED_VALUE"""),"san francisco")</f>
        <v>san francisco</v>
      </c>
      <c r="L392" s="16" t="str">
        <f>IFERROR(__xludf.DUMMYFUNCTION("""COMPUTED_VALUE"""),"California")</f>
        <v>California</v>
      </c>
      <c r="M392" s="16">
        <f>IFERROR(__xludf.DUMMYFUNCTION("""COMPUTED_VALUE"""),94080.0)</f>
        <v>94080</v>
      </c>
      <c r="N392" s="16" t="str">
        <f>IFERROR(__xludf.DUMMYFUNCTION("""COMPUTED_VALUE"""),"United States")</f>
        <v>United States</v>
      </c>
      <c r="O392" s="16" t="str">
        <f>IFERROR(__xludf.DUMMYFUNCTION("""COMPUTED_VALUE"""),"High")</f>
        <v>High</v>
      </c>
      <c r="P392" s="16" t="b">
        <f>IFERROR(__xludf.DUMMYFUNCTION("""COMPUTED_VALUE"""),TRUE)</f>
        <v>1</v>
      </c>
      <c r="Q392" s="16" t="b">
        <f>IFERROR(__xludf.DUMMYFUNCTION("""COMPUTED_VALUE"""),FALSE)</f>
        <v>0</v>
      </c>
      <c r="R392" s="16" t="str">
        <f>IFERROR(__xludf.DUMMYFUNCTION("""COMPUTED_VALUE"""),"Admin")</f>
        <v>Admin</v>
      </c>
      <c r="S392" s="16" t="str">
        <f>IFERROR(__xludf.DUMMYFUNCTION("""COMPUTED_VALUE"""),"Stripe")</f>
        <v>Stripe</v>
      </c>
      <c r="T392" s="16" t="str">
        <f>IFERROR(__xludf.DUMMYFUNCTION("""COMPUTED_VALUE"""),"Current Partner")</f>
        <v>Current Partner</v>
      </c>
      <c r="U392" s="16" t="b">
        <f>IFERROR(__xludf.DUMMYFUNCTION("""COMPUTED_VALUE"""),FALSE)</f>
        <v>0</v>
      </c>
      <c r="V392" s="16"/>
      <c r="W392" s="16"/>
      <c r="X392" s="16"/>
    </row>
    <row r="393">
      <c r="A393" s="16" t="str">
        <f>IFERROR(__xludf.DUMMYFUNCTION("""COMPUTED_VALUE"""),"Paul")</f>
        <v>Paul</v>
      </c>
      <c r="B393" s="16" t="str">
        <f>IFERROR(__xludf.DUMMYFUNCTION("""COMPUTED_VALUE"""),"Casoni")</f>
        <v>Casoni</v>
      </c>
      <c r="C393" s="16" t="str">
        <f>IFERROR(__xludf.DUMMYFUNCTION("""COMPUTED_VALUE"""),"VP Business Development")</f>
        <v>VP Business Development</v>
      </c>
      <c r="D393" s="16" t="str">
        <f>IFERROR(__xludf.DUMMYFUNCTION("""COMPUTED_VALUE"""),"Subroclaims")</f>
        <v>Subroclaims</v>
      </c>
      <c r="E393" s="16" t="str">
        <f>IFERROR(__xludf.DUMMYFUNCTION("""COMPUTED_VALUE"""),"Growth")</f>
        <v>Growth</v>
      </c>
      <c r="F393" s="16" t="str">
        <f>IFERROR(__xludf.DUMMYFUNCTION("""COMPUTED_VALUE"""),"paul@subroclaims.com")</f>
        <v>paul@subroclaims.com</v>
      </c>
      <c r="G393" s="16" t="str">
        <f>IFERROR(__xludf.DUMMYFUNCTION("""COMPUTED_VALUE"""),"Tim Kennedy")</f>
        <v>Tim Kennedy</v>
      </c>
      <c r="H393" s="16" t="str">
        <f>IFERROR(__xludf.DUMMYFUNCTION("""COMPUTED_VALUE"""),"PartnerConnect - Technology")</f>
        <v>PartnerConnect - Technology</v>
      </c>
      <c r="I393" s="16" t="str">
        <f>IFERROR(__xludf.DUMMYFUNCTION("""COMPUTED_VALUE"""),"603 Campbell Technology Pky")</f>
        <v>603 Campbell Technology Pky</v>
      </c>
      <c r="J393" s="16"/>
      <c r="K393" s="16" t="str">
        <f>IFERROR(__xludf.DUMMYFUNCTION("""COMPUTED_VALUE"""),"Campbell")</f>
        <v>Campbell</v>
      </c>
      <c r="L393" s="16" t="str">
        <f>IFERROR(__xludf.DUMMYFUNCTION("""COMPUTED_VALUE"""),"CA")</f>
        <v>CA</v>
      </c>
      <c r="M393" s="16">
        <f>IFERROR(__xludf.DUMMYFUNCTION("""COMPUTED_VALUE"""),95008.0)</f>
        <v>95008</v>
      </c>
      <c r="N393" s="16" t="str">
        <f>IFERROR(__xludf.DUMMYFUNCTION("""COMPUTED_VALUE"""),"United States")</f>
        <v>United States</v>
      </c>
      <c r="O393" s="16" t="str">
        <f>IFERROR(__xludf.DUMMYFUNCTION("""COMPUTED_VALUE"""),"Medium")</f>
        <v>Medium</v>
      </c>
      <c r="P393" s="16" t="b">
        <f>IFERROR(__xludf.DUMMYFUNCTION("""COMPUTED_VALUE"""),TRUE)</f>
        <v>1</v>
      </c>
      <c r="Q393" s="16" t="b">
        <f>IFERROR(__xludf.DUMMYFUNCTION("""COMPUTED_VALUE"""),TRUE)</f>
        <v>1</v>
      </c>
      <c r="R393" s="16" t="str">
        <f>IFERROR(__xludf.DUMMYFUNCTION("""COMPUTED_VALUE"""),"Business, Marketing, Client Partner / Partner Account Executive")</f>
        <v>Business, Marketing, Client Partner / Partner Account Executive</v>
      </c>
      <c r="S393" s="16" t="str">
        <f>IFERROR(__xludf.DUMMYFUNCTION("""COMPUTED_VALUE"""),"Subroclaims")</f>
        <v>Subroclaims</v>
      </c>
      <c r="T393" s="16" t="str">
        <f>IFERROR(__xludf.DUMMYFUNCTION("""COMPUTED_VALUE"""),"Current Partner")</f>
        <v>Current Partner</v>
      </c>
      <c r="U393" s="16" t="b">
        <f>IFERROR(__xludf.DUMMYFUNCTION("""COMPUTED_VALUE"""),FALSE)</f>
        <v>0</v>
      </c>
      <c r="V393" s="16"/>
      <c r="W393" s="16"/>
      <c r="X393" s="16"/>
    </row>
    <row r="394">
      <c r="A394" s="16" t="str">
        <f>IFERROR(__xludf.DUMMYFUNCTION("""COMPUTED_VALUE"""),"Sebastien")</f>
        <v>Sebastien</v>
      </c>
      <c r="B394" s="16" t="str">
        <f>IFERROR(__xludf.DUMMYFUNCTION("""COMPUTED_VALUE"""),"Praly")</f>
        <v>Praly</v>
      </c>
      <c r="C394" s="16" t="str">
        <f>IFERROR(__xludf.DUMMYFUNCTION("""COMPUTED_VALUE"""),"Developer")</f>
        <v>Developer</v>
      </c>
      <c r="D394" s="16" t="str">
        <f>IFERROR(__xludf.DUMMYFUNCTION("""COMPUTED_VALUE"""),"Subroclaims")</f>
        <v>Subroclaims</v>
      </c>
      <c r="E394" s="16" t="str">
        <f>IFERROR(__xludf.DUMMYFUNCTION("""COMPUTED_VALUE"""),"Growth")</f>
        <v>Growth</v>
      </c>
      <c r="F394" s="16" t="str">
        <f>IFERROR(__xludf.DUMMYFUNCTION("""COMPUTED_VALUE"""),"spraly@subroclaims.com")</f>
        <v>spraly@subroclaims.com</v>
      </c>
      <c r="G394" s="16" t="str">
        <f>IFERROR(__xludf.DUMMYFUNCTION("""COMPUTED_VALUE"""),"Tim Kennedy")</f>
        <v>Tim Kennedy</v>
      </c>
      <c r="H394" s="16" t="str">
        <f>IFERROR(__xludf.DUMMYFUNCTION("""COMPUTED_VALUE"""),"PartnerConnect - Technology")</f>
        <v>PartnerConnect - Technology</v>
      </c>
      <c r="I394" s="16"/>
      <c r="J394" s="16"/>
      <c r="K394" s="16"/>
      <c r="L394" s="16"/>
      <c r="M394" s="16"/>
      <c r="N394" s="16" t="str">
        <f>IFERROR(__xludf.DUMMYFUNCTION("""COMPUTED_VALUE"""),"United States")</f>
        <v>United States</v>
      </c>
      <c r="O394" s="16" t="str">
        <f>IFERROR(__xludf.DUMMYFUNCTION("""COMPUTED_VALUE"""),"Medium")</f>
        <v>Medium</v>
      </c>
      <c r="P394" s="16" t="b">
        <f>IFERROR(__xludf.DUMMYFUNCTION("""COMPUTED_VALUE"""),FALSE)</f>
        <v>0</v>
      </c>
      <c r="Q394" s="16" t="b">
        <f>IFERROR(__xludf.DUMMYFUNCTION("""COMPUTED_VALUE"""),TRUE)</f>
        <v>1</v>
      </c>
      <c r="R394" s="16" t="str">
        <f>IFERROR(__xludf.DUMMYFUNCTION("""COMPUTED_VALUE"""),"Technical")</f>
        <v>Technical</v>
      </c>
      <c r="S394" s="16" t="str">
        <f>IFERROR(__xludf.DUMMYFUNCTION("""COMPUTED_VALUE"""),"Subroclaims")</f>
        <v>Subroclaims</v>
      </c>
      <c r="T394" s="16" t="str">
        <f>IFERROR(__xludf.DUMMYFUNCTION("""COMPUTED_VALUE"""),"Current Partner")</f>
        <v>Current Partner</v>
      </c>
      <c r="U394" s="16" t="b">
        <f>IFERROR(__xludf.DUMMYFUNCTION("""COMPUTED_VALUE"""),FALSE)</f>
        <v>0</v>
      </c>
      <c r="V394" s="16"/>
      <c r="W394" s="16"/>
      <c r="X394" s="16"/>
    </row>
    <row r="395">
      <c r="A395" s="16" t="str">
        <f>IFERROR(__xludf.DUMMYFUNCTION("""COMPUTED_VALUE"""),"Luigi")</f>
        <v>Luigi</v>
      </c>
      <c r="B395" s="16" t="str">
        <f>IFERROR(__xludf.DUMMYFUNCTION("""COMPUTED_VALUE"""),"Zoso")</f>
        <v>Zoso</v>
      </c>
      <c r="C395" s="16" t="str">
        <f>IFERROR(__xludf.DUMMYFUNCTION("""COMPUTED_VALUE"""),"Vice President - Digital Change and Release Management ")</f>
        <v>Vice President - Digital Change and Release Management </v>
      </c>
      <c r="D395" s="16" t="str">
        <f>IFERROR(__xludf.DUMMYFUNCTION("""COMPUTED_VALUE"""),"Swiss Re Solutions Ltd.")</f>
        <v>Swiss Re Solutions Ltd.</v>
      </c>
      <c r="E395" s="16" t="str">
        <f>IFERROR(__xludf.DUMMYFUNCTION("""COMPUTED_VALUE"""),"Growth")</f>
        <v>Growth</v>
      </c>
      <c r="F395" s="16" t="str">
        <f>IFERROR(__xludf.DUMMYFUNCTION("""COMPUTED_VALUE"""),"luigi_zoso@swissre.com")</f>
        <v>luigi_zoso@swissre.com</v>
      </c>
      <c r="G395" s="16" t="str">
        <f>IFERROR(__xludf.DUMMYFUNCTION("""COMPUTED_VALUE"""),"Fatima Aoulagha-Bannou")</f>
        <v>Fatima Aoulagha-Bannou</v>
      </c>
      <c r="H395" s="16" t="str">
        <f>IFERROR(__xludf.DUMMYFUNCTION("""COMPUTED_VALUE"""),"PartnerConnect - Technology")</f>
        <v>PartnerConnect - Technology</v>
      </c>
      <c r="I395" s="16" t="str">
        <f>IFERROR(__xludf.DUMMYFUNCTION("""COMPUTED_VALUE"""),"30 St. Mary Axe")</f>
        <v>30 St. Mary Axe</v>
      </c>
      <c r="J395" s="16"/>
      <c r="K395" s="16" t="str">
        <f>IFERROR(__xludf.DUMMYFUNCTION("""COMPUTED_VALUE"""),"London")</f>
        <v>London</v>
      </c>
      <c r="L395" s="16"/>
      <c r="M395" s="16" t="str">
        <f>IFERROR(__xludf.DUMMYFUNCTION("""COMPUTED_VALUE"""),"EC3A 8EP")</f>
        <v>EC3A 8EP</v>
      </c>
      <c r="N395" s="16" t="str">
        <f>IFERROR(__xludf.DUMMYFUNCTION("""COMPUTED_VALUE"""),"Swizerland")</f>
        <v>Swizerland</v>
      </c>
      <c r="O395" s="16" t="str">
        <f>IFERROR(__xludf.DUMMYFUNCTION("""COMPUTED_VALUE"""),"Strategic")</f>
        <v>Strategic</v>
      </c>
      <c r="P395" s="16" t="b">
        <f>IFERROR(__xludf.DUMMYFUNCTION("""COMPUTED_VALUE"""),TRUE)</f>
        <v>1</v>
      </c>
      <c r="Q395" s="16" t="b">
        <f>IFERROR(__xludf.DUMMYFUNCTION("""COMPUTED_VALUE"""),FALSE)</f>
        <v>0</v>
      </c>
      <c r="R395" s="16" t="str">
        <f>IFERROR(__xludf.DUMMYFUNCTION("""COMPUTED_VALUE"""),"")</f>
        <v/>
      </c>
      <c r="S395" s="16" t="str">
        <f>IFERROR(__xludf.DUMMYFUNCTION("""COMPUTED_VALUE"""),"Swiss Re")</f>
        <v>Swiss Re</v>
      </c>
      <c r="T395" s="16" t="str">
        <f>IFERROR(__xludf.DUMMYFUNCTION("""COMPUTED_VALUE"""),"Current Partner")</f>
        <v>Current Partner</v>
      </c>
      <c r="U395" s="16" t="b">
        <f>IFERROR(__xludf.DUMMYFUNCTION("""COMPUTED_VALUE"""),FALSE)</f>
        <v>0</v>
      </c>
      <c r="V395" s="16"/>
      <c r="W395" s="16"/>
      <c r="X395" s="16"/>
    </row>
    <row r="396">
      <c r="A396" s="16" t="str">
        <f>IFERROR(__xludf.DUMMYFUNCTION("""COMPUTED_VALUE"""),"Nicole")</f>
        <v>Nicole</v>
      </c>
      <c r="B396" s="16" t="str">
        <f>IFERROR(__xludf.DUMMYFUNCTION("""COMPUTED_VALUE"""),"Kellenberger")</f>
        <v>Kellenberger</v>
      </c>
      <c r="C396" s="16" t="str">
        <f>IFERROR(__xludf.DUMMYFUNCTION("""COMPUTED_VALUE"""),"Global System &amp; e-Admin Lead at Swiss Re and Steering Committee member of Ruschlikon eAccounting &amp; Claims")</f>
        <v>Global System &amp; e-Admin Lead at Swiss Re and Steering Committee member of Ruschlikon eAccounting &amp; Claims</v>
      </c>
      <c r="D396" s="16" t="str">
        <f>IFERROR(__xludf.DUMMYFUNCTION("""COMPUTED_VALUE"""),"Swiss Re Solutions Ltd.")</f>
        <v>Swiss Re Solutions Ltd.</v>
      </c>
      <c r="E396" s="16" t="str">
        <f>IFERROR(__xludf.DUMMYFUNCTION("""COMPUTED_VALUE"""),"Growth")</f>
        <v>Growth</v>
      </c>
      <c r="F396" s="16" t="str">
        <f>IFERROR(__xludf.DUMMYFUNCTION("""COMPUTED_VALUE"""),"nicole_kellenberger@swissre.com")</f>
        <v>nicole_kellenberger@swissre.com</v>
      </c>
      <c r="G396" s="16" t="str">
        <f>IFERROR(__xludf.DUMMYFUNCTION("""COMPUTED_VALUE"""),"Fatima Aoulagha-Bannou")</f>
        <v>Fatima Aoulagha-Bannou</v>
      </c>
      <c r="H396" s="16" t="str">
        <f>IFERROR(__xludf.DUMMYFUNCTION("""COMPUTED_VALUE"""),"PartnerConnect - Technology")</f>
        <v>PartnerConnect - Technology</v>
      </c>
      <c r="I396" s="16"/>
      <c r="J396" s="16"/>
      <c r="K396" s="16"/>
      <c r="L396" s="16"/>
      <c r="M396" s="16"/>
      <c r="N396" s="16" t="str">
        <f>IFERROR(__xludf.DUMMYFUNCTION("""COMPUTED_VALUE"""),"Switzerland")</f>
        <v>Switzerland</v>
      </c>
      <c r="O396" s="16" t="str">
        <f>IFERROR(__xludf.DUMMYFUNCTION("""COMPUTED_VALUE"""),"Strategic")</f>
        <v>Strategic</v>
      </c>
      <c r="P396" s="16" t="b">
        <f>IFERROR(__xludf.DUMMYFUNCTION("""COMPUTED_VALUE"""),TRUE)</f>
        <v>1</v>
      </c>
      <c r="Q396" s="16" t="b">
        <f>IFERROR(__xludf.DUMMYFUNCTION("""COMPUTED_VALUE"""),FALSE)</f>
        <v>0</v>
      </c>
      <c r="R396" s="16" t="str">
        <f>IFERROR(__xludf.DUMMYFUNCTION("""COMPUTED_VALUE"""),"")</f>
        <v/>
      </c>
      <c r="S396" s="16" t="str">
        <f>IFERROR(__xludf.DUMMYFUNCTION("""COMPUTED_VALUE"""),"Swiss Re")</f>
        <v>Swiss Re</v>
      </c>
      <c r="T396" s="16" t="str">
        <f>IFERROR(__xludf.DUMMYFUNCTION("""COMPUTED_VALUE"""),"Current Partner")</f>
        <v>Current Partner</v>
      </c>
      <c r="U396" s="16" t="b">
        <f>IFERROR(__xludf.DUMMYFUNCTION("""COMPUTED_VALUE"""),FALSE)</f>
        <v>0</v>
      </c>
      <c r="V396" s="16"/>
      <c r="W396" s="16"/>
      <c r="X396" s="16"/>
    </row>
    <row r="397">
      <c r="A397" s="16" t="str">
        <f>IFERROR(__xludf.DUMMYFUNCTION("""COMPUTED_VALUE"""),"Andrew")</f>
        <v>Andrew</v>
      </c>
      <c r="B397" s="16" t="str">
        <f>IFERROR(__xludf.DUMMYFUNCTION("""COMPUTED_VALUE"""),"Holdway")</f>
        <v>Holdway</v>
      </c>
      <c r="C397" s="16" t="str">
        <f>IFERROR(__xludf.DUMMYFUNCTION("""COMPUTED_VALUE"""),"Head Partnerships")</f>
        <v>Head Partnerships</v>
      </c>
      <c r="D397" s="16" t="str">
        <f>IFERROR(__xludf.DUMMYFUNCTION("""COMPUTED_VALUE"""),"Swiss Re Solutions Ltd.")</f>
        <v>Swiss Re Solutions Ltd.</v>
      </c>
      <c r="E397" s="16" t="str">
        <f>IFERROR(__xludf.DUMMYFUNCTION("""COMPUTED_VALUE"""),"Growth")</f>
        <v>Growth</v>
      </c>
      <c r="F397" s="16" t="str">
        <f>IFERROR(__xludf.DUMMYFUNCTION("""COMPUTED_VALUE"""),"andrew_holdway@swissre.com")</f>
        <v>andrew_holdway@swissre.com</v>
      </c>
      <c r="G397" s="16" t="str">
        <f>IFERROR(__xludf.DUMMYFUNCTION("""COMPUTED_VALUE"""),"Fatima Aoulagha-Bannou")</f>
        <v>Fatima Aoulagha-Bannou</v>
      </c>
      <c r="H397" s="16" t="str">
        <f>IFERROR(__xludf.DUMMYFUNCTION("""COMPUTED_VALUE"""),"PartnerConnect - Technology")</f>
        <v>PartnerConnect - Technology</v>
      </c>
      <c r="I397" s="16" t="str">
        <f>IFERROR(__xludf.DUMMYFUNCTION("""COMPUTED_VALUE"""),"Torre Europa")</f>
        <v>Torre Europa</v>
      </c>
      <c r="J397" s="16"/>
      <c r="K397" s="16" t="str">
        <f>IFERROR(__xludf.DUMMYFUNCTION("""COMPUTED_VALUE"""),"MADRID")</f>
        <v>MADRID</v>
      </c>
      <c r="L397" s="16" t="str">
        <f>IFERROR(__xludf.DUMMYFUNCTION("""COMPUTED_VALUE"""),"Madrid")</f>
        <v>Madrid</v>
      </c>
      <c r="M397" s="16">
        <f>IFERROR(__xludf.DUMMYFUNCTION("""COMPUTED_VALUE"""),28046.0)</f>
        <v>28046</v>
      </c>
      <c r="N397" s="16" t="str">
        <f>IFERROR(__xludf.DUMMYFUNCTION("""COMPUTED_VALUE"""),"Spain")</f>
        <v>Spain</v>
      </c>
      <c r="O397" s="16" t="str">
        <f>IFERROR(__xludf.DUMMYFUNCTION("""COMPUTED_VALUE"""),"Strategic")</f>
        <v>Strategic</v>
      </c>
      <c r="P397" s="16" t="b">
        <f>IFERROR(__xludf.DUMMYFUNCTION("""COMPUTED_VALUE"""),TRUE)</f>
        <v>1</v>
      </c>
      <c r="Q397" s="16" t="b">
        <f>IFERROR(__xludf.DUMMYFUNCTION("""COMPUTED_VALUE"""),FALSE)</f>
        <v>0</v>
      </c>
      <c r="R397" s="16" t="str">
        <f>IFERROR(__xludf.DUMMYFUNCTION("""COMPUTED_VALUE"""),"Admin")</f>
        <v>Admin</v>
      </c>
      <c r="S397" s="16" t="str">
        <f>IFERROR(__xludf.DUMMYFUNCTION("""COMPUTED_VALUE"""),"Swiss Re")</f>
        <v>Swiss Re</v>
      </c>
      <c r="T397" s="16" t="str">
        <f>IFERROR(__xludf.DUMMYFUNCTION("""COMPUTED_VALUE"""),"Current Partner")</f>
        <v>Current Partner</v>
      </c>
      <c r="U397" s="16" t="b">
        <f>IFERROR(__xludf.DUMMYFUNCTION("""COMPUTED_VALUE"""),FALSE)</f>
        <v>0</v>
      </c>
      <c r="V397" s="16"/>
      <c r="W397" s="16"/>
      <c r="X397" s="16"/>
    </row>
    <row r="398">
      <c r="A398" s="16" t="str">
        <f>IFERROR(__xludf.DUMMYFUNCTION("""COMPUTED_VALUE"""),"Mark")</f>
        <v>Mark</v>
      </c>
      <c r="B398" s="16" t="str">
        <f>IFERROR(__xludf.DUMMYFUNCTION("""COMPUTED_VALUE"""),"Witteveen")</f>
        <v>Witteveen</v>
      </c>
      <c r="C398" s="16" t="str">
        <f>IFERROR(__xludf.DUMMYFUNCTION("""COMPUTED_VALUE"""),"Head of Business Development and Partnerships")</f>
        <v>Head of Business Development and Partnerships</v>
      </c>
      <c r="D398" s="16" t="str">
        <f>IFERROR(__xludf.DUMMYFUNCTION("""COMPUTED_VALUE"""),"Sync Technologies")</f>
        <v>Sync Technologies</v>
      </c>
      <c r="E398" s="16" t="str">
        <f>IFERROR(__xludf.DUMMYFUNCTION("""COMPUTED_VALUE"""),"Insurtech Vanguard")</f>
        <v>Insurtech Vanguard</v>
      </c>
      <c r="F398" s="16" t="str">
        <f>IFERROR(__xludf.DUMMYFUNCTION("""COMPUTED_VALUE"""),"mark@synctech.io")</f>
        <v>mark@synctech.io</v>
      </c>
      <c r="G398" s="16" t="str">
        <f>IFERROR(__xludf.DUMMYFUNCTION("""COMPUTED_VALUE"""),"Shannon Spies")</f>
        <v>Shannon Spies</v>
      </c>
      <c r="H398" s="16"/>
      <c r="I398" s="16"/>
      <c r="J398" s="16"/>
      <c r="K398" s="16"/>
      <c r="L398" s="16"/>
      <c r="M398" s="16"/>
      <c r="N398" s="16" t="str">
        <f>IFERROR(__xludf.DUMMYFUNCTION("""COMPUTED_VALUE"""),"Australia")</f>
        <v>Australia</v>
      </c>
      <c r="O398" s="16"/>
      <c r="P398" s="16" t="b">
        <f>IFERROR(__xludf.DUMMYFUNCTION("""COMPUTED_VALUE"""),TRUE)</f>
        <v>1</v>
      </c>
      <c r="Q398" s="16" t="b">
        <f>IFERROR(__xludf.DUMMYFUNCTION("""COMPUTED_VALUE"""),FALSE)</f>
        <v>0</v>
      </c>
      <c r="R398" s="16" t="str">
        <f>IFERROR(__xludf.DUMMYFUNCTION("""COMPUTED_VALUE"""),"")</f>
        <v/>
      </c>
      <c r="S398" s="16" t="str">
        <f>IFERROR(__xludf.DUMMYFUNCTION("""COMPUTED_VALUE"""),"Sync")</f>
        <v>Sync</v>
      </c>
      <c r="T398" s="16" t="str">
        <f>IFERROR(__xludf.DUMMYFUNCTION("""COMPUTED_VALUE"""),"Current Vanguard")</f>
        <v>Current Vanguard</v>
      </c>
      <c r="U398" s="16" t="b">
        <f>IFERROR(__xludf.DUMMYFUNCTION("""COMPUTED_VALUE"""),FALSE)</f>
        <v>0</v>
      </c>
      <c r="V398" s="16"/>
      <c r="W398" s="16"/>
      <c r="X398" s="16"/>
    </row>
    <row r="399">
      <c r="A399" s="16" t="str">
        <f>IFERROR(__xludf.DUMMYFUNCTION("""COMPUTED_VALUE"""),"Chris")</f>
        <v>Chris</v>
      </c>
      <c r="B399" s="16" t="str">
        <f>IFERROR(__xludf.DUMMYFUNCTION("""COMPUTED_VALUE"""),"Lewis")</f>
        <v>Lewis</v>
      </c>
      <c r="C399" s="16" t="str">
        <f>IFERROR(__xludf.DUMMYFUNCTION("""COMPUTED_VALUE"""),"Head of Solutions")</f>
        <v>Head of Solutions</v>
      </c>
      <c r="D399" s="16" t="str">
        <f>IFERROR(__xludf.DUMMYFUNCTION("""COMPUTED_VALUE"""),"Synectics Solutions")</f>
        <v>Synectics Solutions</v>
      </c>
      <c r="E399" s="16" t="str">
        <f>IFERROR(__xludf.DUMMYFUNCTION("""COMPUTED_VALUE"""),"Select")</f>
        <v>Select</v>
      </c>
      <c r="F399" s="16" t="str">
        <f>IFERROR(__xludf.DUMMYFUNCTION("""COMPUTED_VALUE"""),"chris.lewis@synectics-solutions.com")</f>
        <v>chris.lewis@synectics-solutions.com</v>
      </c>
      <c r="G399" s="16" t="str">
        <f>IFERROR(__xludf.DUMMYFUNCTION("""COMPUTED_VALUE"""),"Vivienne Hoary")</f>
        <v>Vivienne Hoary</v>
      </c>
      <c r="H399" s="16" t="str">
        <f>IFERROR(__xludf.DUMMYFUNCTION("""COMPUTED_VALUE"""),"PartnerConnect - Technology")</f>
        <v>PartnerConnect - Technology</v>
      </c>
      <c r="I399" s="16"/>
      <c r="J399" s="16"/>
      <c r="K399" s="16" t="str">
        <f>IFERROR(__xludf.DUMMYFUNCTION("""COMPUTED_VALUE"""),"Newcastle-under-Lyme")</f>
        <v>Newcastle-under-Lyme</v>
      </c>
      <c r="L399" s="16" t="str">
        <f>IFERROR(__xludf.DUMMYFUNCTION("""COMPUTED_VALUE"""),"Staffordshire")</f>
        <v>Staffordshire</v>
      </c>
      <c r="M399" s="16" t="str">
        <f>IFERROR(__xludf.DUMMYFUNCTION("""COMPUTED_VALUE"""),"ST5 0QY")</f>
        <v>ST5 0QY</v>
      </c>
      <c r="N399" s="16" t="str">
        <f>IFERROR(__xludf.DUMMYFUNCTION("""COMPUTED_VALUE"""),"United Kingdom")</f>
        <v>United Kingdom</v>
      </c>
      <c r="O399" s="16" t="str">
        <f>IFERROR(__xludf.DUMMYFUNCTION("""COMPUTED_VALUE"""),"Low")</f>
        <v>Low</v>
      </c>
      <c r="P399" s="16" t="b">
        <f>IFERROR(__xludf.DUMMYFUNCTION("""COMPUTED_VALUE"""),TRUE)</f>
        <v>1</v>
      </c>
      <c r="Q399" s="16" t="b">
        <f>IFERROR(__xludf.DUMMYFUNCTION("""COMPUTED_VALUE"""),FALSE)</f>
        <v>0</v>
      </c>
      <c r="R399" s="16" t="str">
        <f>IFERROR(__xludf.DUMMYFUNCTION("""COMPUTED_VALUE"""),"Admin")</f>
        <v>Admin</v>
      </c>
      <c r="S399" s="16" t="str">
        <f>IFERROR(__xludf.DUMMYFUNCTION("""COMPUTED_VALUE"""),"Synectics")</f>
        <v>Synectics</v>
      </c>
      <c r="T399" s="16" t="str">
        <f>IFERROR(__xludf.DUMMYFUNCTION("""COMPUTED_VALUE"""),"Current Partner")</f>
        <v>Current Partner</v>
      </c>
      <c r="U399" s="16" t="b">
        <f>IFERROR(__xludf.DUMMYFUNCTION("""COMPUTED_VALUE"""),FALSE)</f>
        <v>0</v>
      </c>
      <c r="V399" s="16"/>
      <c r="W399" s="16"/>
      <c r="X399" s="16"/>
    </row>
    <row r="400">
      <c r="A400" s="16" t="str">
        <f>IFERROR(__xludf.DUMMYFUNCTION("""COMPUTED_VALUE"""),"Alex")</f>
        <v>Alex</v>
      </c>
      <c r="B400" s="16" t="str">
        <f>IFERROR(__xludf.DUMMYFUNCTION("""COMPUTED_VALUE"""),"Ward-Brassington")</f>
        <v>Ward-Brassington</v>
      </c>
      <c r="C400" s="16" t="str">
        <f>IFERROR(__xludf.DUMMYFUNCTION("""COMPUTED_VALUE"""),"Marketing and PR Manager")</f>
        <v>Marketing and PR Manager</v>
      </c>
      <c r="D400" s="16" t="str">
        <f>IFERROR(__xludf.DUMMYFUNCTION("""COMPUTED_VALUE"""),"Synectics Solutions")</f>
        <v>Synectics Solutions</v>
      </c>
      <c r="E400" s="16" t="str">
        <f>IFERROR(__xludf.DUMMYFUNCTION("""COMPUTED_VALUE"""),"Select")</f>
        <v>Select</v>
      </c>
      <c r="F400" s="16" t="str">
        <f>IFERROR(__xludf.DUMMYFUNCTION("""COMPUTED_VALUE"""),"alex.ward-brassington@synectics-solutions.com")</f>
        <v>alex.ward-brassington@synectics-solutions.com</v>
      </c>
      <c r="G400" s="16" t="str">
        <f>IFERROR(__xludf.DUMMYFUNCTION("""COMPUTED_VALUE"""),"Vivienne Hoary")</f>
        <v>Vivienne Hoary</v>
      </c>
      <c r="H400" s="16" t="str">
        <f>IFERROR(__xludf.DUMMYFUNCTION("""COMPUTED_VALUE"""),"PartnerConnect - Technology")</f>
        <v>PartnerConnect - Technology</v>
      </c>
      <c r="I400" s="16" t="str">
        <f>IFERROR(__xludf.DUMMYFUNCTION("""COMPUTED_VALUE"""),"Hamil Road")</f>
        <v>Hamil Road</v>
      </c>
      <c r="J400" s="16"/>
      <c r="K400" s="16" t="str">
        <f>IFERROR(__xludf.DUMMYFUNCTION("""COMPUTED_VALUE"""),"Stoke-on-Trent")</f>
        <v>Stoke-on-Trent</v>
      </c>
      <c r="L400" s="16" t="str">
        <f>IFERROR(__xludf.DUMMYFUNCTION("""COMPUTED_VALUE"""),"Staffordshire")</f>
        <v>Staffordshire</v>
      </c>
      <c r="M400" s="16" t="str">
        <f>IFERROR(__xludf.DUMMYFUNCTION("""COMPUTED_VALUE"""),"ST6 1AJ")</f>
        <v>ST6 1AJ</v>
      </c>
      <c r="N400" s="16" t="str">
        <f>IFERROR(__xludf.DUMMYFUNCTION("""COMPUTED_VALUE"""),"United Kingdom")</f>
        <v>United Kingdom</v>
      </c>
      <c r="O400" s="16" t="str">
        <f>IFERROR(__xludf.DUMMYFUNCTION("""COMPUTED_VALUE"""),"Low")</f>
        <v>Low</v>
      </c>
      <c r="P400" s="16" t="b">
        <f>IFERROR(__xludf.DUMMYFUNCTION("""COMPUTED_VALUE"""),FALSE)</f>
        <v>0</v>
      </c>
      <c r="Q400" s="16" t="b">
        <f>IFERROR(__xludf.DUMMYFUNCTION("""COMPUTED_VALUE"""),TRUE)</f>
        <v>1</v>
      </c>
      <c r="R400" s="16" t="str">
        <f>IFERROR(__xludf.DUMMYFUNCTION("""COMPUTED_VALUE"""),"Events, Marketing")</f>
        <v>Events, Marketing</v>
      </c>
      <c r="S400" s="16" t="str">
        <f>IFERROR(__xludf.DUMMYFUNCTION("""COMPUTED_VALUE"""),"Synectics")</f>
        <v>Synectics</v>
      </c>
      <c r="T400" s="16" t="str">
        <f>IFERROR(__xludf.DUMMYFUNCTION("""COMPUTED_VALUE"""),"Current Partner")</f>
        <v>Current Partner</v>
      </c>
      <c r="U400" s="16" t="b">
        <f>IFERROR(__xludf.DUMMYFUNCTION("""COMPUTED_VALUE"""),FALSE)</f>
        <v>0</v>
      </c>
      <c r="V400" s="16"/>
      <c r="W400" s="16"/>
      <c r="X400" s="16"/>
    </row>
  </sheetData>
  <hyperlinks>
    <hyperlink r:id="rId1" ref="D79"/>
    <hyperlink r:id="rId2" ref="D160"/>
    <hyperlink r:id="rId3" ref="S160"/>
    <hyperlink r:id="rId4" ref="D161"/>
    <hyperlink r:id="rId5" ref="S161"/>
    <hyperlink r:id="rId6" ref="D162"/>
    <hyperlink r:id="rId7" ref="S162"/>
    <hyperlink r:id="rId8" ref="D163"/>
    <hyperlink r:id="rId9" ref="S163"/>
    <hyperlink r:id="rId10" ref="D164"/>
    <hyperlink r:id="rId11" ref="D386"/>
    <hyperlink r:id="rId12" ref="S386"/>
  </hyperlinks>
  <drawing r:id="rId1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63"/>
  </cols>
  <sheetData>
    <row r="1">
      <c r="A1" s="28" t="s">
        <v>1072</v>
      </c>
      <c r="B1" s="28" t="s">
        <v>1073</v>
      </c>
      <c r="C1" s="28" t="s">
        <v>1074</v>
      </c>
      <c r="D1" s="28" t="s">
        <v>1075</v>
      </c>
      <c r="E1" s="28" t="s">
        <v>1076</v>
      </c>
      <c r="F1" s="6"/>
      <c r="G1" s="6"/>
      <c r="H1" s="6"/>
      <c r="I1" s="6"/>
      <c r="J1" s="6"/>
      <c r="K1" s="6"/>
      <c r="L1" s="6"/>
      <c r="M1" s="6"/>
      <c r="N1" s="6"/>
      <c r="O1" s="6"/>
      <c r="P1" s="6"/>
      <c r="Q1" s="6"/>
      <c r="R1" s="6"/>
      <c r="S1" s="6"/>
      <c r="T1" s="6"/>
      <c r="U1" s="6"/>
      <c r="V1" s="6"/>
      <c r="W1" s="6"/>
      <c r="X1" s="6"/>
      <c r="Y1" s="6"/>
      <c r="Z1" s="6"/>
    </row>
    <row r="2">
      <c r="A2" s="1">
        <v>1.8378221787E10</v>
      </c>
      <c r="B2" s="1" t="s">
        <v>1077</v>
      </c>
      <c r="C2" s="1" t="s">
        <v>1078</v>
      </c>
      <c r="D2" s="1">
        <v>7335938.0</v>
      </c>
      <c r="E2" s="1" t="s">
        <v>1079</v>
      </c>
    </row>
    <row r="3">
      <c r="A3" s="1">
        <v>1.8378221729E10</v>
      </c>
      <c r="B3" s="1" t="s">
        <v>1080</v>
      </c>
      <c r="C3" s="1" t="s">
        <v>1078</v>
      </c>
      <c r="D3" s="1">
        <v>7335938.0</v>
      </c>
      <c r="E3" s="1" t="s">
        <v>1079</v>
      </c>
    </row>
    <row r="4">
      <c r="A4" s="1">
        <v>9.842632313E9</v>
      </c>
      <c r="B4" s="1" t="s">
        <v>1081</v>
      </c>
      <c r="C4" s="1" t="s">
        <v>1078</v>
      </c>
      <c r="D4" s="1">
        <v>7335938.0</v>
      </c>
      <c r="E4" s="1" t="s">
        <v>1079</v>
      </c>
    </row>
    <row r="5">
      <c r="A5" s="1">
        <v>9.842631853E9</v>
      </c>
      <c r="B5" s="1" t="s">
        <v>1082</v>
      </c>
      <c r="C5" s="1" t="s">
        <v>1078</v>
      </c>
      <c r="D5" s="1">
        <v>7335938.0</v>
      </c>
      <c r="E5" s="1" t="s">
        <v>1079</v>
      </c>
    </row>
    <row r="6">
      <c r="A6" s="1">
        <v>8.862112767E9</v>
      </c>
      <c r="B6" s="1" t="s">
        <v>1083</v>
      </c>
      <c r="C6" s="1" t="s">
        <v>1078</v>
      </c>
      <c r="D6" s="1">
        <v>7335938.0</v>
      </c>
      <c r="E6" s="1" t="s">
        <v>1079</v>
      </c>
    </row>
    <row r="7">
      <c r="A7" s="1">
        <v>8.862112421E9</v>
      </c>
      <c r="B7" s="1" t="s">
        <v>1084</v>
      </c>
      <c r="C7" s="1" t="s">
        <v>1078</v>
      </c>
      <c r="D7" s="1">
        <v>7335938.0</v>
      </c>
      <c r="E7" s="1" t="s">
        <v>1079</v>
      </c>
    </row>
    <row r="8">
      <c r="A8" s="1">
        <v>7.853965918E9</v>
      </c>
      <c r="B8" s="1" t="s">
        <v>1085</v>
      </c>
      <c r="C8" s="1" t="s">
        <v>1078</v>
      </c>
      <c r="D8" s="1">
        <v>7335938.0</v>
      </c>
      <c r="E8" s="1" t="s">
        <v>1079</v>
      </c>
    </row>
    <row r="9">
      <c r="A9" s="1">
        <v>7.853965525E9</v>
      </c>
      <c r="B9" s="1" t="s">
        <v>1086</v>
      </c>
      <c r="C9" s="1" t="s">
        <v>1078</v>
      </c>
      <c r="D9" s="1">
        <v>7335938.0</v>
      </c>
      <c r="E9" s="1" t="s">
        <v>1079</v>
      </c>
    </row>
    <row r="10">
      <c r="A10" s="1">
        <v>7.203430806E9</v>
      </c>
      <c r="B10" s="1" t="s">
        <v>1087</v>
      </c>
      <c r="C10" s="1" t="s">
        <v>1078</v>
      </c>
      <c r="D10" s="1">
        <v>7335938.0</v>
      </c>
      <c r="E10" s="1" t="s">
        <v>1079</v>
      </c>
    </row>
    <row r="11">
      <c r="A11" s="1">
        <v>7.179643762E9</v>
      </c>
      <c r="B11" s="1" t="s">
        <v>1088</v>
      </c>
      <c r="C11" s="1" t="s">
        <v>1078</v>
      </c>
      <c r="D11" s="1">
        <v>7335938.0</v>
      </c>
      <c r="E11" s="1" t="s">
        <v>1079</v>
      </c>
    </row>
    <row r="12">
      <c r="A12" s="1">
        <v>7.137580561E9</v>
      </c>
      <c r="B12" s="1" t="s">
        <v>1089</v>
      </c>
      <c r="C12" s="1" t="s">
        <v>1078</v>
      </c>
      <c r="D12" s="1">
        <v>7335938.0</v>
      </c>
      <c r="E12" s="1" t="s">
        <v>1079</v>
      </c>
    </row>
    <row r="13">
      <c r="A13" s="1">
        <v>7.105378551E9</v>
      </c>
      <c r="B13" s="1" t="s">
        <v>1090</v>
      </c>
      <c r="C13" s="1" t="s">
        <v>1078</v>
      </c>
      <c r="D13" s="1">
        <v>7335938.0</v>
      </c>
      <c r="E13" s="1" t="s">
        <v>1079</v>
      </c>
    </row>
    <row r="14">
      <c r="A14" s="1">
        <v>1.8401586051E10</v>
      </c>
      <c r="B14" s="1" t="s">
        <v>1091</v>
      </c>
      <c r="C14" s="1" t="s">
        <v>1092</v>
      </c>
      <c r="D14" s="1">
        <v>7335962.0</v>
      </c>
      <c r="E14" s="1" t="s">
        <v>1093</v>
      </c>
    </row>
    <row r="15">
      <c r="A15" s="1">
        <v>1.8401586045E10</v>
      </c>
      <c r="B15" s="1" t="s">
        <v>1094</v>
      </c>
      <c r="C15" s="1" t="s">
        <v>1092</v>
      </c>
      <c r="D15" s="1">
        <v>7335962.0</v>
      </c>
      <c r="E15" s="1" t="s">
        <v>1093</v>
      </c>
    </row>
    <row r="16">
      <c r="A16" s="1">
        <v>1.8401412689E10</v>
      </c>
      <c r="B16" s="1" t="s">
        <v>1095</v>
      </c>
      <c r="C16" s="1" t="s">
        <v>1092</v>
      </c>
      <c r="D16" s="1">
        <v>7335962.0</v>
      </c>
      <c r="E16" s="1" t="s">
        <v>1093</v>
      </c>
    </row>
    <row r="17">
      <c r="A17" s="1">
        <v>1.8401412681E10</v>
      </c>
      <c r="B17" s="1" t="s">
        <v>1096</v>
      </c>
      <c r="C17" s="1" t="s">
        <v>1092</v>
      </c>
      <c r="D17" s="1">
        <v>7335962.0</v>
      </c>
      <c r="E17" s="1" t="s">
        <v>1093</v>
      </c>
    </row>
    <row r="18">
      <c r="A18" s="1">
        <v>1.8401235919E10</v>
      </c>
      <c r="B18" s="1" t="s">
        <v>1097</v>
      </c>
      <c r="C18" s="1" t="s">
        <v>1092</v>
      </c>
      <c r="D18" s="1">
        <v>7335962.0</v>
      </c>
      <c r="E18" s="1" t="s">
        <v>1093</v>
      </c>
    </row>
    <row r="19">
      <c r="A19" s="1">
        <v>1.8401235912E10</v>
      </c>
      <c r="B19" s="1" t="s">
        <v>1098</v>
      </c>
      <c r="C19" s="1" t="s">
        <v>1092</v>
      </c>
      <c r="D19" s="1">
        <v>7335962.0</v>
      </c>
      <c r="E19" s="1" t="s">
        <v>1093</v>
      </c>
    </row>
    <row r="20">
      <c r="A20" s="1">
        <v>1.84012357E10</v>
      </c>
      <c r="B20" s="1" t="s">
        <v>1099</v>
      </c>
      <c r="C20" s="1" t="s">
        <v>1092</v>
      </c>
      <c r="D20" s="1">
        <v>7335962.0</v>
      </c>
      <c r="E20" s="1" t="s">
        <v>1093</v>
      </c>
    </row>
    <row r="21">
      <c r="A21" s="1">
        <v>1.8401235685E10</v>
      </c>
      <c r="B21" s="1" t="s">
        <v>1100</v>
      </c>
      <c r="C21" s="1" t="s">
        <v>1092</v>
      </c>
      <c r="D21" s="1">
        <v>7335962.0</v>
      </c>
      <c r="E21" s="1" t="s">
        <v>1093</v>
      </c>
    </row>
    <row r="22">
      <c r="A22" s="1">
        <v>1.8400812975E10</v>
      </c>
      <c r="B22" s="1" t="s">
        <v>1101</v>
      </c>
      <c r="C22" s="1" t="s">
        <v>1092</v>
      </c>
      <c r="D22" s="1">
        <v>7335962.0</v>
      </c>
      <c r="E22" s="1" t="s">
        <v>1093</v>
      </c>
    </row>
    <row r="23">
      <c r="A23" s="1">
        <v>1.8400812971E10</v>
      </c>
      <c r="B23" s="1" t="s">
        <v>1102</v>
      </c>
      <c r="C23" s="1" t="s">
        <v>1092</v>
      </c>
      <c r="D23" s="1">
        <v>7335962.0</v>
      </c>
      <c r="E23" s="1" t="s">
        <v>1093</v>
      </c>
    </row>
    <row r="24">
      <c r="A24" s="1">
        <v>1.8400716148E10</v>
      </c>
      <c r="B24" s="1" t="s">
        <v>1103</v>
      </c>
      <c r="C24" s="1" t="s">
        <v>1092</v>
      </c>
      <c r="D24" s="1">
        <v>7335962.0</v>
      </c>
      <c r="E24" s="1" t="s">
        <v>1093</v>
      </c>
    </row>
    <row r="25">
      <c r="A25" s="1">
        <v>1.8400716147E10</v>
      </c>
      <c r="B25" s="1" t="s">
        <v>1104</v>
      </c>
      <c r="C25" s="1" t="s">
        <v>1092</v>
      </c>
      <c r="D25" s="1">
        <v>7335962.0</v>
      </c>
      <c r="E25" s="1" t="s">
        <v>1093</v>
      </c>
    </row>
    <row r="26">
      <c r="A26" s="1">
        <v>1.8400638185E10</v>
      </c>
      <c r="B26" s="1" t="s">
        <v>1105</v>
      </c>
      <c r="C26" s="1" t="s">
        <v>1092</v>
      </c>
      <c r="D26" s="1">
        <v>7335962.0</v>
      </c>
      <c r="E26" s="1" t="s">
        <v>1093</v>
      </c>
    </row>
    <row r="27">
      <c r="A27" s="1">
        <v>1.8400638179E10</v>
      </c>
      <c r="B27" s="1" t="s">
        <v>1106</v>
      </c>
      <c r="C27" s="1" t="s">
        <v>1092</v>
      </c>
      <c r="D27" s="1">
        <v>7335962.0</v>
      </c>
      <c r="E27" s="1" t="s">
        <v>1093</v>
      </c>
    </row>
    <row r="28">
      <c r="A28" s="1">
        <v>1.8399500793E10</v>
      </c>
      <c r="B28" s="1" t="s">
        <v>1107</v>
      </c>
      <c r="C28" s="1" t="s">
        <v>1092</v>
      </c>
      <c r="D28" s="1">
        <v>7335962.0</v>
      </c>
      <c r="E28" s="1" t="s">
        <v>1093</v>
      </c>
    </row>
    <row r="29">
      <c r="A29" s="1">
        <v>1.8399500782E10</v>
      </c>
      <c r="B29" s="1" t="s">
        <v>1108</v>
      </c>
      <c r="C29" s="1" t="s">
        <v>1092</v>
      </c>
      <c r="D29" s="1">
        <v>7335962.0</v>
      </c>
      <c r="E29" s="1" t="s">
        <v>1093</v>
      </c>
    </row>
    <row r="30">
      <c r="A30" s="1">
        <v>1.8399489217E10</v>
      </c>
      <c r="B30" s="1" t="s">
        <v>1109</v>
      </c>
      <c r="C30" s="1" t="s">
        <v>1092</v>
      </c>
      <c r="D30" s="1">
        <v>7335962.0</v>
      </c>
      <c r="E30" s="1" t="s">
        <v>1093</v>
      </c>
    </row>
    <row r="31">
      <c r="A31" s="1">
        <v>1.8399489189E10</v>
      </c>
      <c r="B31" s="1" t="s">
        <v>1110</v>
      </c>
      <c r="C31" s="1" t="s">
        <v>1092</v>
      </c>
      <c r="D31" s="1">
        <v>7335962.0</v>
      </c>
      <c r="E31" s="1" t="s">
        <v>1093</v>
      </c>
    </row>
    <row r="32">
      <c r="A32" s="1">
        <v>1.839942927E10</v>
      </c>
      <c r="B32" s="1" t="s">
        <v>1111</v>
      </c>
      <c r="C32" s="1" t="s">
        <v>1078</v>
      </c>
      <c r="D32" s="1">
        <v>7335962.0</v>
      </c>
      <c r="E32" s="1" t="s">
        <v>1093</v>
      </c>
    </row>
    <row r="33">
      <c r="A33" s="1">
        <v>1.8399220664E10</v>
      </c>
      <c r="B33" s="1" t="s">
        <v>1112</v>
      </c>
      <c r="C33" s="1" t="s">
        <v>1092</v>
      </c>
      <c r="D33" s="1">
        <v>7335962.0</v>
      </c>
      <c r="E33" s="1" t="s">
        <v>1093</v>
      </c>
    </row>
    <row r="34">
      <c r="A34" s="1">
        <v>1.8399220661E10</v>
      </c>
      <c r="B34" s="1" t="s">
        <v>1113</v>
      </c>
      <c r="C34" s="1" t="s">
        <v>1092</v>
      </c>
      <c r="D34" s="1">
        <v>7335962.0</v>
      </c>
      <c r="E34" s="1" t="s">
        <v>1093</v>
      </c>
    </row>
    <row r="35">
      <c r="A35" s="1">
        <v>1.8398978226E10</v>
      </c>
      <c r="B35" s="1" t="s">
        <v>1114</v>
      </c>
      <c r="C35" s="1" t="s">
        <v>1092</v>
      </c>
      <c r="D35" s="1">
        <v>7335962.0</v>
      </c>
      <c r="E35" s="1" t="s">
        <v>1093</v>
      </c>
    </row>
    <row r="36">
      <c r="A36" s="1">
        <v>1.8398978224E10</v>
      </c>
      <c r="B36" s="1" t="s">
        <v>1115</v>
      </c>
      <c r="C36" s="1" t="s">
        <v>1092</v>
      </c>
      <c r="D36" s="1">
        <v>7335962.0</v>
      </c>
      <c r="E36" s="1" t="s">
        <v>1093</v>
      </c>
    </row>
    <row r="37">
      <c r="A37" s="1">
        <v>1.8398978097E10</v>
      </c>
      <c r="B37" s="1" t="s">
        <v>1116</v>
      </c>
      <c r="C37" s="1" t="s">
        <v>1092</v>
      </c>
      <c r="D37" s="1">
        <v>7335962.0</v>
      </c>
      <c r="E37" s="1" t="s">
        <v>1093</v>
      </c>
    </row>
    <row r="38">
      <c r="A38" s="1">
        <v>1.8398978095E10</v>
      </c>
      <c r="B38" s="1" t="s">
        <v>1117</v>
      </c>
      <c r="C38" s="1" t="s">
        <v>1092</v>
      </c>
      <c r="D38" s="1">
        <v>7335962.0</v>
      </c>
      <c r="E38" s="1" t="s">
        <v>1093</v>
      </c>
    </row>
    <row r="39">
      <c r="A39" s="1">
        <v>1.8398744161E10</v>
      </c>
      <c r="B39" s="1" t="s">
        <v>1118</v>
      </c>
      <c r="C39" s="1" t="s">
        <v>1092</v>
      </c>
      <c r="D39" s="1">
        <v>7335962.0</v>
      </c>
      <c r="E39" s="1" t="s">
        <v>1093</v>
      </c>
    </row>
    <row r="40">
      <c r="A40" s="1">
        <v>1.8398744153E10</v>
      </c>
      <c r="B40" s="1" t="s">
        <v>1119</v>
      </c>
      <c r="C40" s="1" t="s">
        <v>1092</v>
      </c>
      <c r="D40" s="1">
        <v>7335962.0</v>
      </c>
      <c r="E40" s="1" t="s">
        <v>1093</v>
      </c>
    </row>
    <row r="41">
      <c r="A41" s="1">
        <v>1.839874382E10</v>
      </c>
      <c r="B41" s="1" t="s">
        <v>1120</v>
      </c>
      <c r="C41" s="1" t="s">
        <v>1092</v>
      </c>
      <c r="D41" s="1">
        <v>7335962.0</v>
      </c>
      <c r="E41" s="1" t="s">
        <v>1093</v>
      </c>
    </row>
    <row r="42">
      <c r="A42" s="1">
        <v>1.8398743813E10</v>
      </c>
      <c r="B42" s="1" t="s">
        <v>1121</v>
      </c>
      <c r="C42" s="1" t="s">
        <v>1092</v>
      </c>
      <c r="D42" s="1">
        <v>7335962.0</v>
      </c>
      <c r="E42" s="1" t="s">
        <v>1093</v>
      </c>
    </row>
    <row r="43">
      <c r="A43" s="1">
        <v>1.8398410796E10</v>
      </c>
      <c r="B43" s="1" t="s">
        <v>1122</v>
      </c>
      <c r="C43" s="1" t="s">
        <v>1092</v>
      </c>
      <c r="D43" s="1">
        <v>7335962.0</v>
      </c>
      <c r="E43" s="1" t="s">
        <v>1093</v>
      </c>
    </row>
    <row r="44">
      <c r="A44" s="1">
        <v>1.8398410791E10</v>
      </c>
      <c r="B44" s="1" t="s">
        <v>1123</v>
      </c>
      <c r="C44" s="1" t="s">
        <v>1092</v>
      </c>
      <c r="D44" s="1">
        <v>7335962.0</v>
      </c>
      <c r="E44" s="1" t="s">
        <v>1093</v>
      </c>
    </row>
    <row r="45">
      <c r="A45" s="1">
        <v>1.8398016602E10</v>
      </c>
      <c r="B45" s="1" t="s">
        <v>1124</v>
      </c>
      <c r="C45" s="1" t="s">
        <v>1092</v>
      </c>
      <c r="D45" s="1">
        <v>7335962.0</v>
      </c>
      <c r="E45" s="1" t="s">
        <v>1093</v>
      </c>
    </row>
    <row r="46">
      <c r="A46" s="1">
        <v>1.8398016592E10</v>
      </c>
      <c r="B46" s="1" t="s">
        <v>1125</v>
      </c>
      <c r="C46" s="1" t="s">
        <v>1092</v>
      </c>
      <c r="D46" s="1">
        <v>7335962.0</v>
      </c>
      <c r="E46" s="1" t="s">
        <v>1093</v>
      </c>
    </row>
    <row r="47">
      <c r="A47" s="1">
        <v>1.8398004952E10</v>
      </c>
      <c r="B47" s="1" t="s">
        <v>1126</v>
      </c>
      <c r="C47" s="1" t="s">
        <v>1092</v>
      </c>
      <c r="D47" s="1">
        <v>7335962.0</v>
      </c>
      <c r="E47" s="1" t="s">
        <v>1093</v>
      </c>
    </row>
    <row r="48">
      <c r="A48" s="1">
        <v>1.8398004941E10</v>
      </c>
      <c r="B48" s="1" t="s">
        <v>1127</v>
      </c>
      <c r="C48" s="1" t="s">
        <v>1092</v>
      </c>
      <c r="D48" s="1">
        <v>7335962.0</v>
      </c>
      <c r="E48" s="1" t="s">
        <v>1093</v>
      </c>
    </row>
    <row r="49">
      <c r="A49" s="1">
        <v>1.8397375521E10</v>
      </c>
      <c r="B49" s="1" t="s">
        <v>1128</v>
      </c>
      <c r="C49" s="1" t="s">
        <v>1092</v>
      </c>
      <c r="D49" s="1">
        <v>7335962.0</v>
      </c>
      <c r="E49" s="1" t="s">
        <v>1093</v>
      </c>
    </row>
    <row r="50">
      <c r="A50" s="1">
        <v>1.8397375512E10</v>
      </c>
      <c r="B50" s="1" t="s">
        <v>1129</v>
      </c>
      <c r="C50" s="1" t="s">
        <v>1092</v>
      </c>
      <c r="D50" s="1">
        <v>7335962.0</v>
      </c>
      <c r="E50" s="1" t="s">
        <v>1093</v>
      </c>
    </row>
    <row r="51">
      <c r="A51" s="1">
        <v>1.8397375047E10</v>
      </c>
      <c r="B51" s="1" t="s">
        <v>1130</v>
      </c>
      <c r="C51" s="1" t="s">
        <v>1092</v>
      </c>
      <c r="D51" s="1">
        <v>7335962.0</v>
      </c>
      <c r="E51" s="1" t="s">
        <v>1093</v>
      </c>
    </row>
    <row r="52">
      <c r="A52" s="1">
        <v>1.8397375044E10</v>
      </c>
      <c r="B52" s="1" t="s">
        <v>1131</v>
      </c>
      <c r="C52" s="1" t="s">
        <v>1092</v>
      </c>
      <c r="D52" s="1">
        <v>7335962.0</v>
      </c>
      <c r="E52" s="1" t="s">
        <v>1093</v>
      </c>
    </row>
    <row r="53">
      <c r="A53" s="1">
        <v>1.8396730051E10</v>
      </c>
      <c r="B53" s="1" t="s">
        <v>1132</v>
      </c>
      <c r="C53" s="1" t="s">
        <v>1092</v>
      </c>
      <c r="D53" s="1">
        <v>7335962.0</v>
      </c>
      <c r="E53" s="1" t="s">
        <v>1093</v>
      </c>
    </row>
    <row r="54">
      <c r="A54" s="1">
        <v>1.8396730048E10</v>
      </c>
      <c r="B54" s="1" t="s">
        <v>1133</v>
      </c>
      <c r="C54" s="1" t="s">
        <v>1092</v>
      </c>
      <c r="D54" s="1">
        <v>7335962.0</v>
      </c>
      <c r="E54" s="1" t="s">
        <v>1093</v>
      </c>
    </row>
    <row r="55">
      <c r="A55" s="1">
        <v>1.8396729814E10</v>
      </c>
      <c r="B55" s="1" t="s">
        <v>1134</v>
      </c>
      <c r="C55" s="1" t="s">
        <v>1092</v>
      </c>
      <c r="D55" s="1">
        <v>7335962.0</v>
      </c>
      <c r="E55" s="1" t="s">
        <v>1093</v>
      </c>
    </row>
    <row r="56">
      <c r="A56" s="1">
        <v>1.8396729806E10</v>
      </c>
      <c r="B56" s="1" t="s">
        <v>1135</v>
      </c>
      <c r="C56" s="1" t="s">
        <v>1092</v>
      </c>
      <c r="D56" s="1">
        <v>7335962.0</v>
      </c>
      <c r="E56" s="1" t="s">
        <v>1093</v>
      </c>
    </row>
    <row r="57">
      <c r="A57" s="1">
        <v>1.8396729407E10</v>
      </c>
      <c r="B57" s="1" t="s">
        <v>1136</v>
      </c>
      <c r="C57" s="1" t="s">
        <v>1092</v>
      </c>
      <c r="D57" s="1">
        <v>7335962.0</v>
      </c>
      <c r="E57" s="1" t="s">
        <v>1093</v>
      </c>
    </row>
    <row r="58">
      <c r="A58" s="1">
        <v>1.8396729406E10</v>
      </c>
      <c r="B58" s="1" t="s">
        <v>1137</v>
      </c>
      <c r="C58" s="1" t="s">
        <v>1092</v>
      </c>
      <c r="D58" s="1">
        <v>7335962.0</v>
      </c>
      <c r="E58" s="1" t="s">
        <v>1093</v>
      </c>
    </row>
    <row r="59">
      <c r="A59" s="1">
        <v>1.8396728774E10</v>
      </c>
      <c r="B59" s="1" t="s">
        <v>1138</v>
      </c>
      <c r="C59" s="1" t="s">
        <v>1092</v>
      </c>
      <c r="D59" s="1">
        <v>7335962.0</v>
      </c>
      <c r="E59" s="1" t="s">
        <v>1093</v>
      </c>
    </row>
    <row r="60">
      <c r="A60" s="1">
        <v>1.839672877E10</v>
      </c>
      <c r="B60" s="1" t="s">
        <v>1139</v>
      </c>
      <c r="C60" s="1" t="s">
        <v>1092</v>
      </c>
      <c r="D60" s="1">
        <v>7335962.0</v>
      </c>
      <c r="E60" s="1" t="s">
        <v>1093</v>
      </c>
    </row>
    <row r="61">
      <c r="A61" s="1">
        <v>1.8396643304E10</v>
      </c>
      <c r="B61" s="1" t="s">
        <v>1140</v>
      </c>
      <c r="C61" s="1" t="s">
        <v>1092</v>
      </c>
      <c r="D61" s="1">
        <v>7335962.0</v>
      </c>
      <c r="E61" s="1" t="s">
        <v>1093</v>
      </c>
    </row>
    <row r="62">
      <c r="A62" s="1">
        <v>1.8396643294E10</v>
      </c>
      <c r="B62" s="1" t="s">
        <v>1141</v>
      </c>
      <c r="C62" s="1" t="s">
        <v>1092</v>
      </c>
      <c r="D62" s="1">
        <v>7335962.0</v>
      </c>
      <c r="E62" s="1" t="s">
        <v>1093</v>
      </c>
    </row>
    <row r="63">
      <c r="A63" s="1">
        <v>1.8396452874E10</v>
      </c>
      <c r="B63" s="1" t="s">
        <v>1142</v>
      </c>
      <c r="C63" s="1" t="s">
        <v>1092</v>
      </c>
      <c r="D63" s="1">
        <v>7335962.0</v>
      </c>
      <c r="E63" s="1" t="s">
        <v>1093</v>
      </c>
    </row>
    <row r="64">
      <c r="A64" s="1">
        <v>1.8396452858E10</v>
      </c>
      <c r="B64" s="1" t="s">
        <v>1143</v>
      </c>
      <c r="C64" s="1" t="s">
        <v>1092</v>
      </c>
      <c r="D64" s="1">
        <v>7335962.0</v>
      </c>
      <c r="E64" s="1" t="s">
        <v>1093</v>
      </c>
    </row>
    <row r="65">
      <c r="A65" s="1">
        <v>1.8395266706E10</v>
      </c>
      <c r="B65" s="1" t="s">
        <v>1144</v>
      </c>
      <c r="C65" s="1" t="s">
        <v>1092</v>
      </c>
      <c r="D65" s="1">
        <v>7335962.0</v>
      </c>
      <c r="E65" s="1" t="s">
        <v>1093</v>
      </c>
    </row>
    <row r="66">
      <c r="A66" s="1">
        <v>1.83952667E10</v>
      </c>
      <c r="B66" s="1" t="s">
        <v>1145</v>
      </c>
      <c r="C66" s="1" t="s">
        <v>1092</v>
      </c>
      <c r="D66" s="1">
        <v>7335962.0</v>
      </c>
      <c r="E66" s="1" t="s">
        <v>1093</v>
      </c>
    </row>
    <row r="67">
      <c r="A67" s="1">
        <v>1.8395264405E10</v>
      </c>
      <c r="B67" s="1" t="s">
        <v>1146</v>
      </c>
      <c r="C67" s="1" t="s">
        <v>1092</v>
      </c>
      <c r="D67" s="1">
        <v>7335962.0</v>
      </c>
      <c r="E67" s="1" t="s">
        <v>1093</v>
      </c>
    </row>
    <row r="68">
      <c r="A68" s="1">
        <v>1.8395264401E10</v>
      </c>
      <c r="B68" s="1" t="s">
        <v>1147</v>
      </c>
      <c r="C68" s="1" t="s">
        <v>1092</v>
      </c>
      <c r="D68" s="1">
        <v>7335962.0</v>
      </c>
      <c r="E68" s="1" t="s">
        <v>1093</v>
      </c>
    </row>
    <row r="69">
      <c r="A69" s="1">
        <v>1.8392076118E10</v>
      </c>
      <c r="B69" s="1" t="s">
        <v>1148</v>
      </c>
      <c r="C69" s="1" t="s">
        <v>1092</v>
      </c>
      <c r="D69" s="1">
        <v>7335962.0</v>
      </c>
      <c r="E69" s="1" t="s">
        <v>1093</v>
      </c>
    </row>
    <row r="70">
      <c r="A70" s="1">
        <v>1.8392076113E10</v>
      </c>
      <c r="B70" s="1" t="s">
        <v>1149</v>
      </c>
      <c r="C70" s="1" t="s">
        <v>1092</v>
      </c>
      <c r="D70" s="1">
        <v>7335962.0</v>
      </c>
      <c r="E70" s="1" t="s">
        <v>1093</v>
      </c>
    </row>
    <row r="71">
      <c r="A71" s="1">
        <v>1.8391738114E10</v>
      </c>
      <c r="B71" s="1" t="s">
        <v>1150</v>
      </c>
      <c r="C71" s="1" t="s">
        <v>1092</v>
      </c>
      <c r="D71" s="1">
        <v>7335962.0</v>
      </c>
      <c r="E71" s="1" t="s">
        <v>1093</v>
      </c>
    </row>
    <row r="72">
      <c r="A72" s="1">
        <v>1.8391738109E10</v>
      </c>
      <c r="B72" s="1" t="s">
        <v>1151</v>
      </c>
      <c r="C72" s="1" t="s">
        <v>1092</v>
      </c>
      <c r="D72" s="1">
        <v>7335962.0</v>
      </c>
      <c r="E72" s="1" t="s">
        <v>1093</v>
      </c>
    </row>
    <row r="73">
      <c r="A73" s="1">
        <v>1.8391684408E10</v>
      </c>
      <c r="B73" s="1" t="s">
        <v>1152</v>
      </c>
      <c r="C73" s="1" t="s">
        <v>1092</v>
      </c>
      <c r="D73" s="1">
        <v>7335962.0</v>
      </c>
      <c r="E73" s="1" t="s">
        <v>1093</v>
      </c>
    </row>
    <row r="74">
      <c r="A74" s="1">
        <v>1.8391684385E10</v>
      </c>
      <c r="B74" s="1" t="s">
        <v>1153</v>
      </c>
      <c r="C74" s="1" t="s">
        <v>1092</v>
      </c>
      <c r="D74" s="1">
        <v>7335962.0</v>
      </c>
      <c r="E74" s="1" t="s">
        <v>1093</v>
      </c>
    </row>
    <row r="75">
      <c r="A75" s="1">
        <v>1.8391619403E10</v>
      </c>
      <c r="B75" s="1" t="s">
        <v>1154</v>
      </c>
      <c r="C75" s="1" t="s">
        <v>1092</v>
      </c>
      <c r="D75" s="1">
        <v>7335962.0</v>
      </c>
      <c r="E75" s="1" t="s">
        <v>1093</v>
      </c>
    </row>
    <row r="76">
      <c r="A76" s="1">
        <v>1.8391619387E10</v>
      </c>
      <c r="B76" s="1" t="s">
        <v>1155</v>
      </c>
      <c r="C76" s="1" t="s">
        <v>1092</v>
      </c>
      <c r="D76" s="1">
        <v>7335962.0</v>
      </c>
      <c r="E76" s="1" t="s">
        <v>1093</v>
      </c>
    </row>
    <row r="77">
      <c r="A77" s="1">
        <v>1.8389082622E10</v>
      </c>
      <c r="B77" s="1" t="s">
        <v>1156</v>
      </c>
      <c r="C77" s="1" t="s">
        <v>1092</v>
      </c>
      <c r="D77" s="1">
        <v>7335962.0</v>
      </c>
      <c r="E77" s="1" t="s">
        <v>1093</v>
      </c>
    </row>
    <row r="78">
      <c r="A78" s="1">
        <v>1.8389082598E10</v>
      </c>
      <c r="B78" s="1" t="s">
        <v>1157</v>
      </c>
      <c r="C78" s="1" t="s">
        <v>1092</v>
      </c>
      <c r="D78" s="1">
        <v>7335962.0</v>
      </c>
      <c r="E78" s="1" t="s">
        <v>1093</v>
      </c>
    </row>
    <row r="79">
      <c r="A79" s="1">
        <v>1.8381096537E10</v>
      </c>
      <c r="B79" s="1" t="s">
        <v>1158</v>
      </c>
      <c r="C79" s="1" t="s">
        <v>1092</v>
      </c>
      <c r="D79" s="1">
        <v>7335962.0</v>
      </c>
      <c r="E79" s="1" t="s">
        <v>1093</v>
      </c>
    </row>
    <row r="80">
      <c r="A80" s="1">
        <v>1.8381096421E10</v>
      </c>
      <c r="B80" s="1" t="s">
        <v>1159</v>
      </c>
      <c r="C80" s="1" t="s">
        <v>1092</v>
      </c>
      <c r="D80" s="1">
        <v>7335962.0</v>
      </c>
      <c r="E80" s="1" t="s">
        <v>1093</v>
      </c>
    </row>
    <row r="81">
      <c r="A81" s="1">
        <v>1.837683543E10</v>
      </c>
      <c r="B81" s="1" t="s">
        <v>1160</v>
      </c>
      <c r="C81" s="1" t="s">
        <v>1092</v>
      </c>
      <c r="D81" s="1">
        <v>7335962.0</v>
      </c>
      <c r="E81" s="1" t="s">
        <v>1093</v>
      </c>
    </row>
    <row r="82">
      <c r="A82" s="1">
        <v>1.8376835375E10</v>
      </c>
      <c r="B82" s="1" t="s">
        <v>1161</v>
      </c>
      <c r="C82" s="1" t="s">
        <v>1092</v>
      </c>
      <c r="D82" s="1">
        <v>7335962.0</v>
      </c>
      <c r="E82" s="1" t="s">
        <v>1093</v>
      </c>
    </row>
    <row r="83">
      <c r="A83" s="1">
        <v>1.8261808332E10</v>
      </c>
      <c r="B83" s="1" t="s">
        <v>1162</v>
      </c>
      <c r="C83" s="1" t="s">
        <v>1092</v>
      </c>
      <c r="D83" s="1">
        <v>7335962.0</v>
      </c>
      <c r="E83" s="1" t="s">
        <v>1093</v>
      </c>
    </row>
    <row r="84">
      <c r="A84" s="1">
        <v>1.826180786E10</v>
      </c>
      <c r="B84" s="1" t="s">
        <v>1163</v>
      </c>
      <c r="C84" s="1" t="s">
        <v>1092</v>
      </c>
      <c r="D84" s="1">
        <v>7335962.0</v>
      </c>
      <c r="E84" s="1" t="s">
        <v>1093</v>
      </c>
    </row>
    <row r="85">
      <c r="A85" s="1">
        <v>1.8243464472E10</v>
      </c>
      <c r="B85" s="1" t="s">
        <v>1164</v>
      </c>
      <c r="C85" s="1" t="s">
        <v>1092</v>
      </c>
      <c r="D85" s="1">
        <v>7335962.0</v>
      </c>
      <c r="E85" s="1" t="s">
        <v>1093</v>
      </c>
    </row>
    <row r="86">
      <c r="A86" s="1">
        <v>1.8243464131E10</v>
      </c>
      <c r="B86" s="1" t="s">
        <v>1165</v>
      </c>
      <c r="C86" s="1" t="s">
        <v>1092</v>
      </c>
      <c r="D86" s="1">
        <v>7335962.0</v>
      </c>
      <c r="E86" s="1" t="s">
        <v>1093</v>
      </c>
    </row>
    <row r="87">
      <c r="A87" s="1">
        <v>1.8222393351E10</v>
      </c>
      <c r="B87" s="1" t="s">
        <v>1166</v>
      </c>
      <c r="C87" s="1" t="s">
        <v>1092</v>
      </c>
      <c r="D87" s="1">
        <v>7335962.0</v>
      </c>
      <c r="E87" s="1" t="s">
        <v>1093</v>
      </c>
    </row>
    <row r="88">
      <c r="A88" s="1">
        <v>1.8222392562E10</v>
      </c>
      <c r="B88" s="1" t="s">
        <v>1167</v>
      </c>
      <c r="C88" s="1" t="s">
        <v>1092</v>
      </c>
      <c r="D88" s="1">
        <v>7335962.0</v>
      </c>
      <c r="E88" s="1" t="s">
        <v>1093</v>
      </c>
    </row>
    <row r="89">
      <c r="A89" s="1">
        <v>1.8201405784E10</v>
      </c>
      <c r="B89" s="1" t="s">
        <v>1168</v>
      </c>
      <c r="C89" s="1" t="s">
        <v>1092</v>
      </c>
      <c r="D89" s="1">
        <v>7335962.0</v>
      </c>
      <c r="E89" s="1" t="s">
        <v>1093</v>
      </c>
    </row>
    <row r="90">
      <c r="A90" s="1">
        <v>1.8201405229E10</v>
      </c>
      <c r="B90" s="1" t="s">
        <v>1169</v>
      </c>
      <c r="C90" s="1" t="s">
        <v>1092</v>
      </c>
      <c r="D90" s="1">
        <v>7335962.0</v>
      </c>
      <c r="E90" s="1" t="s">
        <v>1093</v>
      </c>
    </row>
    <row r="91">
      <c r="A91" s="1">
        <v>1.819939158E10</v>
      </c>
      <c r="B91" s="1" t="s">
        <v>1170</v>
      </c>
      <c r="C91" s="1" t="s">
        <v>1092</v>
      </c>
      <c r="D91" s="1">
        <v>7335962.0</v>
      </c>
      <c r="E91" s="1" t="s">
        <v>1093</v>
      </c>
    </row>
    <row r="92">
      <c r="A92" s="1">
        <v>1.819939148E10</v>
      </c>
      <c r="B92" s="1" t="s">
        <v>1171</v>
      </c>
      <c r="C92" s="1" t="s">
        <v>1092</v>
      </c>
      <c r="D92" s="1">
        <v>7335962.0</v>
      </c>
      <c r="E92" s="1" t="s">
        <v>1093</v>
      </c>
    </row>
    <row r="93">
      <c r="A93" s="1">
        <v>1.8193046517E10</v>
      </c>
      <c r="B93" s="1" t="s">
        <v>1172</v>
      </c>
      <c r="C93" s="1" t="s">
        <v>1092</v>
      </c>
      <c r="D93" s="1">
        <v>7335962.0</v>
      </c>
      <c r="E93" s="1" t="s">
        <v>1093</v>
      </c>
    </row>
    <row r="94">
      <c r="A94" s="1">
        <v>1.8193045742E10</v>
      </c>
      <c r="B94" s="1" t="s">
        <v>1173</v>
      </c>
      <c r="C94" s="1" t="s">
        <v>1092</v>
      </c>
      <c r="D94" s="1">
        <v>7335962.0</v>
      </c>
      <c r="E94" s="1" t="s">
        <v>1093</v>
      </c>
    </row>
    <row r="95">
      <c r="A95" s="1">
        <v>1.8193030247E10</v>
      </c>
      <c r="B95" s="1" t="s">
        <v>1174</v>
      </c>
      <c r="C95" s="1" t="s">
        <v>1092</v>
      </c>
      <c r="D95" s="1">
        <v>7335962.0</v>
      </c>
      <c r="E95" s="1" t="s">
        <v>1093</v>
      </c>
    </row>
    <row r="96">
      <c r="A96" s="1">
        <v>1.8193029816E10</v>
      </c>
      <c r="B96" s="1" t="s">
        <v>1175</v>
      </c>
      <c r="C96" s="1" t="s">
        <v>1092</v>
      </c>
      <c r="D96" s="1">
        <v>7335962.0</v>
      </c>
      <c r="E96" s="1" t="s">
        <v>1093</v>
      </c>
    </row>
    <row r="97">
      <c r="A97" s="1">
        <v>1.8190218514E10</v>
      </c>
      <c r="B97" s="1" t="s">
        <v>1176</v>
      </c>
      <c r="C97" s="1" t="s">
        <v>1092</v>
      </c>
      <c r="D97" s="1">
        <v>7335962.0</v>
      </c>
      <c r="E97" s="1" t="s">
        <v>1093</v>
      </c>
    </row>
    <row r="98">
      <c r="A98" s="1">
        <v>1.8190218288E10</v>
      </c>
      <c r="B98" s="1" t="s">
        <v>1177</v>
      </c>
      <c r="C98" s="1" t="s">
        <v>1092</v>
      </c>
      <c r="D98" s="1">
        <v>7335962.0</v>
      </c>
      <c r="E98" s="1" t="s">
        <v>1093</v>
      </c>
    </row>
    <row r="99">
      <c r="A99" s="1">
        <v>1.8158292352E10</v>
      </c>
      <c r="B99" s="1" t="s">
        <v>1178</v>
      </c>
      <c r="C99" s="1" t="s">
        <v>1092</v>
      </c>
      <c r="D99" s="1">
        <v>7335962.0</v>
      </c>
      <c r="E99" s="1" t="s">
        <v>1093</v>
      </c>
    </row>
    <row r="100">
      <c r="A100" s="1">
        <v>1.8158291817E10</v>
      </c>
      <c r="B100" s="1" t="s">
        <v>1179</v>
      </c>
      <c r="C100" s="1" t="s">
        <v>1092</v>
      </c>
      <c r="D100" s="1">
        <v>7335962.0</v>
      </c>
      <c r="E100" s="1" t="s">
        <v>1093</v>
      </c>
    </row>
    <row r="101">
      <c r="A101" s="1">
        <v>1.8137194289E10</v>
      </c>
      <c r="B101" s="1" t="s">
        <v>1180</v>
      </c>
      <c r="C101" s="1" t="s">
        <v>1092</v>
      </c>
      <c r="D101" s="1">
        <v>7335962.0</v>
      </c>
      <c r="E101" s="1" t="s">
        <v>1093</v>
      </c>
    </row>
    <row r="102">
      <c r="A102" s="1">
        <v>1.8137193955E10</v>
      </c>
      <c r="B102" s="1" t="s">
        <v>1181</v>
      </c>
      <c r="C102" s="1" t="s">
        <v>1092</v>
      </c>
      <c r="D102" s="1">
        <v>7335962.0</v>
      </c>
      <c r="E102" s="1" t="s">
        <v>1093</v>
      </c>
    </row>
    <row r="103">
      <c r="A103" s="1">
        <v>1.8130208348E10</v>
      </c>
      <c r="B103" s="1" t="s">
        <v>1182</v>
      </c>
      <c r="C103" s="1" t="s">
        <v>1092</v>
      </c>
      <c r="D103" s="1">
        <v>7335962.0</v>
      </c>
      <c r="E103" s="1" t="s">
        <v>1093</v>
      </c>
    </row>
    <row r="104">
      <c r="A104" s="1">
        <v>1.8130207934E10</v>
      </c>
      <c r="B104" s="1" t="s">
        <v>1183</v>
      </c>
      <c r="C104" s="1" t="s">
        <v>1092</v>
      </c>
      <c r="D104" s="1">
        <v>7335962.0</v>
      </c>
      <c r="E104" s="1" t="s">
        <v>1093</v>
      </c>
    </row>
    <row r="105">
      <c r="A105" s="1">
        <v>1.8032939346E10</v>
      </c>
      <c r="B105" s="1" t="s">
        <v>1184</v>
      </c>
      <c r="C105" s="1" t="s">
        <v>1092</v>
      </c>
      <c r="D105" s="1">
        <v>7335962.0</v>
      </c>
      <c r="E105" s="1" t="s">
        <v>1093</v>
      </c>
    </row>
    <row r="106">
      <c r="A106" s="1">
        <v>1.8032938759E10</v>
      </c>
      <c r="B106" s="1" t="s">
        <v>1185</v>
      </c>
      <c r="C106" s="1" t="s">
        <v>1092</v>
      </c>
      <c r="D106" s="1">
        <v>7335962.0</v>
      </c>
      <c r="E106" s="1" t="s">
        <v>1093</v>
      </c>
    </row>
    <row r="107">
      <c r="A107" s="1">
        <v>1.8030475221E10</v>
      </c>
      <c r="B107" s="1" t="s">
        <v>1186</v>
      </c>
      <c r="C107" s="1" t="s">
        <v>1092</v>
      </c>
      <c r="D107" s="1">
        <v>7335962.0</v>
      </c>
      <c r="E107" s="1" t="s">
        <v>1093</v>
      </c>
    </row>
    <row r="108">
      <c r="A108" s="1">
        <v>1.8030475143E10</v>
      </c>
      <c r="B108" s="1" t="s">
        <v>1187</v>
      </c>
      <c r="C108" s="1" t="s">
        <v>1092</v>
      </c>
      <c r="D108" s="1">
        <v>7335962.0</v>
      </c>
      <c r="E108" s="1" t="s">
        <v>1093</v>
      </c>
    </row>
    <row r="109">
      <c r="A109" s="1">
        <v>1.8001976706E10</v>
      </c>
      <c r="B109" s="1" t="s">
        <v>1188</v>
      </c>
      <c r="C109" s="1" t="s">
        <v>1092</v>
      </c>
      <c r="D109" s="1">
        <v>7335962.0</v>
      </c>
      <c r="E109" s="1" t="s">
        <v>1093</v>
      </c>
    </row>
    <row r="110">
      <c r="A110" s="1">
        <v>1.8001975759E10</v>
      </c>
      <c r="B110" s="1" t="s">
        <v>1189</v>
      </c>
      <c r="C110" s="1" t="s">
        <v>1092</v>
      </c>
      <c r="D110" s="1">
        <v>7335962.0</v>
      </c>
      <c r="E110" s="1" t="s">
        <v>1093</v>
      </c>
    </row>
    <row r="111">
      <c r="A111" s="1">
        <v>1.8001771033E10</v>
      </c>
      <c r="B111" s="1" t="s">
        <v>1190</v>
      </c>
      <c r="C111" s="1" t="s">
        <v>1092</v>
      </c>
      <c r="D111" s="1">
        <v>7335962.0</v>
      </c>
      <c r="E111" s="1" t="s">
        <v>1093</v>
      </c>
    </row>
    <row r="112">
      <c r="A112" s="1">
        <v>1.8001770416E10</v>
      </c>
      <c r="B112" s="1" t="s">
        <v>1191</v>
      </c>
      <c r="C112" s="1" t="s">
        <v>1092</v>
      </c>
      <c r="D112" s="1">
        <v>7335962.0</v>
      </c>
      <c r="E112" s="1" t="s">
        <v>1093</v>
      </c>
    </row>
    <row r="113">
      <c r="A113" s="1">
        <v>1.8001622006E10</v>
      </c>
      <c r="B113" s="1" t="s">
        <v>1192</v>
      </c>
      <c r="C113" s="1" t="s">
        <v>1092</v>
      </c>
      <c r="D113" s="1">
        <v>7335962.0</v>
      </c>
      <c r="E113" s="1" t="s">
        <v>1093</v>
      </c>
    </row>
    <row r="114">
      <c r="A114" s="1">
        <v>1.8001621718E10</v>
      </c>
      <c r="B114" s="1" t="s">
        <v>1193</v>
      </c>
      <c r="C114" s="1" t="s">
        <v>1092</v>
      </c>
      <c r="D114" s="1">
        <v>7335962.0</v>
      </c>
      <c r="E114" s="1" t="s">
        <v>1093</v>
      </c>
    </row>
    <row r="115">
      <c r="A115" s="1">
        <v>1.007390805E10</v>
      </c>
      <c r="B115" s="1" t="s">
        <v>1194</v>
      </c>
      <c r="C115" s="1" t="s">
        <v>1092</v>
      </c>
      <c r="D115" s="1">
        <v>7335962.0</v>
      </c>
      <c r="E115" s="1" t="s">
        <v>1093</v>
      </c>
    </row>
    <row r="116">
      <c r="A116" s="1">
        <v>1.0073907716E10</v>
      </c>
      <c r="B116" s="1" t="s">
        <v>1195</v>
      </c>
      <c r="C116" s="1" t="s">
        <v>1092</v>
      </c>
      <c r="D116" s="1">
        <v>7335962.0</v>
      </c>
      <c r="E116" s="1" t="s">
        <v>1093</v>
      </c>
    </row>
    <row r="117">
      <c r="A117" s="1">
        <v>1.0068485533E10</v>
      </c>
      <c r="B117" s="1" t="s">
        <v>1196</v>
      </c>
      <c r="C117" s="1" t="s">
        <v>1092</v>
      </c>
      <c r="D117" s="1">
        <v>7335962.0</v>
      </c>
      <c r="E117" s="1" t="s">
        <v>1093</v>
      </c>
    </row>
    <row r="118">
      <c r="A118" s="1">
        <v>1.0068485172E10</v>
      </c>
      <c r="B118" s="1" t="s">
        <v>1197</v>
      </c>
      <c r="C118" s="1" t="s">
        <v>1092</v>
      </c>
      <c r="D118" s="1">
        <v>7335962.0</v>
      </c>
      <c r="E118" s="1" t="s">
        <v>1093</v>
      </c>
    </row>
    <row r="119">
      <c r="A119" s="1">
        <v>1.0031508566E10</v>
      </c>
      <c r="B119" s="1" t="s">
        <v>1198</v>
      </c>
      <c r="C119" s="1" t="s">
        <v>1092</v>
      </c>
      <c r="D119" s="1">
        <v>7335962.0</v>
      </c>
      <c r="E119" s="1" t="s">
        <v>1093</v>
      </c>
    </row>
    <row r="120">
      <c r="A120" s="1">
        <v>1.0031508141E10</v>
      </c>
      <c r="B120" s="1" t="s">
        <v>1199</v>
      </c>
      <c r="C120" s="1" t="s">
        <v>1092</v>
      </c>
      <c r="D120" s="1">
        <v>7335962.0</v>
      </c>
      <c r="E120" s="1" t="s">
        <v>1093</v>
      </c>
    </row>
    <row r="121">
      <c r="A121" s="1">
        <v>9.995354796E9</v>
      </c>
      <c r="B121" s="1" t="s">
        <v>1200</v>
      </c>
      <c r="C121" s="1" t="s">
        <v>1092</v>
      </c>
      <c r="D121" s="1">
        <v>7335962.0</v>
      </c>
      <c r="E121" s="1" t="s">
        <v>1093</v>
      </c>
    </row>
    <row r="122">
      <c r="A122" s="1">
        <v>9.995354644E9</v>
      </c>
      <c r="B122" s="1" t="s">
        <v>1201</v>
      </c>
      <c r="C122" s="1" t="s">
        <v>1092</v>
      </c>
      <c r="D122" s="1">
        <v>7335962.0</v>
      </c>
      <c r="E122" s="1" t="s">
        <v>1093</v>
      </c>
    </row>
    <row r="123">
      <c r="A123" s="1">
        <v>9.9952315E9</v>
      </c>
      <c r="B123" s="1" t="s">
        <v>1202</v>
      </c>
      <c r="C123" s="1" t="s">
        <v>1092</v>
      </c>
      <c r="D123" s="1">
        <v>7335962.0</v>
      </c>
      <c r="E123" s="1" t="s">
        <v>1093</v>
      </c>
    </row>
    <row r="124">
      <c r="A124" s="1">
        <v>9.995231373E9</v>
      </c>
      <c r="B124" s="1" t="s">
        <v>1203</v>
      </c>
      <c r="C124" s="1" t="s">
        <v>1092</v>
      </c>
      <c r="D124" s="1">
        <v>7335962.0</v>
      </c>
      <c r="E124" s="1" t="s">
        <v>1093</v>
      </c>
    </row>
    <row r="125">
      <c r="A125" s="1">
        <v>9.972552654E9</v>
      </c>
      <c r="B125" s="1" t="s">
        <v>1204</v>
      </c>
      <c r="C125" s="1" t="s">
        <v>1092</v>
      </c>
      <c r="D125" s="1">
        <v>7335962.0</v>
      </c>
      <c r="E125" s="1" t="s">
        <v>1093</v>
      </c>
    </row>
    <row r="126">
      <c r="A126" s="1">
        <v>9.972552096E9</v>
      </c>
      <c r="B126" s="1" t="s">
        <v>1205</v>
      </c>
      <c r="C126" s="1" t="s">
        <v>1092</v>
      </c>
      <c r="D126" s="1">
        <v>7335962.0</v>
      </c>
      <c r="E126" s="1" t="s">
        <v>1093</v>
      </c>
    </row>
    <row r="127">
      <c r="A127" s="1">
        <v>9.90018677E9</v>
      </c>
      <c r="B127" s="1" t="s">
        <v>1206</v>
      </c>
      <c r="C127" s="1" t="s">
        <v>1092</v>
      </c>
      <c r="D127" s="1">
        <v>7335962.0</v>
      </c>
      <c r="E127" s="1" t="s">
        <v>1093</v>
      </c>
    </row>
    <row r="128">
      <c r="A128" s="1">
        <v>9.900186532E9</v>
      </c>
      <c r="B128" s="1" t="s">
        <v>1207</v>
      </c>
      <c r="C128" s="1" t="s">
        <v>1092</v>
      </c>
      <c r="D128" s="1">
        <v>7335962.0</v>
      </c>
      <c r="E128" s="1" t="s">
        <v>1093</v>
      </c>
    </row>
    <row r="129">
      <c r="A129" s="1">
        <v>9.898690118E9</v>
      </c>
      <c r="B129" s="1" t="s">
        <v>1208</v>
      </c>
      <c r="C129" s="1" t="s">
        <v>1092</v>
      </c>
      <c r="D129" s="1">
        <v>7335962.0</v>
      </c>
      <c r="E129" s="1" t="s">
        <v>1093</v>
      </c>
    </row>
    <row r="130">
      <c r="A130" s="1">
        <v>9.898689944E9</v>
      </c>
      <c r="B130" s="1" t="s">
        <v>1209</v>
      </c>
      <c r="C130" s="1" t="s">
        <v>1092</v>
      </c>
      <c r="D130" s="1">
        <v>7335962.0</v>
      </c>
      <c r="E130" s="1" t="s">
        <v>1093</v>
      </c>
    </row>
    <row r="131">
      <c r="A131" s="1">
        <v>9.881198931E9</v>
      </c>
      <c r="B131" s="1" t="s">
        <v>1210</v>
      </c>
      <c r="C131" s="1" t="s">
        <v>1092</v>
      </c>
      <c r="D131" s="1">
        <v>7335962.0</v>
      </c>
      <c r="E131" s="1" t="s">
        <v>1093</v>
      </c>
    </row>
    <row r="132">
      <c r="A132" s="1">
        <v>9.881198672E9</v>
      </c>
      <c r="B132" s="1" t="s">
        <v>1211</v>
      </c>
      <c r="C132" s="1" t="s">
        <v>1092</v>
      </c>
      <c r="D132" s="1">
        <v>7335962.0</v>
      </c>
      <c r="E132" s="1" t="s">
        <v>1093</v>
      </c>
    </row>
    <row r="133">
      <c r="A133" s="1">
        <v>9.875061184E9</v>
      </c>
      <c r="B133" s="1" t="s">
        <v>1212</v>
      </c>
      <c r="C133" s="1" t="s">
        <v>1092</v>
      </c>
      <c r="D133" s="1">
        <v>7335962.0</v>
      </c>
      <c r="E133" s="1" t="s">
        <v>1093</v>
      </c>
    </row>
    <row r="134">
      <c r="A134" s="1">
        <v>9.875061118E9</v>
      </c>
      <c r="B134" s="1" t="s">
        <v>1213</v>
      </c>
      <c r="C134" s="1" t="s">
        <v>1092</v>
      </c>
      <c r="D134" s="1">
        <v>7335962.0</v>
      </c>
      <c r="E134" s="1" t="s">
        <v>1093</v>
      </c>
    </row>
    <row r="135">
      <c r="A135" s="1">
        <v>9.869473408E9</v>
      </c>
      <c r="B135" s="1" t="s">
        <v>1214</v>
      </c>
      <c r="C135" s="1" t="s">
        <v>1092</v>
      </c>
      <c r="D135" s="1">
        <v>7335962.0</v>
      </c>
      <c r="E135" s="1" t="s">
        <v>1093</v>
      </c>
    </row>
    <row r="136">
      <c r="A136" s="1">
        <v>9.869472955E9</v>
      </c>
      <c r="B136" s="1" t="s">
        <v>1215</v>
      </c>
      <c r="C136" s="1" t="s">
        <v>1092</v>
      </c>
      <c r="D136" s="1">
        <v>7335962.0</v>
      </c>
      <c r="E136" s="1" t="s">
        <v>1093</v>
      </c>
    </row>
    <row r="137">
      <c r="A137" s="1">
        <v>9.851899234E9</v>
      </c>
      <c r="B137" s="1" t="s">
        <v>1216</v>
      </c>
      <c r="C137" s="1" t="s">
        <v>1092</v>
      </c>
      <c r="D137" s="1">
        <v>7335962.0</v>
      </c>
      <c r="E137" s="1" t="s">
        <v>1093</v>
      </c>
    </row>
    <row r="138">
      <c r="A138" s="1">
        <v>9.851898908E9</v>
      </c>
      <c r="B138" s="1" t="s">
        <v>1217</v>
      </c>
      <c r="C138" s="1" t="s">
        <v>1092</v>
      </c>
      <c r="D138" s="1">
        <v>7335962.0</v>
      </c>
      <c r="E138" s="1" t="s">
        <v>1093</v>
      </c>
    </row>
    <row r="139">
      <c r="A139" s="1">
        <v>9.846761212E9</v>
      </c>
      <c r="B139" s="1" t="s">
        <v>1218</v>
      </c>
      <c r="C139" s="1" t="s">
        <v>1092</v>
      </c>
      <c r="D139" s="1">
        <v>7335962.0</v>
      </c>
      <c r="E139" s="1" t="s">
        <v>1093</v>
      </c>
    </row>
    <row r="140">
      <c r="A140" s="1">
        <v>9.846760666E9</v>
      </c>
      <c r="B140" s="1" t="s">
        <v>1219</v>
      </c>
      <c r="C140" s="1" t="s">
        <v>1092</v>
      </c>
      <c r="D140" s="1">
        <v>7335962.0</v>
      </c>
      <c r="E140" s="1" t="s">
        <v>1093</v>
      </c>
    </row>
    <row r="141">
      <c r="A141" s="1">
        <v>9.817655616E9</v>
      </c>
      <c r="B141" s="1" t="s">
        <v>1220</v>
      </c>
      <c r="C141" s="1" t="s">
        <v>1092</v>
      </c>
      <c r="D141" s="1">
        <v>7335962.0</v>
      </c>
      <c r="E141" s="1" t="s">
        <v>1093</v>
      </c>
    </row>
    <row r="142">
      <c r="A142" s="1">
        <v>9.817655353E9</v>
      </c>
      <c r="B142" s="1" t="s">
        <v>1221</v>
      </c>
      <c r="C142" s="1" t="s">
        <v>1092</v>
      </c>
      <c r="D142" s="1">
        <v>7335962.0</v>
      </c>
      <c r="E142" s="1" t="s">
        <v>1093</v>
      </c>
    </row>
    <row r="143">
      <c r="A143" s="1">
        <v>9.78912832E9</v>
      </c>
      <c r="B143" s="1" t="s">
        <v>1222</v>
      </c>
      <c r="C143" s="1" t="s">
        <v>1092</v>
      </c>
      <c r="D143" s="1">
        <v>7335962.0</v>
      </c>
      <c r="E143" s="1" t="s">
        <v>1093</v>
      </c>
    </row>
    <row r="144">
      <c r="A144" s="1">
        <v>9.789127817E9</v>
      </c>
      <c r="B144" s="1" t="s">
        <v>1223</v>
      </c>
      <c r="C144" s="1" t="s">
        <v>1092</v>
      </c>
      <c r="D144" s="1">
        <v>7335962.0</v>
      </c>
      <c r="E144" s="1" t="s">
        <v>1093</v>
      </c>
    </row>
    <row r="145">
      <c r="A145" s="1">
        <v>9.788629582E9</v>
      </c>
      <c r="B145" s="1" t="s">
        <v>1224</v>
      </c>
      <c r="C145" s="1" t="s">
        <v>1092</v>
      </c>
      <c r="D145" s="1">
        <v>7335962.0</v>
      </c>
      <c r="E145" s="1" t="s">
        <v>1093</v>
      </c>
    </row>
    <row r="146">
      <c r="A146" s="1">
        <v>9.788628916E9</v>
      </c>
      <c r="B146" s="1" t="s">
        <v>1225</v>
      </c>
      <c r="C146" s="1" t="s">
        <v>1092</v>
      </c>
      <c r="D146" s="1">
        <v>7335962.0</v>
      </c>
      <c r="E146" s="1" t="s">
        <v>1093</v>
      </c>
    </row>
    <row r="147">
      <c r="A147" s="1">
        <v>9.77670711E9</v>
      </c>
      <c r="B147" s="1" t="s">
        <v>1226</v>
      </c>
      <c r="C147" s="1" t="s">
        <v>1092</v>
      </c>
      <c r="D147" s="1">
        <v>7335962.0</v>
      </c>
      <c r="E147" s="1" t="s">
        <v>1093</v>
      </c>
    </row>
    <row r="148">
      <c r="A148" s="1">
        <v>9.776707102E9</v>
      </c>
      <c r="B148" s="1" t="s">
        <v>1227</v>
      </c>
      <c r="C148" s="1" t="s">
        <v>1092</v>
      </c>
      <c r="D148" s="1">
        <v>7335962.0</v>
      </c>
      <c r="E148" s="1" t="s">
        <v>1093</v>
      </c>
    </row>
    <row r="149">
      <c r="A149" s="1">
        <v>9.776706182E9</v>
      </c>
      <c r="B149" s="1" t="s">
        <v>1228</v>
      </c>
      <c r="C149" s="1" t="s">
        <v>1092</v>
      </c>
      <c r="D149" s="1">
        <v>7335962.0</v>
      </c>
      <c r="E149" s="1" t="s">
        <v>1093</v>
      </c>
    </row>
    <row r="150">
      <c r="A150" s="1">
        <v>9.77670587E9</v>
      </c>
      <c r="B150" s="1" t="s">
        <v>1229</v>
      </c>
      <c r="C150" s="1" t="s">
        <v>1092</v>
      </c>
      <c r="D150" s="1">
        <v>7335962.0</v>
      </c>
      <c r="E150" s="1" t="s">
        <v>1093</v>
      </c>
    </row>
    <row r="151">
      <c r="A151" s="1">
        <v>9.766421589E9</v>
      </c>
      <c r="B151" s="1" t="s">
        <v>1230</v>
      </c>
      <c r="C151" s="1" t="s">
        <v>1078</v>
      </c>
      <c r="D151" s="1">
        <v>7335962.0</v>
      </c>
      <c r="E151" s="1" t="s">
        <v>1093</v>
      </c>
    </row>
    <row r="152">
      <c r="A152" s="1">
        <v>9.757791069E9</v>
      </c>
      <c r="B152" s="1" t="s">
        <v>1231</v>
      </c>
      <c r="C152" s="1" t="s">
        <v>1078</v>
      </c>
      <c r="D152" s="1">
        <v>7335962.0</v>
      </c>
      <c r="E152" s="1" t="s">
        <v>1093</v>
      </c>
    </row>
    <row r="153">
      <c r="A153" s="1">
        <v>9.749101468E9</v>
      </c>
      <c r="B153" s="1" t="s">
        <v>1232</v>
      </c>
      <c r="C153" s="1" t="s">
        <v>1092</v>
      </c>
      <c r="D153" s="1">
        <v>7335962.0</v>
      </c>
      <c r="E153" s="1" t="s">
        <v>1093</v>
      </c>
    </row>
    <row r="154">
      <c r="A154" s="1">
        <v>9.749100772E9</v>
      </c>
      <c r="B154" s="1" t="s">
        <v>1233</v>
      </c>
      <c r="C154" s="1" t="s">
        <v>1092</v>
      </c>
      <c r="D154" s="1">
        <v>7335962.0</v>
      </c>
      <c r="E154" s="1" t="s">
        <v>1093</v>
      </c>
    </row>
    <row r="155">
      <c r="A155" s="1">
        <v>9.745459255E9</v>
      </c>
      <c r="B155" s="1" t="s">
        <v>1234</v>
      </c>
      <c r="C155" s="1" t="s">
        <v>1092</v>
      </c>
      <c r="D155" s="1">
        <v>7335962.0</v>
      </c>
      <c r="E155" s="1" t="s">
        <v>1093</v>
      </c>
    </row>
    <row r="156">
      <c r="A156" s="1">
        <v>9.745458805E9</v>
      </c>
      <c r="B156" s="1" t="s">
        <v>1235</v>
      </c>
      <c r="C156" s="1" t="s">
        <v>1092</v>
      </c>
      <c r="D156" s="1">
        <v>7335962.0</v>
      </c>
      <c r="E156" s="1" t="s">
        <v>1093</v>
      </c>
    </row>
    <row r="157">
      <c r="A157" s="1">
        <v>9.716084059E9</v>
      </c>
      <c r="B157" s="1" t="s">
        <v>1236</v>
      </c>
      <c r="C157" s="1" t="s">
        <v>1078</v>
      </c>
      <c r="D157" s="1">
        <v>7335962.0</v>
      </c>
      <c r="E157" s="1" t="s">
        <v>1093</v>
      </c>
    </row>
    <row r="158">
      <c r="A158" s="1">
        <v>9.716084042E9</v>
      </c>
      <c r="B158" s="1" t="s">
        <v>1237</v>
      </c>
      <c r="C158" s="1" t="s">
        <v>1078</v>
      </c>
      <c r="D158" s="1">
        <v>7335962.0</v>
      </c>
      <c r="E158" s="1" t="s">
        <v>1093</v>
      </c>
    </row>
    <row r="159">
      <c r="A159" s="1">
        <v>9.716084029E9</v>
      </c>
      <c r="B159" s="1" t="s">
        <v>1238</v>
      </c>
      <c r="C159" s="1" t="s">
        <v>1078</v>
      </c>
      <c r="D159" s="1">
        <v>7335962.0</v>
      </c>
      <c r="E159" s="1" t="s">
        <v>1093</v>
      </c>
    </row>
    <row r="160">
      <c r="A160" s="1">
        <v>9.716084025E9</v>
      </c>
      <c r="B160" s="1" t="s">
        <v>1239</v>
      </c>
      <c r="C160" s="1" t="s">
        <v>1078</v>
      </c>
      <c r="D160" s="1">
        <v>7335962.0</v>
      </c>
      <c r="E160" s="1" t="s">
        <v>1093</v>
      </c>
    </row>
    <row r="161">
      <c r="A161" s="1">
        <v>9.716084019E9</v>
      </c>
      <c r="B161" s="1" t="s">
        <v>1240</v>
      </c>
      <c r="C161" s="1" t="s">
        <v>1078</v>
      </c>
      <c r="D161" s="1">
        <v>7335962.0</v>
      </c>
      <c r="E161" s="1" t="s">
        <v>1093</v>
      </c>
    </row>
    <row r="162">
      <c r="A162" s="1">
        <v>9.716084014E9</v>
      </c>
      <c r="B162" s="1" t="s">
        <v>1241</v>
      </c>
      <c r="C162" s="1" t="s">
        <v>1078</v>
      </c>
      <c r="D162" s="1">
        <v>7335962.0</v>
      </c>
      <c r="E162" s="1" t="s">
        <v>1093</v>
      </c>
    </row>
    <row r="163">
      <c r="A163" s="1">
        <v>9.716083984E9</v>
      </c>
      <c r="B163" s="1" t="s">
        <v>1242</v>
      </c>
      <c r="C163" s="1" t="s">
        <v>1078</v>
      </c>
      <c r="D163" s="1">
        <v>7335962.0</v>
      </c>
      <c r="E163" s="1" t="s">
        <v>1093</v>
      </c>
    </row>
    <row r="164">
      <c r="A164" s="1">
        <v>9.711115411E9</v>
      </c>
      <c r="B164" s="1" t="s">
        <v>1243</v>
      </c>
      <c r="C164" s="1" t="s">
        <v>1092</v>
      </c>
      <c r="D164" s="1">
        <v>7335962.0</v>
      </c>
      <c r="E164" s="1" t="s">
        <v>1093</v>
      </c>
    </row>
    <row r="165">
      <c r="A165" s="1">
        <v>9.71111521E9</v>
      </c>
      <c r="B165" s="1" t="s">
        <v>1244</v>
      </c>
      <c r="C165" s="1" t="s">
        <v>1092</v>
      </c>
      <c r="D165" s="1">
        <v>7335962.0</v>
      </c>
      <c r="E165" s="1" t="s">
        <v>1093</v>
      </c>
    </row>
    <row r="166">
      <c r="A166" s="1">
        <v>9.706525568E9</v>
      </c>
      <c r="B166" s="1" t="s">
        <v>1245</v>
      </c>
      <c r="C166" s="1" t="s">
        <v>1078</v>
      </c>
      <c r="D166" s="1">
        <v>7335962.0</v>
      </c>
      <c r="E166" s="1" t="s">
        <v>1093</v>
      </c>
    </row>
    <row r="167">
      <c r="A167" s="1">
        <v>9.665560663E9</v>
      </c>
      <c r="B167" s="1" t="s">
        <v>1246</v>
      </c>
      <c r="C167" s="1" t="s">
        <v>1092</v>
      </c>
      <c r="D167" s="1">
        <v>7335962.0</v>
      </c>
      <c r="E167" s="1" t="s">
        <v>1093</v>
      </c>
    </row>
    <row r="168">
      <c r="A168" s="1">
        <v>9.665560062E9</v>
      </c>
      <c r="B168" s="1" t="s">
        <v>1247</v>
      </c>
      <c r="C168" s="1" t="s">
        <v>1092</v>
      </c>
      <c r="D168" s="1">
        <v>7335962.0</v>
      </c>
      <c r="E168" s="1" t="s">
        <v>1093</v>
      </c>
    </row>
    <row r="169">
      <c r="A169" s="1">
        <v>9.652772514E9</v>
      </c>
      <c r="B169" s="1" t="s">
        <v>1248</v>
      </c>
      <c r="C169" s="1" t="s">
        <v>1092</v>
      </c>
      <c r="D169" s="1">
        <v>7335962.0</v>
      </c>
      <c r="E169" s="1" t="s">
        <v>1093</v>
      </c>
    </row>
    <row r="170">
      <c r="A170" s="1">
        <v>9.652772327E9</v>
      </c>
      <c r="B170" s="1" t="s">
        <v>1249</v>
      </c>
      <c r="C170" s="1" t="s">
        <v>1092</v>
      </c>
      <c r="D170" s="1">
        <v>7335962.0</v>
      </c>
      <c r="E170" s="1" t="s">
        <v>1093</v>
      </c>
    </row>
    <row r="171">
      <c r="A171" s="1">
        <v>9.615577977E9</v>
      </c>
      <c r="B171" s="1" t="s">
        <v>1250</v>
      </c>
      <c r="C171" s="1" t="s">
        <v>1092</v>
      </c>
      <c r="D171" s="1">
        <v>7335962.0</v>
      </c>
      <c r="E171" s="1" t="s">
        <v>1093</v>
      </c>
    </row>
    <row r="172">
      <c r="A172" s="1">
        <v>9.615577413E9</v>
      </c>
      <c r="B172" s="1" t="s">
        <v>1251</v>
      </c>
      <c r="C172" s="1" t="s">
        <v>1092</v>
      </c>
      <c r="D172" s="1">
        <v>7335962.0</v>
      </c>
      <c r="E172" s="1" t="s">
        <v>1093</v>
      </c>
    </row>
    <row r="173">
      <c r="A173" s="1">
        <v>9.611370302E9</v>
      </c>
      <c r="B173" s="1" t="s">
        <v>1252</v>
      </c>
      <c r="C173" s="1" t="s">
        <v>1092</v>
      </c>
      <c r="D173" s="1">
        <v>7335962.0</v>
      </c>
      <c r="E173" s="1" t="s">
        <v>1093</v>
      </c>
    </row>
    <row r="174">
      <c r="A174" s="1">
        <v>9.611369389E9</v>
      </c>
      <c r="B174" s="1" t="s">
        <v>1253</v>
      </c>
      <c r="C174" s="1" t="s">
        <v>1092</v>
      </c>
      <c r="D174" s="1">
        <v>7335962.0</v>
      </c>
      <c r="E174" s="1" t="s">
        <v>1093</v>
      </c>
    </row>
    <row r="175">
      <c r="A175" s="1">
        <v>9.585128684E9</v>
      </c>
      <c r="B175" s="1" t="s">
        <v>1254</v>
      </c>
      <c r="C175" s="1" t="s">
        <v>1092</v>
      </c>
      <c r="D175" s="1">
        <v>7335962.0</v>
      </c>
      <c r="E175" s="1" t="s">
        <v>1093</v>
      </c>
    </row>
    <row r="176">
      <c r="A176" s="1">
        <v>9.585128246E9</v>
      </c>
      <c r="B176" s="1" t="s">
        <v>1255</v>
      </c>
      <c r="C176" s="1" t="s">
        <v>1092</v>
      </c>
      <c r="D176" s="1">
        <v>7335962.0</v>
      </c>
      <c r="E176" s="1" t="s">
        <v>1093</v>
      </c>
    </row>
    <row r="177">
      <c r="A177" s="1">
        <v>9.583484719E9</v>
      </c>
      <c r="B177" s="1" t="s">
        <v>1055</v>
      </c>
      <c r="C177" s="1" t="s">
        <v>1078</v>
      </c>
      <c r="D177" s="1">
        <v>7335962.0</v>
      </c>
      <c r="E177" s="1" t="s">
        <v>1093</v>
      </c>
    </row>
    <row r="178">
      <c r="A178" s="1">
        <v>9.582964561E9</v>
      </c>
      <c r="B178" s="1" t="s">
        <v>1256</v>
      </c>
      <c r="C178" s="1" t="s">
        <v>1078</v>
      </c>
      <c r="D178" s="1">
        <v>7335962.0</v>
      </c>
      <c r="E178" s="1" t="s">
        <v>1093</v>
      </c>
    </row>
    <row r="179">
      <c r="A179" s="1">
        <v>9.554311746E9</v>
      </c>
      <c r="B179" s="1" t="s">
        <v>1182</v>
      </c>
      <c r="C179" s="1" t="s">
        <v>1092</v>
      </c>
      <c r="D179" s="1">
        <v>7335962.0</v>
      </c>
      <c r="E179" s="1" t="s">
        <v>1093</v>
      </c>
    </row>
    <row r="180">
      <c r="A180" s="1">
        <v>9.554311199E9</v>
      </c>
      <c r="B180" s="1" t="s">
        <v>1183</v>
      </c>
      <c r="C180" s="1" t="s">
        <v>1092</v>
      </c>
      <c r="D180" s="1">
        <v>7335962.0</v>
      </c>
      <c r="E180" s="1" t="s">
        <v>1093</v>
      </c>
    </row>
    <row r="181">
      <c r="A181" s="1">
        <v>9.535237743E9</v>
      </c>
      <c r="B181" s="1" t="s">
        <v>1257</v>
      </c>
      <c r="C181" s="1" t="s">
        <v>1092</v>
      </c>
      <c r="D181" s="1">
        <v>7335962.0</v>
      </c>
      <c r="E181" s="1" t="s">
        <v>1093</v>
      </c>
    </row>
    <row r="182">
      <c r="A182" s="1">
        <v>9.535237602E9</v>
      </c>
      <c r="B182" s="1" t="s">
        <v>1258</v>
      </c>
      <c r="C182" s="1" t="s">
        <v>1092</v>
      </c>
      <c r="D182" s="1">
        <v>7335962.0</v>
      </c>
      <c r="E182" s="1" t="s">
        <v>1093</v>
      </c>
    </row>
    <row r="183">
      <c r="A183" s="1">
        <v>9.535237449E9</v>
      </c>
      <c r="B183" s="1" t="s">
        <v>1259</v>
      </c>
      <c r="C183" s="1" t="s">
        <v>1092</v>
      </c>
      <c r="D183" s="1">
        <v>7335962.0</v>
      </c>
      <c r="E183" s="1" t="s">
        <v>1093</v>
      </c>
    </row>
    <row r="184">
      <c r="A184" s="1">
        <v>9.535237357E9</v>
      </c>
      <c r="B184" s="1" t="s">
        <v>1260</v>
      </c>
      <c r="C184" s="1" t="s">
        <v>1092</v>
      </c>
      <c r="D184" s="1">
        <v>7335962.0</v>
      </c>
      <c r="E184" s="1" t="s">
        <v>1093</v>
      </c>
    </row>
    <row r="185">
      <c r="A185" s="1">
        <v>9.523558617E9</v>
      </c>
      <c r="B185" s="1" t="s">
        <v>1261</v>
      </c>
      <c r="C185" s="1" t="s">
        <v>1092</v>
      </c>
      <c r="D185" s="1">
        <v>7335962.0</v>
      </c>
      <c r="E185" s="1" t="s">
        <v>1093</v>
      </c>
    </row>
    <row r="186">
      <c r="A186" s="1">
        <v>9.523558517E9</v>
      </c>
      <c r="B186" s="1" t="s">
        <v>1262</v>
      </c>
      <c r="C186" s="1" t="s">
        <v>1092</v>
      </c>
      <c r="D186" s="1">
        <v>7335962.0</v>
      </c>
      <c r="E186" s="1" t="s">
        <v>1093</v>
      </c>
    </row>
    <row r="187">
      <c r="A187" s="1">
        <v>9.506617339E9</v>
      </c>
      <c r="B187" s="1" t="s">
        <v>1263</v>
      </c>
      <c r="C187" s="1" t="s">
        <v>1092</v>
      </c>
      <c r="D187" s="1">
        <v>7335962.0</v>
      </c>
      <c r="E187" s="1" t="s">
        <v>1093</v>
      </c>
    </row>
    <row r="188">
      <c r="A188" s="1">
        <v>9.506617007E9</v>
      </c>
      <c r="B188" s="1" t="s">
        <v>1264</v>
      </c>
      <c r="C188" s="1" t="s">
        <v>1092</v>
      </c>
      <c r="D188" s="1">
        <v>7335962.0</v>
      </c>
      <c r="E188" s="1" t="s">
        <v>1093</v>
      </c>
    </row>
    <row r="189">
      <c r="A189" s="1">
        <v>9.490389874E9</v>
      </c>
      <c r="B189" s="1" t="s">
        <v>1265</v>
      </c>
      <c r="C189" s="1" t="s">
        <v>1092</v>
      </c>
      <c r="D189" s="1">
        <v>7335962.0</v>
      </c>
      <c r="E189" s="1" t="s">
        <v>1093</v>
      </c>
    </row>
    <row r="190">
      <c r="A190" s="1">
        <v>9.490389708E9</v>
      </c>
      <c r="B190" s="1" t="s">
        <v>1266</v>
      </c>
      <c r="C190" s="1" t="s">
        <v>1092</v>
      </c>
      <c r="D190" s="1">
        <v>7335962.0</v>
      </c>
      <c r="E190" s="1" t="s">
        <v>1093</v>
      </c>
    </row>
    <row r="191">
      <c r="A191" s="1">
        <v>9.434203677E9</v>
      </c>
      <c r="B191" s="1" t="s">
        <v>1267</v>
      </c>
      <c r="C191" s="1" t="s">
        <v>1092</v>
      </c>
      <c r="D191" s="1">
        <v>7335962.0</v>
      </c>
      <c r="E191" s="1" t="s">
        <v>1093</v>
      </c>
    </row>
    <row r="192">
      <c r="A192" s="1">
        <v>9.434203014E9</v>
      </c>
      <c r="B192" s="1" t="s">
        <v>1268</v>
      </c>
      <c r="C192" s="1" t="s">
        <v>1092</v>
      </c>
      <c r="D192" s="1">
        <v>7335962.0</v>
      </c>
      <c r="E192" s="1" t="s">
        <v>1093</v>
      </c>
    </row>
    <row r="193">
      <c r="A193" s="1">
        <v>9.386752286E9</v>
      </c>
      <c r="B193" s="1" t="s">
        <v>1269</v>
      </c>
      <c r="C193" s="1" t="s">
        <v>1092</v>
      </c>
      <c r="D193" s="1">
        <v>7335962.0</v>
      </c>
      <c r="E193" s="1" t="s">
        <v>1093</v>
      </c>
    </row>
    <row r="194">
      <c r="A194" s="1">
        <v>9.386751457E9</v>
      </c>
      <c r="B194" s="1" t="s">
        <v>1270</v>
      </c>
      <c r="C194" s="1" t="s">
        <v>1092</v>
      </c>
      <c r="D194" s="1">
        <v>7335962.0</v>
      </c>
      <c r="E194" s="1" t="s">
        <v>1093</v>
      </c>
    </row>
    <row r="195">
      <c r="A195" s="1">
        <v>9.36028786E9</v>
      </c>
      <c r="B195" s="1" t="s">
        <v>1271</v>
      </c>
      <c r="C195" s="1" t="s">
        <v>1092</v>
      </c>
      <c r="D195" s="1">
        <v>7335962.0</v>
      </c>
      <c r="E195" s="1" t="s">
        <v>1093</v>
      </c>
    </row>
    <row r="196">
      <c r="A196" s="1">
        <v>9.360287199E9</v>
      </c>
      <c r="B196" s="1" t="s">
        <v>1272</v>
      </c>
      <c r="C196" s="1" t="s">
        <v>1092</v>
      </c>
      <c r="D196" s="1">
        <v>7335962.0</v>
      </c>
      <c r="E196" s="1" t="s">
        <v>1093</v>
      </c>
    </row>
    <row r="197">
      <c r="A197" s="1">
        <v>9.352012722E9</v>
      </c>
      <c r="B197" s="1" t="s">
        <v>1273</v>
      </c>
      <c r="C197" s="1" t="s">
        <v>1092</v>
      </c>
      <c r="D197" s="1">
        <v>7335962.0</v>
      </c>
      <c r="E197" s="1" t="s">
        <v>1093</v>
      </c>
    </row>
    <row r="198">
      <c r="A198" s="1">
        <v>9.352012284E9</v>
      </c>
      <c r="B198" s="1" t="s">
        <v>1274</v>
      </c>
      <c r="C198" s="1" t="s">
        <v>1092</v>
      </c>
      <c r="D198" s="1">
        <v>7335962.0</v>
      </c>
      <c r="E198" s="1" t="s">
        <v>1093</v>
      </c>
    </row>
    <row r="199">
      <c r="A199" s="1">
        <v>9.344245049E9</v>
      </c>
      <c r="B199" s="1" t="s">
        <v>1275</v>
      </c>
      <c r="C199" s="1" t="s">
        <v>1092</v>
      </c>
      <c r="D199" s="1">
        <v>7335962.0</v>
      </c>
      <c r="E199" s="1" t="s">
        <v>1093</v>
      </c>
    </row>
    <row r="200">
      <c r="A200" s="1">
        <v>9.344244413E9</v>
      </c>
      <c r="B200" s="1" t="s">
        <v>1276</v>
      </c>
      <c r="C200" s="1" t="s">
        <v>1092</v>
      </c>
      <c r="D200" s="1">
        <v>7335962.0</v>
      </c>
      <c r="E200" s="1" t="s">
        <v>1093</v>
      </c>
    </row>
    <row r="201">
      <c r="A201" s="1">
        <v>9.290843326E9</v>
      </c>
      <c r="B201" s="1" t="s">
        <v>1277</v>
      </c>
      <c r="C201" s="1" t="s">
        <v>1092</v>
      </c>
      <c r="D201" s="1">
        <v>7335962.0</v>
      </c>
      <c r="E201" s="1" t="s">
        <v>1093</v>
      </c>
    </row>
    <row r="202">
      <c r="A202" s="1">
        <v>9.290842457E9</v>
      </c>
      <c r="B202" s="1" t="s">
        <v>1278</v>
      </c>
      <c r="C202" s="1" t="s">
        <v>1092</v>
      </c>
      <c r="D202" s="1">
        <v>7335962.0</v>
      </c>
      <c r="E202" s="1" t="s">
        <v>1093</v>
      </c>
    </row>
    <row r="203">
      <c r="A203" s="1">
        <v>9.269866943E9</v>
      </c>
      <c r="B203" s="1" t="s">
        <v>1279</v>
      </c>
      <c r="C203" s="1" t="s">
        <v>1092</v>
      </c>
      <c r="D203" s="1">
        <v>7335962.0</v>
      </c>
      <c r="E203" s="1" t="s">
        <v>1093</v>
      </c>
    </row>
    <row r="204">
      <c r="A204" s="1">
        <v>9.269866654E9</v>
      </c>
      <c r="B204" s="1" t="s">
        <v>1280</v>
      </c>
      <c r="C204" s="1" t="s">
        <v>1092</v>
      </c>
      <c r="D204" s="1">
        <v>7335962.0</v>
      </c>
      <c r="E204" s="1" t="s">
        <v>1093</v>
      </c>
    </row>
    <row r="205">
      <c r="A205" s="1">
        <v>9.269069651E9</v>
      </c>
      <c r="B205" s="1" t="s">
        <v>1281</v>
      </c>
      <c r="C205" s="1" t="s">
        <v>1092</v>
      </c>
      <c r="D205" s="1">
        <v>7335962.0</v>
      </c>
      <c r="E205" s="1" t="s">
        <v>1093</v>
      </c>
    </row>
    <row r="206">
      <c r="A206" s="1">
        <v>9.269069449E9</v>
      </c>
      <c r="B206" s="1" t="s">
        <v>1282</v>
      </c>
      <c r="C206" s="1" t="s">
        <v>1092</v>
      </c>
      <c r="D206" s="1">
        <v>7335962.0</v>
      </c>
      <c r="E206" s="1" t="s">
        <v>1093</v>
      </c>
    </row>
    <row r="207">
      <c r="A207" s="1">
        <v>9.221191247E9</v>
      </c>
      <c r="B207" s="1" t="s">
        <v>1283</v>
      </c>
      <c r="C207" s="1" t="s">
        <v>1092</v>
      </c>
      <c r="D207" s="1">
        <v>7335962.0</v>
      </c>
      <c r="E207" s="1" t="s">
        <v>1093</v>
      </c>
    </row>
    <row r="208">
      <c r="A208" s="1">
        <v>9.221190586E9</v>
      </c>
      <c r="B208" s="1" t="s">
        <v>1284</v>
      </c>
      <c r="C208" s="1" t="s">
        <v>1092</v>
      </c>
      <c r="D208" s="1">
        <v>7335962.0</v>
      </c>
      <c r="E208" s="1" t="s">
        <v>1093</v>
      </c>
    </row>
    <row r="209">
      <c r="A209" s="1">
        <v>9.201699379E9</v>
      </c>
      <c r="B209" s="1" t="s">
        <v>1285</v>
      </c>
      <c r="C209" s="1" t="s">
        <v>1092</v>
      </c>
      <c r="D209" s="1">
        <v>7335962.0</v>
      </c>
      <c r="E209" s="1" t="s">
        <v>1093</v>
      </c>
    </row>
    <row r="210">
      <c r="A210" s="1">
        <v>9.201698539E9</v>
      </c>
      <c r="B210" s="1" t="s">
        <v>1286</v>
      </c>
      <c r="C210" s="1" t="s">
        <v>1092</v>
      </c>
      <c r="D210" s="1">
        <v>7335962.0</v>
      </c>
      <c r="E210" s="1" t="s">
        <v>1093</v>
      </c>
    </row>
    <row r="211">
      <c r="A211" s="1">
        <v>9.184146761E9</v>
      </c>
      <c r="B211" s="1" t="s">
        <v>1287</v>
      </c>
      <c r="C211" s="1" t="s">
        <v>1092</v>
      </c>
      <c r="D211" s="1">
        <v>7335962.0</v>
      </c>
      <c r="E211" s="1" t="s">
        <v>1093</v>
      </c>
    </row>
    <row r="212">
      <c r="A212" s="1">
        <v>9.184146519E9</v>
      </c>
      <c r="B212" s="1" t="s">
        <v>1288</v>
      </c>
      <c r="C212" s="1" t="s">
        <v>1092</v>
      </c>
      <c r="D212" s="1">
        <v>7335962.0</v>
      </c>
      <c r="E212" s="1" t="s">
        <v>1093</v>
      </c>
    </row>
    <row r="213">
      <c r="A213" s="1">
        <v>9.10854258E9</v>
      </c>
      <c r="B213" s="1" t="s">
        <v>1289</v>
      </c>
      <c r="C213" s="1" t="s">
        <v>1092</v>
      </c>
      <c r="D213" s="1">
        <v>7335962.0</v>
      </c>
      <c r="E213" s="1" t="s">
        <v>1093</v>
      </c>
    </row>
    <row r="214">
      <c r="A214" s="1">
        <v>9.10854232E9</v>
      </c>
      <c r="B214" s="1" t="s">
        <v>1290</v>
      </c>
      <c r="C214" s="1" t="s">
        <v>1092</v>
      </c>
      <c r="D214" s="1">
        <v>7335962.0</v>
      </c>
      <c r="E214" s="1" t="s">
        <v>1093</v>
      </c>
    </row>
    <row r="215">
      <c r="A215" s="1">
        <v>9.101132722E9</v>
      </c>
      <c r="B215" s="1" t="s">
        <v>1291</v>
      </c>
      <c r="C215" s="1" t="s">
        <v>1092</v>
      </c>
      <c r="D215" s="1">
        <v>7335962.0</v>
      </c>
      <c r="E215" s="1" t="s">
        <v>1093</v>
      </c>
    </row>
    <row r="216">
      <c r="A216" s="1">
        <v>9.101132175E9</v>
      </c>
      <c r="B216" s="1" t="s">
        <v>1292</v>
      </c>
      <c r="C216" s="1" t="s">
        <v>1092</v>
      </c>
      <c r="D216" s="1">
        <v>7335962.0</v>
      </c>
      <c r="E216" s="1" t="s">
        <v>1093</v>
      </c>
    </row>
    <row r="217">
      <c r="A217" s="1">
        <v>9.07316474E9</v>
      </c>
      <c r="B217" s="1" t="s">
        <v>1293</v>
      </c>
      <c r="C217" s="1" t="s">
        <v>1092</v>
      </c>
      <c r="D217" s="1">
        <v>7335962.0</v>
      </c>
      <c r="E217" s="1" t="s">
        <v>1093</v>
      </c>
    </row>
    <row r="218">
      <c r="A218" s="1">
        <v>9.073164497E9</v>
      </c>
      <c r="B218" s="1" t="s">
        <v>1294</v>
      </c>
      <c r="C218" s="1" t="s">
        <v>1092</v>
      </c>
      <c r="D218" s="1">
        <v>7335962.0</v>
      </c>
      <c r="E218" s="1" t="s">
        <v>1093</v>
      </c>
    </row>
    <row r="219">
      <c r="A219" s="1">
        <v>9.01861125E9</v>
      </c>
      <c r="B219" s="1" t="s">
        <v>1295</v>
      </c>
      <c r="C219" s="1" t="s">
        <v>1092</v>
      </c>
      <c r="D219" s="1">
        <v>7335962.0</v>
      </c>
      <c r="E219" s="1" t="s">
        <v>1093</v>
      </c>
    </row>
    <row r="220">
      <c r="A220" s="1">
        <v>9.018610711E9</v>
      </c>
      <c r="B220" s="1" t="s">
        <v>1296</v>
      </c>
      <c r="C220" s="1" t="s">
        <v>1092</v>
      </c>
      <c r="D220" s="1">
        <v>7335962.0</v>
      </c>
      <c r="E220" s="1" t="s">
        <v>1093</v>
      </c>
    </row>
    <row r="221">
      <c r="A221" s="1">
        <v>8.946949701E9</v>
      </c>
      <c r="B221" s="1" t="s">
        <v>1297</v>
      </c>
      <c r="C221" s="1" t="s">
        <v>1092</v>
      </c>
      <c r="D221" s="1">
        <v>7335962.0</v>
      </c>
      <c r="E221" s="1" t="s">
        <v>1093</v>
      </c>
    </row>
    <row r="222">
      <c r="A222" s="1">
        <v>8.946949396E9</v>
      </c>
      <c r="B222" s="1" t="s">
        <v>1298</v>
      </c>
      <c r="C222" s="1" t="s">
        <v>1092</v>
      </c>
      <c r="D222" s="1">
        <v>7335962.0</v>
      </c>
      <c r="E222" s="1" t="s">
        <v>1093</v>
      </c>
    </row>
    <row r="223">
      <c r="A223" s="1">
        <v>8.946501623E9</v>
      </c>
      <c r="B223" s="1" t="s">
        <v>1299</v>
      </c>
      <c r="C223" s="1" t="s">
        <v>1078</v>
      </c>
      <c r="D223" s="1">
        <v>7335962.0</v>
      </c>
      <c r="E223" s="1" t="s">
        <v>1093</v>
      </c>
    </row>
    <row r="224">
      <c r="A224" s="1">
        <v>8.946062182E9</v>
      </c>
      <c r="B224" s="1" t="s">
        <v>1300</v>
      </c>
      <c r="C224" s="1" t="s">
        <v>1092</v>
      </c>
      <c r="D224" s="1">
        <v>7335962.0</v>
      </c>
      <c r="E224" s="1" t="s">
        <v>1093</v>
      </c>
    </row>
    <row r="225">
      <c r="A225" s="1">
        <v>8.946061846E9</v>
      </c>
      <c r="B225" s="1" t="s">
        <v>1301</v>
      </c>
      <c r="C225" s="1" t="s">
        <v>1092</v>
      </c>
      <c r="D225" s="1">
        <v>7335962.0</v>
      </c>
      <c r="E225" s="1" t="s">
        <v>1093</v>
      </c>
    </row>
    <row r="226">
      <c r="A226" s="1">
        <v>8.942448165E9</v>
      </c>
      <c r="B226" s="1" t="s">
        <v>1302</v>
      </c>
      <c r="C226" s="1" t="s">
        <v>1092</v>
      </c>
      <c r="D226" s="1">
        <v>7335962.0</v>
      </c>
      <c r="E226" s="1" t="s">
        <v>1093</v>
      </c>
    </row>
    <row r="227">
      <c r="A227" s="1">
        <v>8.942448055E9</v>
      </c>
      <c r="B227" s="1" t="s">
        <v>1303</v>
      </c>
      <c r="C227" s="1" t="s">
        <v>1092</v>
      </c>
      <c r="D227" s="1">
        <v>7335962.0</v>
      </c>
      <c r="E227" s="1" t="s">
        <v>1093</v>
      </c>
    </row>
    <row r="228">
      <c r="A228" s="1">
        <v>8.938253553E9</v>
      </c>
      <c r="B228" s="1" t="s">
        <v>1304</v>
      </c>
      <c r="C228" s="1" t="s">
        <v>1092</v>
      </c>
      <c r="D228" s="1">
        <v>7335962.0</v>
      </c>
      <c r="E228" s="1" t="s">
        <v>1093</v>
      </c>
    </row>
    <row r="229">
      <c r="A229" s="1">
        <v>8.93825317E9</v>
      </c>
      <c r="B229" s="1" t="s">
        <v>1305</v>
      </c>
      <c r="C229" s="1" t="s">
        <v>1092</v>
      </c>
      <c r="D229" s="1">
        <v>7335962.0</v>
      </c>
      <c r="E229" s="1" t="s">
        <v>1093</v>
      </c>
    </row>
    <row r="230">
      <c r="A230" s="1">
        <v>8.936227695E9</v>
      </c>
      <c r="B230" s="1" t="s">
        <v>1306</v>
      </c>
      <c r="C230" s="1" t="s">
        <v>1092</v>
      </c>
      <c r="D230" s="1">
        <v>7335962.0</v>
      </c>
      <c r="E230" s="1" t="s">
        <v>1093</v>
      </c>
    </row>
    <row r="231">
      <c r="A231" s="1">
        <v>8.936227075E9</v>
      </c>
      <c r="B231" s="1" t="s">
        <v>1307</v>
      </c>
      <c r="C231" s="1" t="s">
        <v>1092</v>
      </c>
      <c r="D231" s="1">
        <v>7335962.0</v>
      </c>
      <c r="E231" s="1" t="s">
        <v>1093</v>
      </c>
    </row>
    <row r="232">
      <c r="A232" s="1">
        <v>8.929101689E9</v>
      </c>
      <c r="B232" s="1" t="s">
        <v>1308</v>
      </c>
      <c r="C232" s="1" t="s">
        <v>1092</v>
      </c>
      <c r="D232" s="1">
        <v>7335962.0</v>
      </c>
      <c r="E232" s="1" t="s">
        <v>1093</v>
      </c>
    </row>
    <row r="233">
      <c r="A233" s="1">
        <v>8.929100818E9</v>
      </c>
      <c r="B233" s="1" t="s">
        <v>1309</v>
      </c>
      <c r="C233" s="1" t="s">
        <v>1092</v>
      </c>
      <c r="D233" s="1">
        <v>7335962.0</v>
      </c>
      <c r="E233" s="1" t="s">
        <v>1093</v>
      </c>
    </row>
    <row r="234">
      <c r="A234" s="1">
        <v>8.925259937E9</v>
      </c>
      <c r="B234" s="1" t="s">
        <v>1310</v>
      </c>
      <c r="C234" s="1" t="s">
        <v>1092</v>
      </c>
      <c r="D234" s="1">
        <v>7335962.0</v>
      </c>
      <c r="E234" s="1" t="s">
        <v>1093</v>
      </c>
    </row>
    <row r="235">
      <c r="A235" s="1">
        <v>8.925259312E9</v>
      </c>
      <c r="B235" s="1" t="s">
        <v>1311</v>
      </c>
      <c r="C235" s="1" t="s">
        <v>1092</v>
      </c>
      <c r="D235" s="1">
        <v>7335962.0</v>
      </c>
      <c r="E235" s="1" t="s">
        <v>1093</v>
      </c>
    </row>
    <row r="236">
      <c r="A236" s="1">
        <v>8.90620482E9</v>
      </c>
      <c r="B236" s="1" t="s">
        <v>1312</v>
      </c>
      <c r="C236" s="1" t="s">
        <v>1092</v>
      </c>
      <c r="D236" s="1">
        <v>7335962.0</v>
      </c>
      <c r="E236" s="1" t="s">
        <v>1093</v>
      </c>
    </row>
    <row r="237">
      <c r="A237" s="1">
        <v>8.906204494E9</v>
      </c>
      <c r="B237" s="1" t="s">
        <v>1313</v>
      </c>
      <c r="C237" s="1" t="s">
        <v>1092</v>
      </c>
      <c r="D237" s="1">
        <v>7335962.0</v>
      </c>
      <c r="E237" s="1" t="s">
        <v>1093</v>
      </c>
    </row>
    <row r="238">
      <c r="A238" s="1">
        <v>8.90487731E9</v>
      </c>
      <c r="B238" s="1" t="s">
        <v>1314</v>
      </c>
      <c r="C238" s="1" t="s">
        <v>1092</v>
      </c>
      <c r="D238" s="1">
        <v>7335962.0</v>
      </c>
      <c r="E238" s="1" t="s">
        <v>1093</v>
      </c>
    </row>
    <row r="239">
      <c r="A239" s="1">
        <v>8.904876991E9</v>
      </c>
      <c r="B239" s="1" t="s">
        <v>1315</v>
      </c>
      <c r="C239" s="1" t="s">
        <v>1092</v>
      </c>
      <c r="D239" s="1">
        <v>7335962.0</v>
      </c>
      <c r="E239" s="1" t="s">
        <v>1093</v>
      </c>
    </row>
    <row r="240">
      <c r="A240" s="1">
        <v>8.885092122E9</v>
      </c>
      <c r="B240" s="1" t="s">
        <v>1316</v>
      </c>
      <c r="C240" s="1" t="s">
        <v>1092</v>
      </c>
      <c r="D240" s="1">
        <v>7335962.0</v>
      </c>
      <c r="E240" s="1" t="s">
        <v>1093</v>
      </c>
    </row>
    <row r="241">
      <c r="A241" s="1">
        <v>8.885091719E9</v>
      </c>
      <c r="B241" s="1" t="s">
        <v>1317</v>
      </c>
      <c r="C241" s="1" t="s">
        <v>1092</v>
      </c>
      <c r="D241" s="1">
        <v>7335962.0</v>
      </c>
      <c r="E241" s="1" t="s">
        <v>1093</v>
      </c>
    </row>
    <row r="242">
      <c r="A242" s="1">
        <v>8.878214461E9</v>
      </c>
      <c r="B242" s="1" t="s">
        <v>1318</v>
      </c>
      <c r="C242" s="1" t="s">
        <v>1092</v>
      </c>
      <c r="D242" s="1">
        <v>7335962.0</v>
      </c>
      <c r="E242" s="1" t="s">
        <v>1093</v>
      </c>
    </row>
    <row r="243">
      <c r="A243" s="1">
        <v>8.87768513E9</v>
      </c>
      <c r="B243" s="1" t="s">
        <v>1319</v>
      </c>
      <c r="C243" s="1" t="s">
        <v>1092</v>
      </c>
      <c r="D243" s="1">
        <v>7335962.0</v>
      </c>
      <c r="E243" s="1" t="s">
        <v>1093</v>
      </c>
    </row>
    <row r="244">
      <c r="A244" s="1">
        <v>8.877684779E9</v>
      </c>
      <c r="B244" s="1" t="s">
        <v>1320</v>
      </c>
      <c r="C244" s="1" t="s">
        <v>1092</v>
      </c>
      <c r="D244" s="1">
        <v>7335962.0</v>
      </c>
      <c r="E244" s="1" t="s">
        <v>1093</v>
      </c>
    </row>
    <row r="245">
      <c r="A245" s="1">
        <v>8.850571408E9</v>
      </c>
      <c r="B245" s="1" t="s">
        <v>1321</v>
      </c>
      <c r="C245" s="1" t="s">
        <v>1092</v>
      </c>
      <c r="D245" s="1">
        <v>7335962.0</v>
      </c>
      <c r="E245" s="1" t="s">
        <v>1093</v>
      </c>
    </row>
    <row r="246">
      <c r="A246" s="1">
        <v>8.850571338E9</v>
      </c>
      <c r="B246" s="1" t="s">
        <v>1322</v>
      </c>
      <c r="C246" s="1" t="s">
        <v>1092</v>
      </c>
      <c r="D246" s="1">
        <v>7335962.0</v>
      </c>
      <c r="E246" s="1" t="s">
        <v>1093</v>
      </c>
    </row>
    <row r="247">
      <c r="A247" s="1">
        <v>8.850571291E9</v>
      </c>
      <c r="B247" s="1" t="s">
        <v>1323</v>
      </c>
      <c r="C247" s="1" t="s">
        <v>1092</v>
      </c>
      <c r="D247" s="1">
        <v>7335962.0</v>
      </c>
      <c r="E247" s="1" t="s">
        <v>1093</v>
      </c>
    </row>
    <row r="248">
      <c r="A248" s="1">
        <v>8.850571123E9</v>
      </c>
      <c r="B248" s="1" t="s">
        <v>1324</v>
      </c>
      <c r="C248" s="1" t="s">
        <v>1092</v>
      </c>
      <c r="D248" s="1">
        <v>7335962.0</v>
      </c>
      <c r="E248" s="1" t="s">
        <v>1093</v>
      </c>
    </row>
    <row r="249">
      <c r="A249" s="1">
        <v>8.845987224E9</v>
      </c>
      <c r="B249" s="1" t="s">
        <v>1325</v>
      </c>
      <c r="C249" s="1" t="s">
        <v>1092</v>
      </c>
      <c r="D249" s="1">
        <v>7335962.0</v>
      </c>
      <c r="E249" s="1" t="s">
        <v>1093</v>
      </c>
    </row>
    <row r="250">
      <c r="A250" s="1">
        <v>8.845986752E9</v>
      </c>
      <c r="B250" s="1" t="s">
        <v>1326</v>
      </c>
      <c r="C250" s="1" t="s">
        <v>1092</v>
      </c>
      <c r="D250" s="1">
        <v>7335962.0</v>
      </c>
      <c r="E250" s="1" t="s">
        <v>1093</v>
      </c>
    </row>
    <row r="251">
      <c r="A251" s="1">
        <v>8.83598837E9</v>
      </c>
      <c r="B251" s="1" t="s">
        <v>1327</v>
      </c>
      <c r="C251" s="1" t="s">
        <v>1092</v>
      </c>
      <c r="D251" s="1">
        <v>7335962.0</v>
      </c>
      <c r="E251" s="1" t="s">
        <v>1093</v>
      </c>
    </row>
    <row r="252">
      <c r="A252" s="1">
        <v>8.83598788E9</v>
      </c>
      <c r="B252" s="1" t="s">
        <v>1328</v>
      </c>
      <c r="C252" s="1" t="s">
        <v>1092</v>
      </c>
      <c r="D252" s="1">
        <v>7335962.0</v>
      </c>
      <c r="E252" s="1" t="s">
        <v>1093</v>
      </c>
    </row>
    <row r="253">
      <c r="A253" s="1">
        <v>8.797827069E9</v>
      </c>
      <c r="B253" s="1" t="s">
        <v>1329</v>
      </c>
      <c r="C253" s="1" t="s">
        <v>1092</v>
      </c>
      <c r="D253" s="1">
        <v>7335962.0</v>
      </c>
      <c r="E253" s="1" t="s">
        <v>1093</v>
      </c>
    </row>
    <row r="254">
      <c r="A254" s="1">
        <v>8.797826445E9</v>
      </c>
      <c r="B254" s="1" t="s">
        <v>1330</v>
      </c>
      <c r="C254" s="1" t="s">
        <v>1092</v>
      </c>
      <c r="D254" s="1">
        <v>7335962.0</v>
      </c>
      <c r="E254" s="1" t="s">
        <v>1093</v>
      </c>
    </row>
    <row r="255">
      <c r="A255" s="1">
        <v>8.797826122E9</v>
      </c>
      <c r="B255" s="1" t="s">
        <v>1331</v>
      </c>
      <c r="C255" s="1" t="s">
        <v>1092</v>
      </c>
      <c r="D255" s="1">
        <v>7335962.0</v>
      </c>
      <c r="E255" s="1" t="s">
        <v>1093</v>
      </c>
    </row>
    <row r="256">
      <c r="A256" s="1">
        <v>8.797825679E9</v>
      </c>
      <c r="B256" s="1" t="s">
        <v>1332</v>
      </c>
      <c r="C256" s="1" t="s">
        <v>1092</v>
      </c>
      <c r="D256" s="1">
        <v>7335962.0</v>
      </c>
      <c r="E256" s="1" t="s">
        <v>1093</v>
      </c>
    </row>
    <row r="257">
      <c r="A257" s="1">
        <v>8.79782553E9</v>
      </c>
      <c r="B257" s="1" t="s">
        <v>1333</v>
      </c>
      <c r="C257" s="1" t="s">
        <v>1092</v>
      </c>
      <c r="D257" s="1">
        <v>7335962.0</v>
      </c>
      <c r="E257" s="1" t="s">
        <v>1093</v>
      </c>
    </row>
    <row r="258">
      <c r="A258" s="1">
        <v>8.797825443E9</v>
      </c>
      <c r="B258" s="1" t="s">
        <v>1334</v>
      </c>
      <c r="C258" s="1" t="s">
        <v>1092</v>
      </c>
      <c r="D258" s="1">
        <v>7335962.0</v>
      </c>
      <c r="E258" s="1" t="s">
        <v>1093</v>
      </c>
    </row>
    <row r="259">
      <c r="A259" s="1">
        <v>8.797825362E9</v>
      </c>
      <c r="B259" s="1" t="s">
        <v>1335</v>
      </c>
      <c r="C259" s="1" t="s">
        <v>1092</v>
      </c>
      <c r="D259" s="1">
        <v>7335962.0</v>
      </c>
      <c r="E259" s="1" t="s">
        <v>1093</v>
      </c>
    </row>
    <row r="260">
      <c r="A260" s="1">
        <v>8.797825094E9</v>
      </c>
      <c r="B260" s="1" t="s">
        <v>1336</v>
      </c>
      <c r="C260" s="1" t="s">
        <v>1092</v>
      </c>
      <c r="D260" s="1">
        <v>7335962.0</v>
      </c>
      <c r="E260" s="1" t="s">
        <v>1093</v>
      </c>
    </row>
    <row r="261">
      <c r="A261" s="1">
        <v>8.790750393E9</v>
      </c>
      <c r="B261" s="1" t="s">
        <v>1337</v>
      </c>
      <c r="C261" s="1" t="s">
        <v>1092</v>
      </c>
      <c r="D261" s="1">
        <v>7335962.0</v>
      </c>
      <c r="E261" s="1" t="s">
        <v>1093</v>
      </c>
    </row>
    <row r="262">
      <c r="A262" s="1">
        <v>8.790749648E9</v>
      </c>
      <c r="B262" s="1" t="s">
        <v>1338</v>
      </c>
      <c r="C262" s="1" t="s">
        <v>1092</v>
      </c>
      <c r="D262" s="1">
        <v>7335962.0</v>
      </c>
      <c r="E262" s="1" t="s">
        <v>1093</v>
      </c>
    </row>
    <row r="263">
      <c r="A263" s="1">
        <v>8.753205118E9</v>
      </c>
      <c r="B263" s="1" t="s">
        <v>1339</v>
      </c>
      <c r="C263" s="1" t="s">
        <v>1092</v>
      </c>
      <c r="D263" s="1">
        <v>7335962.0</v>
      </c>
      <c r="E263" s="1" t="s">
        <v>1093</v>
      </c>
    </row>
    <row r="264">
      <c r="A264" s="1">
        <v>8.753204533E9</v>
      </c>
      <c r="B264" s="1" t="s">
        <v>1340</v>
      </c>
      <c r="C264" s="1" t="s">
        <v>1092</v>
      </c>
      <c r="D264" s="1">
        <v>7335962.0</v>
      </c>
      <c r="E264" s="1" t="s">
        <v>1093</v>
      </c>
    </row>
    <row r="265">
      <c r="A265" s="1">
        <v>8.683888719E9</v>
      </c>
      <c r="B265" s="1" t="s">
        <v>1341</v>
      </c>
      <c r="C265" s="1" t="s">
        <v>1092</v>
      </c>
      <c r="D265" s="1">
        <v>7335962.0</v>
      </c>
      <c r="E265" s="1" t="s">
        <v>1093</v>
      </c>
    </row>
    <row r="266">
      <c r="A266" s="1">
        <v>8.683888164E9</v>
      </c>
      <c r="B266" s="1" t="s">
        <v>1342</v>
      </c>
      <c r="C266" s="1" t="s">
        <v>1092</v>
      </c>
      <c r="D266" s="1">
        <v>7335962.0</v>
      </c>
      <c r="E266" s="1" t="s">
        <v>1093</v>
      </c>
    </row>
    <row r="267">
      <c r="A267" s="1">
        <v>8.681879599E9</v>
      </c>
      <c r="B267" s="1" t="s">
        <v>1343</v>
      </c>
      <c r="C267" s="1" t="s">
        <v>1092</v>
      </c>
      <c r="D267" s="1">
        <v>7335962.0</v>
      </c>
      <c r="E267" s="1" t="s">
        <v>1093</v>
      </c>
    </row>
    <row r="268">
      <c r="A268" s="1">
        <v>8.68187908E9</v>
      </c>
      <c r="B268" s="1" t="s">
        <v>1344</v>
      </c>
      <c r="C268" s="1" t="s">
        <v>1092</v>
      </c>
      <c r="D268" s="1">
        <v>7335962.0</v>
      </c>
      <c r="E268" s="1" t="s">
        <v>1093</v>
      </c>
    </row>
    <row r="269">
      <c r="A269" s="1">
        <v>8.661079212E9</v>
      </c>
      <c r="B269" s="1" t="s">
        <v>1345</v>
      </c>
      <c r="C269" s="1" t="s">
        <v>1092</v>
      </c>
      <c r="D269" s="1">
        <v>7335962.0</v>
      </c>
      <c r="E269" s="1" t="s">
        <v>1093</v>
      </c>
    </row>
    <row r="270">
      <c r="A270" s="1">
        <v>8.661078734E9</v>
      </c>
      <c r="B270" s="1" t="s">
        <v>1346</v>
      </c>
      <c r="C270" s="1" t="s">
        <v>1092</v>
      </c>
      <c r="D270" s="1">
        <v>7335962.0</v>
      </c>
      <c r="E270" s="1" t="s">
        <v>1093</v>
      </c>
    </row>
    <row r="271">
      <c r="A271" s="1">
        <v>8.661051499E9</v>
      </c>
      <c r="B271" s="1" t="s">
        <v>1347</v>
      </c>
      <c r="C271" s="1" t="s">
        <v>1092</v>
      </c>
      <c r="D271" s="1">
        <v>7335962.0</v>
      </c>
      <c r="E271" s="1" t="s">
        <v>1093</v>
      </c>
    </row>
    <row r="272">
      <c r="A272" s="1">
        <v>8.661051172E9</v>
      </c>
      <c r="B272" s="1" t="s">
        <v>1348</v>
      </c>
      <c r="C272" s="1" t="s">
        <v>1092</v>
      </c>
      <c r="D272" s="1">
        <v>7335962.0</v>
      </c>
      <c r="E272" s="1" t="s">
        <v>1093</v>
      </c>
    </row>
    <row r="273">
      <c r="A273" s="1">
        <v>8.636066068E9</v>
      </c>
      <c r="B273" s="1" t="s">
        <v>1349</v>
      </c>
      <c r="C273" s="1" t="s">
        <v>1092</v>
      </c>
      <c r="D273" s="1">
        <v>7335962.0</v>
      </c>
      <c r="E273" s="1" t="s">
        <v>1093</v>
      </c>
    </row>
    <row r="274">
      <c r="A274" s="1">
        <v>8.636065735E9</v>
      </c>
      <c r="B274" s="1" t="s">
        <v>1350</v>
      </c>
      <c r="C274" s="1" t="s">
        <v>1092</v>
      </c>
      <c r="D274" s="1">
        <v>7335962.0</v>
      </c>
      <c r="E274" s="1" t="s">
        <v>1093</v>
      </c>
    </row>
    <row r="275">
      <c r="A275" s="1">
        <v>8.585645378E9</v>
      </c>
      <c r="B275" s="1" t="s">
        <v>1351</v>
      </c>
      <c r="C275" s="1" t="s">
        <v>1078</v>
      </c>
      <c r="D275" s="1">
        <v>7335962.0</v>
      </c>
      <c r="E275" s="1" t="s">
        <v>1093</v>
      </c>
    </row>
    <row r="276">
      <c r="A276" s="1">
        <v>8.550857811E9</v>
      </c>
      <c r="B276" s="1" t="s">
        <v>1352</v>
      </c>
      <c r="C276" s="1" t="s">
        <v>1092</v>
      </c>
      <c r="D276" s="1">
        <v>7335962.0</v>
      </c>
      <c r="E276" s="1" t="s">
        <v>1093</v>
      </c>
    </row>
    <row r="277">
      <c r="A277" s="1">
        <v>8.55085736E9</v>
      </c>
      <c r="B277" s="1" t="s">
        <v>1353</v>
      </c>
      <c r="C277" s="1" t="s">
        <v>1092</v>
      </c>
      <c r="D277" s="1">
        <v>7335962.0</v>
      </c>
      <c r="E277" s="1" t="s">
        <v>1093</v>
      </c>
    </row>
    <row r="278">
      <c r="A278" s="1">
        <v>8.550856393E9</v>
      </c>
      <c r="B278" s="1" t="s">
        <v>1354</v>
      </c>
      <c r="C278" s="1" t="s">
        <v>1092</v>
      </c>
      <c r="D278" s="1">
        <v>7335962.0</v>
      </c>
      <c r="E278" s="1" t="s">
        <v>1093</v>
      </c>
    </row>
    <row r="279">
      <c r="A279" s="1">
        <v>8.550855902E9</v>
      </c>
      <c r="B279" s="1" t="s">
        <v>1355</v>
      </c>
      <c r="C279" s="1" t="s">
        <v>1092</v>
      </c>
      <c r="D279" s="1">
        <v>7335962.0</v>
      </c>
      <c r="E279" s="1" t="s">
        <v>1093</v>
      </c>
    </row>
    <row r="280">
      <c r="A280" s="1">
        <v>8.506625721E9</v>
      </c>
      <c r="B280" s="1" t="s">
        <v>1356</v>
      </c>
      <c r="C280" s="1" t="s">
        <v>1092</v>
      </c>
      <c r="D280" s="1">
        <v>7335962.0</v>
      </c>
      <c r="E280" s="1" t="s">
        <v>1093</v>
      </c>
    </row>
    <row r="281">
      <c r="A281" s="1">
        <v>8.461225052E9</v>
      </c>
      <c r="B281" s="1" t="s">
        <v>1357</v>
      </c>
      <c r="C281" s="1" t="s">
        <v>1092</v>
      </c>
      <c r="D281" s="1">
        <v>7335962.0</v>
      </c>
      <c r="E281" s="1" t="s">
        <v>1093</v>
      </c>
    </row>
    <row r="282">
      <c r="A282" s="1">
        <v>8.461224973E9</v>
      </c>
      <c r="B282" s="1" t="s">
        <v>1358</v>
      </c>
      <c r="C282" s="1" t="s">
        <v>1092</v>
      </c>
      <c r="D282" s="1">
        <v>7335962.0</v>
      </c>
      <c r="E282" s="1" t="s">
        <v>1093</v>
      </c>
    </row>
    <row r="283">
      <c r="A283" s="1">
        <v>8.384327762E9</v>
      </c>
      <c r="B283" s="1" t="s">
        <v>1359</v>
      </c>
      <c r="C283" s="1" t="s">
        <v>1092</v>
      </c>
      <c r="D283" s="1">
        <v>7335962.0</v>
      </c>
      <c r="E283" s="1" t="s">
        <v>1093</v>
      </c>
    </row>
    <row r="284">
      <c r="A284" s="1">
        <v>8.384327632E9</v>
      </c>
      <c r="B284" s="1" t="s">
        <v>1360</v>
      </c>
      <c r="C284" s="1" t="s">
        <v>1092</v>
      </c>
      <c r="D284" s="1">
        <v>7335962.0</v>
      </c>
      <c r="E284" s="1" t="s">
        <v>1093</v>
      </c>
    </row>
    <row r="285">
      <c r="A285" s="1">
        <v>8.384322032E9</v>
      </c>
      <c r="B285" s="1" t="s">
        <v>1361</v>
      </c>
      <c r="C285" s="1" t="s">
        <v>1092</v>
      </c>
      <c r="D285" s="1">
        <v>7335962.0</v>
      </c>
      <c r="E285" s="1" t="s">
        <v>1093</v>
      </c>
    </row>
    <row r="286">
      <c r="A286" s="1">
        <v>8.384321915E9</v>
      </c>
      <c r="B286" s="1" t="s">
        <v>1362</v>
      </c>
      <c r="C286" s="1" t="s">
        <v>1092</v>
      </c>
      <c r="D286" s="1">
        <v>7335962.0</v>
      </c>
      <c r="E286" s="1" t="s">
        <v>1093</v>
      </c>
    </row>
    <row r="287">
      <c r="A287" s="1">
        <v>8.354542483E9</v>
      </c>
      <c r="B287" s="1" t="s">
        <v>1363</v>
      </c>
      <c r="C287" s="1" t="s">
        <v>1092</v>
      </c>
      <c r="D287" s="1">
        <v>7335962.0</v>
      </c>
      <c r="E287" s="1" t="s">
        <v>1093</v>
      </c>
    </row>
    <row r="288">
      <c r="A288" s="1">
        <v>8.354542243E9</v>
      </c>
      <c r="B288" s="1" t="s">
        <v>1364</v>
      </c>
      <c r="C288" s="1" t="s">
        <v>1092</v>
      </c>
      <c r="D288" s="1">
        <v>7335962.0</v>
      </c>
      <c r="E288" s="1" t="s">
        <v>1093</v>
      </c>
    </row>
    <row r="289">
      <c r="A289" s="1">
        <v>8.346613347E9</v>
      </c>
      <c r="B289" s="1" t="s">
        <v>1365</v>
      </c>
      <c r="C289" s="1" t="s">
        <v>1092</v>
      </c>
      <c r="D289" s="1">
        <v>7335962.0</v>
      </c>
      <c r="E289" s="1" t="s">
        <v>1093</v>
      </c>
    </row>
    <row r="290">
      <c r="A290" s="1">
        <v>8.346613086E9</v>
      </c>
      <c r="B290" s="1" t="s">
        <v>1366</v>
      </c>
      <c r="C290" s="1" t="s">
        <v>1092</v>
      </c>
      <c r="D290" s="1">
        <v>7335962.0</v>
      </c>
      <c r="E290" s="1" t="s">
        <v>1093</v>
      </c>
    </row>
    <row r="291">
      <c r="A291" s="1">
        <v>8.334675314E9</v>
      </c>
      <c r="B291" s="1" t="s">
        <v>1367</v>
      </c>
      <c r="C291" s="1" t="s">
        <v>1092</v>
      </c>
      <c r="D291" s="1">
        <v>7335962.0</v>
      </c>
      <c r="E291" s="1" t="s">
        <v>1093</v>
      </c>
    </row>
    <row r="292">
      <c r="A292" s="1">
        <v>8.334674924E9</v>
      </c>
      <c r="B292" s="1" t="s">
        <v>1368</v>
      </c>
      <c r="C292" s="1" t="s">
        <v>1092</v>
      </c>
      <c r="D292" s="1">
        <v>7335962.0</v>
      </c>
      <c r="E292" s="1" t="s">
        <v>1093</v>
      </c>
    </row>
    <row r="293">
      <c r="A293" s="1">
        <v>8.320977395E9</v>
      </c>
      <c r="B293" s="1" t="s">
        <v>1369</v>
      </c>
      <c r="C293" s="1" t="s">
        <v>1092</v>
      </c>
      <c r="D293" s="1">
        <v>7335962.0</v>
      </c>
      <c r="E293" s="1" t="s">
        <v>1093</v>
      </c>
    </row>
    <row r="294">
      <c r="A294" s="1">
        <v>8.320977075E9</v>
      </c>
      <c r="B294" s="1" t="s">
        <v>1370</v>
      </c>
      <c r="C294" s="1" t="s">
        <v>1092</v>
      </c>
      <c r="D294" s="1">
        <v>7335962.0</v>
      </c>
      <c r="E294" s="1" t="s">
        <v>1093</v>
      </c>
    </row>
    <row r="295">
      <c r="A295" s="1">
        <v>8.308936485E9</v>
      </c>
      <c r="B295" s="1" t="s">
        <v>1371</v>
      </c>
      <c r="C295" s="1" t="s">
        <v>1078</v>
      </c>
      <c r="D295" s="1">
        <v>7335962.0</v>
      </c>
      <c r="E295" s="1" t="s">
        <v>1093</v>
      </c>
    </row>
    <row r="296">
      <c r="A296" s="1">
        <v>8.270228387E9</v>
      </c>
      <c r="B296" s="1" t="s">
        <v>1372</v>
      </c>
      <c r="C296" s="1" t="s">
        <v>1092</v>
      </c>
      <c r="D296" s="1">
        <v>7335962.0</v>
      </c>
      <c r="E296" s="1" t="s">
        <v>1093</v>
      </c>
    </row>
    <row r="297">
      <c r="A297" s="1">
        <v>8.270228099E9</v>
      </c>
      <c r="B297" s="1" t="s">
        <v>1373</v>
      </c>
      <c r="C297" s="1" t="s">
        <v>1092</v>
      </c>
      <c r="D297" s="1">
        <v>7335962.0</v>
      </c>
      <c r="E297" s="1" t="s">
        <v>1093</v>
      </c>
    </row>
    <row r="298">
      <c r="A298" s="1">
        <v>8.268196356E9</v>
      </c>
      <c r="B298" s="1" t="s">
        <v>1374</v>
      </c>
      <c r="C298" s="1" t="s">
        <v>1092</v>
      </c>
      <c r="D298" s="1">
        <v>7335962.0</v>
      </c>
      <c r="E298" s="1" t="s">
        <v>1093</v>
      </c>
    </row>
    <row r="299">
      <c r="A299" s="1">
        <v>8.268195214E9</v>
      </c>
      <c r="B299" s="1" t="s">
        <v>1375</v>
      </c>
      <c r="C299" s="1" t="s">
        <v>1092</v>
      </c>
      <c r="D299" s="1">
        <v>7335962.0</v>
      </c>
      <c r="E299" s="1" t="s">
        <v>1093</v>
      </c>
    </row>
    <row r="300">
      <c r="A300" s="1">
        <v>8.173743716E9</v>
      </c>
      <c r="B300" s="1" t="s">
        <v>1376</v>
      </c>
      <c r="C300" s="1" t="s">
        <v>1078</v>
      </c>
      <c r="D300" s="1">
        <v>7335962.0</v>
      </c>
      <c r="E300" s="1" t="s">
        <v>1093</v>
      </c>
    </row>
    <row r="301">
      <c r="A301" s="1">
        <v>8.082668218E9</v>
      </c>
      <c r="B301" s="1" t="s">
        <v>1377</v>
      </c>
      <c r="C301" s="1" t="s">
        <v>1092</v>
      </c>
      <c r="D301" s="1">
        <v>7335962.0</v>
      </c>
      <c r="E301" s="1" t="s">
        <v>1093</v>
      </c>
    </row>
    <row r="302">
      <c r="A302" s="1">
        <v>8.082668142E9</v>
      </c>
      <c r="B302" s="1" t="s">
        <v>1378</v>
      </c>
      <c r="C302" s="1" t="s">
        <v>1092</v>
      </c>
      <c r="D302" s="1">
        <v>7335962.0</v>
      </c>
      <c r="E302" s="1" t="s">
        <v>1093</v>
      </c>
    </row>
    <row r="303">
      <c r="A303" s="1">
        <v>8.070842549E9</v>
      </c>
      <c r="B303" s="1" t="s">
        <v>1379</v>
      </c>
      <c r="C303" s="1" t="s">
        <v>1092</v>
      </c>
      <c r="D303" s="1">
        <v>7335962.0</v>
      </c>
      <c r="E303" s="1" t="s">
        <v>1093</v>
      </c>
    </row>
    <row r="304">
      <c r="A304" s="1">
        <v>8.070842377E9</v>
      </c>
      <c r="B304" s="1" t="s">
        <v>1380</v>
      </c>
      <c r="C304" s="1" t="s">
        <v>1092</v>
      </c>
      <c r="D304" s="1">
        <v>7335962.0</v>
      </c>
      <c r="E304" s="1" t="s">
        <v>1093</v>
      </c>
    </row>
    <row r="305">
      <c r="A305" s="1">
        <v>8.069701087E9</v>
      </c>
      <c r="B305" s="1" t="s">
        <v>1381</v>
      </c>
      <c r="C305" s="1" t="s">
        <v>1092</v>
      </c>
      <c r="D305" s="1">
        <v>7335962.0</v>
      </c>
      <c r="E305" s="1" t="s">
        <v>1093</v>
      </c>
    </row>
    <row r="306">
      <c r="A306" s="1">
        <v>8.069700296E9</v>
      </c>
      <c r="B306" s="1" t="s">
        <v>1382</v>
      </c>
      <c r="C306" s="1" t="s">
        <v>1092</v>
      </c>
      <c r="D306" s="1">
        <v>7335962.0</v>
      </c>
      <c r="E306" s="1" t="s">
        <v>1093</v>
      </c>
    </row>
    <row r="307">
      <c r="A307" s="1">
        <v>8.049241283E9</v>
      </c>
      <c r="B307" s="1" t="s">
        <v>1383</v>
      </c>
      <c r="C307" s="1" t="s">
        <v>1092</v>
      </c>
      <c r="D307" s="1">
        <v>7335962.0</v>
      </c>
      <c r="E307" s="1" t="s">
        <v>1093</v>
      </c>
    </row>
    <row r="308">
      <c r="A308" s="1">
        <v>8.049240887E9</v>
      </c>
      <c r="B308" s="1" t="s">
        <v>1384</v>
      </c>
      <c r="C308" s="1" t="s">
        <v>1092</v>
      </c>
      <c r="D308" s="1">
        <v>7335962.0</v>
      </c>
      <c r="E308" s="1" t="s">
        <v>1093</v>
      </c>
    </row>
    <row r="309">
      <c r="A309" s="1">
        <v>8.040850569E9</v>
      </c>
      <c r="B309" s="1" t="s">
        <v>1385</v>
      </c>
      <c r="C309" s="1" t="s">
        <v>1092</v>
      </c>
      <c r="D309" s="1">
        <v>7335962.0</v>
      </c>
      <c r="E309" s="1" t="s">
        <v>1093</v>
      </c>
    </row>
    <row r="310">
      <c r="A310" s="1">
        <v>8.040850308E9</v>
      </c>
      <c r="B310" s="1" t="s">
        <v>1386</v>
      </c>
      <c r="C310" s="1" t="s">
        <v>1092</v>
      </c>
      <c r="D310" s="1">
        <v>7335962.0</v>
      </c>
      <c r="E310" s="1" t="s">
        <v>1093</v>
      </c>
    </row>
    <row r="311">
      <c r="A311" s="1">
        <v>8.040827801E9</v>
      </c>
      <c r="B311" s="1" t="s">
        <v>1387</v>
      </c>
      <c r="C311" s="1" t="s">
        <v>1092</v>
      </c>
      <c r="D311" s="1">
        <v>7335962.0</v>
      </c>
      <c r="E311" s="1" t="s">
        <v>1093</v>
      </c>
    </row>
    <row r="312">
      <c r="A312" s="1">
        <v>8.040827551E9</v>
      </c>
      <c r="B312" s="1" t="s">
        <v>1388</v>
      </c>
      <c r="C312" s="1" t="s">
        <v>1092</v>
      </c>
      <c r="D312" s="1">
        <v>7335962.0</v>
      </c>
      <c r="E312" s="1" t="s">
        <v>1093</v>
      </c>
    </row>
    <row r="313">
      <c r="A313" s="1">
        <v>8.040827489E9</v>
      </c>
      <c r="B313" s="1" t="s">
        <v>1389</v>
      </c>
      <c r="C313" s="1" t="s">
        <v>1092</v>
      </c>
      <c r="D313" s="1">
        <v>7335962.0</v>
      </c>
      <c r="E313" s="1" t="s">
        <v>1093</v>
      </c>
    </row>
    <row r="314">
      <c r="A314" s="1">
        <v>8.040827136E9</v>
      </c>
      <c r="B314" s="1" t="s">
        <v>1390</v>
      </c>
      <c r="C314" s="1" t="s">
        <v>1092</v>
      </c>
      <c r="D314" s="1">
        <v>7335962.0</v>
      </c>
      <c r="E314" s="1" t="s">
        <v>1093</v>
      </c>
    </row>
    <row r="315">
      <c r="A315" s="1">
        <v>8.014601762E9</v>
      </c>
      <c r="B315" s="1" t="s">
        <v>1391</v>
      </c>
      <c r="C315" s="1" t="s">
        <v>1078</v>
      </c>
      <c r="D315" s="1">
        <v>7335962.0</v>
      </c>
      <c r="E315" s="1" t="s">
        <v>1093</v>
      </c>
    </row>
    <row r="316">
      <c r="A316" s="1">
        <v>8.013752752E9</v>
      </c>
      <c r="B316" s="1" t="s">
        <v>1392</v>
      </c>
      <c r="C316" s="1" t="s">
        <v>1092</v>
      </c>
      <c r="D316" s="1">
        <v>7335962.0</v>
      </c>
      <c r="E316" s="1" t="s">
        <v>1093</v>
      </c>
    </row>
    <row r="317">
      <c r="A317" s="1">
        <v>7.935322693E9</v>
      </c>
      <c r="B317" s="1" t="s">
        <v>1393</v>
      </c>
      <c r="C317" s="1" t="s">
        <v>1092</v>
      </c>
      <c r="D317" s="1">
        <v>7335962.0</v>
      </c>
      <c r="E317" s="1" t="s">
        <v>1093</v>
      </c>
    </row>
    <row r="318">
      <c r="A318" s="1">
        <v>7.935322378E9</v>
      </c>
      <c r="B318" s="1" t="s">
        <v>1394</v>
      </c>
      <c r="C318" s="1" t="s">
        <v>1092</v>
      </c>
      <c r="D318" s="1">
        <v>7335962.0</v>
      </c>
      <c r="E318" s="1" t="s">
        <v>1093</v>
      </c>
    </row>
    <row r="319">
      <c r="A319" s="1">
        <v>7.854890278E9</v>
      </c>
      <c r="B319" s="1" t="s">
        <v>1395</v>
      </c>
      <c r="C319" s="1" t="s">
        <v>1092</v>
      </c>
      <c r="D319" s="1">
        <v>7335962.0</v>
      </c>
      <c r="E319" s="1" t="s">
        <v>1093</v>
      </c>
    </row>
    <row r="320">
      <c r="A320" s="1">
        <v>7.854889987E9</v>
      </c>
      <c r="B320" s="1" t="s">
        <v>1396</v>
      </c>
      <c r="C320" s="1" t="s">
        <v>1092</v>
      </c>
      <c r="D320" s="1">
        <v>7335962.0</v>
      </c>
      <c r="E320" s="1" t="s">
        <v>1093</v>
      </c>
    </row>
    <row r="321">
      <c r="A321" s="1">
        <v>7.854007703E9</v>
      </c>
      <c r="B321" s="1" t="s">
        <v>1397</v>
      </c>
      <c r="C321" s="1" t="s">
        <v>1092</v>
      </c>
      <c r="D321" s="1">
        <v>7335962.0</v>
      </c>
      <c r="E321" s="1" t="s">
        <v>1093</v>
      </c>
    </row>
    <row r="322">
      <c r="A322" s="1">
        <v>7.854007572E9</v>
      </c>
      <c r="B322" s="1" t="s">
        <v>1398</v>
      </c>
      <c r="C322" s="1" t="s">
        <v>1092</v>
      </c>
      <c r="D322" s="1">
        <v>7335962.0</v>
      </c>
      <c r="E322" s="1" t="s">
        <v>1093</v>
      </c>
    </row>
    <row r="323">
      <c r="A323" s="1">
        <v>7.851000431E9</v>
      </c>
      <c r="B323" s="1" t="s">
        <v>1399</v>
      </c>
      <c r="C323" s="1" t="s">
        <v>1078</v>
      </c>
      <c r="D323" s="1">
        <v>7335962.0</v>
      </c>
      <c r="E323" s="1" t="s">
        <v>1093</v>
      </c>
    </row>
    <row r="324">
      <c r="A324" s="1">
        <v>7.838977838E9</v>
      </c>
      <c r="B324" s="1" t="s">
        <v>1400</v>
      </c>
      <c r="C324" s="1" t="s">
        <v>1078</v>
      </c>
      <c r="D324" s="1">
        <v>7335962.0</v>
      </c>
      <c r="E324" s="1" t="s">
        <v>1093</v>
      </c>
    </row>
    <row r="325">
      <c r="A325" s="1">
        <v>7.8376837E9</v>
      </c>
      <c r="B325" s="1" t="s">
        <v>1401</v>
      </c>
      <c r="C325" s="1" t="s">
        <v>1078</v>
      </c>
      <c r="D325" s="1">
        <v>7335962.0</v>
      </c>
      <c r="E325" s="1" t="s">
        <v>1093</v>
      </c>
    </row>
    <row r="326">
      <c r="A326" s="1">
        <v>7.787758498E9</v>
      </c>
      <c r="B326" s="1" t="s">
        <v>1402</v>
      </c>
      <c r="C326" s="1" t="s">
        <v>1092</v>
      </c>
      <c r="D326" s="1">
        <v>7335962.0</v>
      </c>
      <c r="E326" s="1" t="s">
        <v>1093</v>
      </c>
    </row>
    <row r="327">
      <c r="A327" s="1">
        <v>7.787758306E9</v>
      </c>
      <c r="B327" s="1" t="s">
        <v>1403</v>
      </c>
      <c r="C327" s="1" t="s">
        <v>1092</v>
      </c>
      <c r="D327" s="1">
        <v>7335962.0</v>
      </c>
      <c r="E327" s="1" t="s">
        <v>1093</v>
      </c>
    </row>
    <row r="328">
      <c r="A328" s="1">
        <v>7.78600494E9</v>
      </c>
      <c r="B328" s="1" t="s">
        <v>1404</v>
      </c>
      <c r="C328" s="1" t="s">
        <v>1092</v>
      </c>
      <c r="D328" s="1">
        <v>7335962.0</v>
      </c>
      <c r="E328" s="1" t="s">
        <v>1093</v>
      </c>
    </row>
    <row r="329">
      <c r="A329" s="1">
        <v>7.786004526E9</v>
      </c>
      <c r="B329" s="1" t="s">
        <v>1405</v>
      </c>
      <c r="C329" s="1" t="s">
        <v>1092</v>
      </c>
      <c r="D329" s="1">
        <v>7335962.0</v>
      </c>
      <c r="E329" s="1" t="s">
        <v>1093</v>
      </c>
    </row>
    <row r="330">
      <c r="A330" s="1">
        <v>7.723354937E9</v>
      </c>
      <c r="B330" s="1" t="s">
        <v>1406</v>
      </c>
      <c r="C330" s="1" t="s">
        <v>1092</v>
      </c>
      <c r="D330" s="1">
        <v>7335962.0</v>
      </c>
      <c r="E330" s="1" t="s">
        <v>1093</v>
      </c>
    </row>
    <row r="331">
      <c r="A331" s="1">
        <v>7.676799598E9</v>
      </c>
      <c r="B331" s="1" t="s">
        <v>1407</v>
      </c>
      <c r="C331" s="1" t="s">
        <v>1092</v>
      </c>
      <c r="D331" s="1">
        <v>7335962.0</v>
      </c>
      <c r="E331" s="1" t="s">
        <v>1093</v>
      </c>
    </row>
    <row r="332">
      <c r="A332" s="1">
        <v>7.676799362E9</v>
      </c>
      <c r="B332" s="1" t="s">
        <v>1408</v>
      </c>
      <c r="C332" s="1" t="s">
        <v>1092</v>
      </c>
      <c r="D332" s="1">
        <v>7335962.0</v>
      </c>
      <c r="E332" s="1" t="s">
        <v>1093</v>
      </c>
    </row>
    <row r="333">
      <c r="A333" s="1">
        <v>7.64760418E9</v>
      </c>
      <c r="B333" s="1" t="s">
        <v>1409</v>
      </c>
      <c r="C333" s="1" t="s">
        <v>1078</v>
      </c>
      <c r="D333" s="1">
        <v>7335962.0</v>
      </c>
      <c r="E333" s="1" t="s">
        <v>1093</v>
      </c>
    </row>
    <row r="334">
      <c r="A334" s="1">
        <v>7.437918414E9</v>
      </c>
      <c r="B334" s="1" t="s">
        <v>1410</v>
      </c>
      <c r="C334" s="1" t="s">
        <v>1092</v>
      </c>
      <c r="D334" s="1">
        <v>7335962.0</v>
      </c>
      <c r="E334" s="1" t="s">
        <v>1093</v>
      </c>
    </row>
    <row r="335">
      <c r="A335" s="1">
        <v>7.437918235E9</v>
      </c>
      <c r="B335" s="1" t="s">
        <v>1411</v>
      </c>
      <c r="C335" s="1" t="s">
        <v>1092</v>
      </c>
      <c r="D335" s="1">
        <v>7335962.0</v>
      </c>
      <c r="E335" s="1" t="s">
        <v>1093</v>
      </c>
    </row>
    <row r="336">
      <c r="A336" s="1">
        <v>7.437436487E9</v>
      </c>
      <c r="B336" s="1" t="s">
        <v>1412</v>
      </c>
      <c r="C336" s="1" t="s">
        <v>1092</v>
      </c>
      <c r="D336" s="1">
        <v>7335962.0</v>
      </c>
      <c r="E336" s="1" t="s">
        <v>1093</v>
      </c>
    </row>
    <row r="337">
      <c r="A337" s="1">
        <v>7.437436271E9</v>
      </c>
      <c r="B337" s="1" t="s">
        <v>1413</v>
      </c>
      <c r="C337" s="1" t="s">
        <v>1092</v>
      </c>
      <c r="D337" s="1">
        <v>7335962.0</v>
      </c>
      <c r="E337" s="1" t="s">
        <v>1093</v>
      </c>
    </row>
    <row r="338">
      <c r="A338" s="1">
        <v>7.314644268E9</v>
      </c>
      <c r="B338" s="1" t="s">
        <v>1414</v>
      </c>
      <c r="C338" s="1" t="s">
        <v>1092</v>
      </c>
      <c r="D338" s="1">
        <v>7335962.0</v>
      </c>
      <c r="E338" s="1" t="s">
        <v>1093</v>
      </c>
    </row>
    <row r="339">
      <c r="A339" s="1">
        <v>7.314643951E9</v>
      </c>
      <c r="B339" s="1" t="s">
        <v>1415</v>
      </c>
      <c r="C339" s="1" t="s">
        <v>1092</v>
      </c>
      <c r="D339" s="1">
        <v>7335962.0</v>
      </c>
      <c r="E339" s="1" t="s">
        <v>1093</v>
      </c>
    </row>
    <row r="340">
      <c r="A340" s="1">
        <v>7.287634563E9</v>
      </c>
      <c r="B340" s="1" t="s">
        <v>1416</v>
      </c>
      <c r="C340" s="1" t="s">
        <v>1092</v>
      </c>
      <c r="D340" s="1">
        <v>7335962.0</v>
      </c>
      <c r="E340" s="1" t="s">
        <v>1093</v>
      </c>
    </row>
    <row r="341">
      <c r="A341" s="1">
        <v>7.287634279E9</v>
      </c>
      <c r="B341" s="1" t="s">
        <v>1417</v>
      </c>
      <c r="C341" s="1" t="s">
        <v>1092</v>
      </c>
      <c r="D341" s="1">
        <v>7335962.0</v>
      </c>
      <c r="E341" s="1" t="s">
        <v>1093</v>
      </c>
    </row>
    <row r="342">
      <c r="A342" s="1">
        <v>7.287634122E9</v>
      </c>
      <c r="B342" s="1" t="s">
        <v>1418</v>
      </c>
      <c r="C342" s="1" t="s">
        <v>1092</v>
      </c>
      <c r="D342" s="1">
        <v>7335962.0</v>
      </c>
      <c r="E342" s="1" t="s">
        <v>1093</v>
      </c>
    </row>
    <row r="343">
      <c r="A343" s="1">
        <v>7.287633834E9</v>
      </c>
      <c r="B343" s="1" t="s">
        <v>1419</v>
      </c>
      <c r="C343" s="1" t="s">
        <v>1092</v>
      </c>
      <c r="D343" s="1">
        <v>7335962.0</v>
      </c>
      <c r="E343" s="1" t="s">
        <v>1093</v>
      </c>
    </row>
    <row r="344">
      <c r="A344" s="1">
        <v>7.276837396E9</v>
      </c>
      <c r="B344" s="1" t="s">
        <v>1420</v>
      </c>
      <c r="C344" s="1" t="s">
        <v>1092</v>
      </c>
      <c r="D344" s="1">
        <v>7335962.0</v>
      </c>
      <c r="E344" s="1" t="s">
        <v>1093</v>
      </c>
    </row>
    <row r="345">
      <c r="A345" s="1">
        <v>7.276837264E9</v>
      </c>
      <c r="B345" s="1" t="s">
        <v>1421</v>
      </c>
      <c r="C345" s="1" t="s">
        <v>1092</v>
      </c>
      <c r="D345" s="1">
        <v>7335962.0</v>
      </c>
      <c r="E345" s="1" t="s">
        <v>1093</v>
      </c>
    </row>
    <row r="346">
      <c r="A346" s="1">
        <v>7.262266955E9</v>
      </c>
      <c r="B346" s="1" t="s">
        <v>1422</v>
      </c>
      <c r="C346" s="1" t="s">
        <v>1078</v>
      </c>
      <c r="D346" s="1">
        <v>7335962.0</v>
      </c>
      <c r="E346" s="1" t="s">
        <v>1093</v>
      </c>
    </row>
    <row r="347">
      <c r="A347" s="1">
        <v>7.262259231E9</v>
      </c>
      <c r="B347" s="1" t="s">
        <v>1423</v>
      </c>
      <c r="C347" s="1" t="s">
        <v>1078</v>
      </c>
      <c r="D347" s="1">
        <v>7335962.0</v>
      </c>
      <c r="E347" s="1" t="s">
        <v>1093</v>
      </c>
    </row>
    <row r="348">
      <c r="A348" s="1">
        <v>7.26165236E9</v>
      </c>
      <c r="B348" s="1" t="s">
        <v>1424</v>
      </c>
      <c r="C348" s="1" t="s">
        <v>1092</v>
      </c>
      <c r="D348" s="1">
        <v>7335962.0</v>
      </c>
      <c r="E348" s="1" t="s">
        <v>1093</v>
      </c>
    </row>
    <row r="349">
      <c r="A349" s="1">
        <v>7.261652059E9</v>
      </c>
      <c r="B349" s="1" t="s">
        <v>1425</v>
      </c>
      <c r="C349" s="1" t="s">
        <v>1092</v>
      </c>
      <c r="D349" s="1">
        <v>7335962.0</v>
      </c>
      <c r="E349" s="1" t="s">
        <v>1093</v>
      </c>
    </row>
    <row r="350">
      <c r="A350" s="1">
        <v>7.254224441E9</v>
      </c>
      <c r="B350" s="1" t="s">
        <v>1426</v>
      </c>
      <c r="C350" s="1" t="s">
        <v>1092</v>
      </c>
      <c r="D350" s="1">
        <v>7335962.0</v>
      </c>
      <c r="E350" s="1" t="s">
        <v>1093</v>
      </c>
    </row>
    <row r="351">
      <c r="A351" s="1">
        <v>7.254224298E9</v>
      </c>
      <c r="B351" s="1" t="s">
        <v>1427</v>
      </c>
      <c r="C351" s="1" t="s">
        <v>1092</v>
      </c>
      <c r="D351" s="1">
        <v>7335962.0</v>
      </c>
      <c r="E351" s="1" t="s">
        <v>1093</v>
      </c>
    </row>
    <row r="352">
      <c r="A352" s="1">
        <v>7.254214506E9</v>
      </c>
      <c r="B352" s="1" t="s">
        <v>1428</v>
      </c>
      <c r="C352" s="1" t="s">
        <v>1092</v>
      </c>
      <c r="D352" s="1">
        <v>7335962.0</v>
      </c>
      <c r="E352" s="1" t="s">
        <v>1093</v>
      </c>
    </row>
    <row r="353">
      <c r="A353" s="1">
        <v>7.25421422E9</v>
      </c>
      <c r="B353" s="1" t="s">
        <v>1429</v>
      </c>
      <c r="C353" s="1" t="s">
        <v>1092</v>
      </c>
      <c r="D353" s="1">
        <v>7335962.0</v>
      </c>
      <c r="E353" s="1" t="s">
        <v>1093</v>
      </c>
    </row>
    <row r="354">
      <c r="A354" s="1">
        <v>7.254203067E9</v>
      </c>
      <c r="B354" s="1" t="s">
        <v>1430</v>
      </c>
      <c r="C354" s="1" t="s">
        <v>1092</v>
      </c>
      <c r="D354" s="1">
        <v>7335962.0</v>
      </c>
      <c r="E354" s="1" t="s">
        <v>1093</v>
      </c>
    </row>
    <row r="355">
      <c r="A355" s="1">
        <v>7.254202748E9</v>
      </c>
      <c r="B355" s="1" t="s">
        <v>1431</v>
      </c>
      <c r="C355" s="1" t="s">
        <v>1092</v>
      </c>
      <c r="D355" s="1">
        <v>7335962.0</v>
      </c>
      <c r="E355" s="1" t="s">
        <v>1093</v>
      </c>
    </row>
    <row r="356">
      <c r="A356" s="1">
        <v>7.253375848E9</v>
      </c>
      <c r="B356" s="1" t="s">
        <v>1432</v>
      </c>
      <c r="C356" s="1" t="s">
        <v>1092</v>
      </c>
      <c r="D356" s="1">
        <v>7335962.0</v>
      </c>
      <c r="E356" s="1" t="s">
        <v>1093</v>
      </c>
    </row>
    <row r="357">
      <c r="A357" s="1">
        <v>7.253375671E9</v>
      </c>
      <c r="B357" s="1" t="s">
        <v>1433</v>
      </c>
      <c r="C357" s="1" t="s">
        <v>1092</v>
      </c>
      <c r="D357" s="1">
        <v>7335962.0</v>
      </c>
      <c r="E357" s="1" t="s">
        <v>1093</v>
      </c>
    </row>
    <row r="358">
      <c r="A358" s="1">
        <v>7.251964931E9</v>
      </c>
      <c r="B358" s="1" t="s">
        <v>1434</v>
      </c>
      <c r="C358" s="1" t="s">
        <v>1092</v>
      </c>
      <c r="D358" s="1">
        <v>7335962.0</v>
      </c>
      <c r="E358" s="1" t="s">
        <v>1093</v>
      </c>
    </row>
    <row r="359">
      <c r="A359" s="1">
        <v>7.25196479E9</v>
      </c>
      <c r="B359" s="1" t="s">
        <v>1435</v>
      </c>
      <c r="C359" s="1" t="s">
        <v>1092</v>
      </c>
      <c r="D359" s="1">
        <v>7335962.0</v>
      </c>
      <c r="E359" s="1" t="s">
        <v>1093</v>
      </c>
    </row>
    <row r="360">
      <c r="A360" s="1">
        <v>7.229425521E9</v>
      </c>
      <c r="B360" s="1" t="s">
        <v>1436</v>
      </c>
      <c r="C360" s="1" t="s">
        <v>1092</v>
      </c>
      <c r="D360" s="1">
        <v>7335962.0</v>
      </c>
      <c r="E360" s="1" t="s">
        <v>1093</v>
      </c>
    </row>
    <row r="361">
      <c r="A361" s="1">
        <v>7.229425483E9</v>
      </c>
      <c r="B361" s="1" t="s">
        <v>1437</v>
      </c>
      <c r="C361" s="1" t="s">
        <v>1092</v>
      </c>
      <c r="D361" s="1">
        <v>7335962.0</v>
      </c>
      <c r="E361" s="1" t="s">
        <v>1093</v>
      </c>
    </row>
    <row r="362">
      <c r="A362" s="1">
        <v>7.222538378E9</v>
      </c>
      <c r="B362" s="1" t="s">
        <v>1438</v>
      </c>
      <c r="C362" s="1" t="s">
        <v>1092</v>
      </c>
      <c r="D362" s="1">
        <v>7335962.0</v>
      </c>
      <c r="E362" s="1" t="s">
        <v>1093</v>
      </c>
    </row>
    <row r="363">
      <c r="A363" s="1">
        <v>7.22253833E9</v>
      </c>
      <c r="B363" s="1" t="s">
        <v>1439</v>
      </c>
      <c r="C363" s="1" t="s">
        <v>1092</v>
      </c>
      <c r="D363" s="1">
        <v>7335962.0</v>
      </c>
      <c r="E363" s="1" t="s">
        <v>1093</v>
      </c>
    </row>
    <row r="364">
      <c r="A364" s="1">
        <v>7.207634895E9</v>
      </c>
      <c r="B364" s="1" t="s">
        <v>1440</v>
      </c>
      <c r="C364" s="1" t="s">
        <v>1092</v>
      </c>
      <c r="D364" s="1">
        <v>7335962.0</v>
      </c>
      <c r="E364" s="1" t="s">
        <v>1093</v>
      </c>
    </row>
    <row r="365">
      <c r="A365" s="1">
        <v>7.207634797E9</v>
      </c>
      <c r="B365" s="1" t="s">
        <v>1441</v>
      </c>
      <c r="C365" s="1" t="s">
        <v>1092</v>
      </c>
      <c r="D365" s="1">
        <v>7335962.0</v>
      </c>
      <c r="E365" s="1" t="s">
        <v>1093</v>
      </c>
    </row>
    <row r="366">
      <c r="A366" s="1">
        <v>7.207495449E9</v>
      </c>
      <c r="B366" s="1" t="s">
        <v>1442</v>
      </c>
      <c r="C366" s="1" t="s">
        <v>1092</v>
      </c>
      <c r="D366" s="1">
        <v>7335962.0</v>
      </c>
      <c r="E366" s="1" t="s">
        <v>1093</v>
      </c>
    </row>
    <row r="367">
      <c r="A367" s="1">
        <v>7.207495298E9</v>
      </c>
      <c r="B367" s="1" t="s">
        <v>1443</v>
      </c>
      <c r="C367" s="1" t="s">
        <v>1092</v>
      </c>
      <c r="D367" s="1">
        <v>7335962.0</v>
      </c>
      <c r="E367" s="1" t="s">
        <v>1093</v>
      </c>
    </row>
    <row r="368">
      <c r="A368" s="1">
        <v>7.207395213E9</v>
      </c>
      <c r="B368" s="1" t="s">
        <v>1444</v>
      </c>
      <c r="C368" s="1" t="s">
        <v>1092</v>
      </c>
      <c r="D368" s="1">
        <v>7335962.0</v>
      </c>
      <c r="E368" s="1" t="s">
        <v>1093</v>
      </c>
    </row>
    <row r="369">
      <c r="A369" s="1">
        <v>7.207395069E9</v>
      </c>
      <c r="B369" s="1" t="s">
        <v>1445</v>
      </c>
      <c r="C369" s="1" t="s">
        <v>1092</v>
      </c>
      <c r="D369" s="1">
        <v>7335962.0</v>
      </c>
      <c r="E369" s="1" t="s">
        <v>1093</v>
      </c>
    </row>
    <row r="370">
      <c r="A370" s="1">
        <v>7.207326698E9</v>
      </c>
      <c r="B370" s="1" t="s">
        <v>1446</v>
      </c>
      <c r="C370" s="1" t="s">
        <v>1092</v>
      </c>
      <c r="D370" s="1">
        <v>7335962.0</v>
      </c>
      <c r="E370" s="1" t="s">
        <v>1093</v>
      </c>
    </row>
    <row r="371">
      <c r="A371" s="1">
        <v>7.207326445E9</v>
      </c>
      <c r="B371" s="1" t="s">
        <v>1447</v>
      </c>
      <c r="C371" s="1" t="s">
        <v>1092</v>
      </c>
      <c r="D371" s="1">
        <v>7335962.0</v>
      </c>
      <c r="E371" s="1" t="s">
        <v>1093</v>
      </c>
    </row>
    <row r="372">
      <c r="A372" s="1">
        <v>7.207265604E9</v>
      </c>
      <c r="B372" s="1" t="s">
        <v>1448</v>
      </c>
      <c r="C372" s="1" t="s">
        <v>1092</v>
      </c>
      <c r="D372" s="1">
        <v>7335962.0</v>
      </c>
      <c r="E372" s="1" t="s">
        <v>1093</v>
      </c>
    </row>
    <row r="373">
      <c r="A373" s="1">
        <v>7.207265452E9</v>
      </c>
      <c r="B373" s="1" t="s">
        <v>1449</v>
      </c>
      <c r="C373" s="1" t="s">
        <v>1092</v>
      </c>
      <c r="D373" s="1">
        <v>7335962.0</v>
      </c>
      <c r="E373" s="1" t="s">
        <v>1093</v>
      </c>
    </row>
    <row r="374">
      <c r="A374" s="1">
        <v>7.203396686E9</v>
      </c>
      <c r="B374" s="1" t="s">
        <v>1450</v>
      </c>
      <c r="C374" s="1" t="s">
        <v>1092</v>
      </c>
      <c r="D374" s="1">
        <v>7335962.0</v>
      </c>
      <c r="E374" s="1" t="s">
        <v>1093</v>
      </c>
    </row>
    <row r="375">
      <c r="A375" s="1">
        <v>7.195601893E9</v>
      </c>
      <c r="B375" s="1" t="s">
        <v>1451</v>
      </c>
      <c r="C375" s="1" t="s">
        <v>1092</v>
      </c>
      <c r="D375" s="1">
        <v>7335962.0</v>
      </c>
      <c r="E375" s="1" t="s">
        <v>1093</v>
      </c>
    </row>
    <row r="376">
      <c r="A376" s="1">
        <v>7.195601839E9</v>
      </c>
      <c r="B376" s="1" t="s">
        <v>1452</v>
      </c>
      <c r="C376" s="1" t="s">
        <v>1092</v>
      </c>
      <c r="D376" s="1">
        <v>7335962.0</v>
      </c>
      <c r="E376" s="1" t="s">
        <v>1093</v>
      </c>
    </row>
    <row r="377">
      <c r="A377" s="1">
        <v>7.188415903E9</v>
      </c>
      <c r="B377" s="1" t="s">
        <v>1453</v>
      </c>
      <c r="C377" s="1" t="s">
        <v>1092</v>
      </c>
      <c r="D377" s="1">
        <v>7335962.0</v>
      </c>
      <c r="E377" s="1" t="s">
        <v>1093</v>
      </c>
    </row>
    <row r="378">
      <c r="A378" s="1">
        <v>7.188415811E9</v>
      </c>
      <c r="B378" s="1" t="s">
        <v>1454</v>
      </c>
      <c r="C378" s="1" t="s">
        <v>1092</v>
      </c>
      <c r="D378" s="1">
        <v>7335962.0</v>
      </c>
      <c r="E378" s="1" t="s">
        <v>1093</v>
      </c>
    </row>
    <row r="379">
      <c r="A379" s="1">
        <v>7.179687678E9</v>
      </c>
      <c r="B379" s="1" t="s">
        <v>1455</v>
      </c>
      <c r="C379" s="1" t="s">
        <v>1092</v>
      </c>
      <c r="D379" s="1">
        <v>7335962.0</v>
      </c>
      <c r="E379" s="1" t="s">
        <v>1093</v>
      </c>
    </row>
    <row r="380">
      <c r="A380" s="1">
        <v>7.17968743E9</v>
      </c>
      <c r="B380" s="1" t="s">
        <v>1456</v>
      </c>
      <c r="C380" s="1" t="s">
        <v>1092</v>
      </c>
      <c r="D380" s="1">
        <v>7335962.0</v>
      </c>
      <c r="E380" s="1" t="s">
        <v>1093</v>
      </c>
    </row>
    <row r="381">
      <c r="A381" s="1">
        <v>7.174688344E9</v>
      </c>
      <c r="B381" s="1" t="s">
        <v>1457</v>
      </c>
      <c r="C381" s="1" t="s">
        <v>1078</v>
      </c>
      <c r="D381" s="1">
        <v>7335962.0</v>
      </c>
      <c r="E381" s="1" t="s">
        <v>1093</v>
      </c>
    </row>
    <row r="382">
      <c r="A382" s="1">
        <v>7.17229875E9</v>
      </c>
      <c r="B382" s="1" t="s">
        <v>1458</v>
      </c>
      <c r="C382" s="1" t="s">
        <v>1092</v>
      </c>
      <c r="D382" s="1">
        <v>7335962.0</v>
      </c>
      <c r="E382" s="1" t="s">
        <v>1093</v>
      </c>
    </row>
    <row r="383">
      <c r="A383" s="1">
        <v>7.172298601E9</v>
      </c>
      <c r="B383" s="1" t="s">
        <v>1459</v>
      </c>
      <c r="C383" s="1" t="s">
        <v>1092</v>
      </c>
      <c r="D383" s="1">
        <v>7335962.0</v>
      </c>
      <c r="E383" s="1" t="s">
        <v>1093</v>
      </c>
    </row>
    <row r="384">
      <c r="A384" s="1">
        <v>7.165937631E9</v>
      </c>
      <c r="B384" s="1" t="s">
        <v>1460</v>
      </c>
      <c r="C384" s="1" t="s">
        <v>1092</v>
      </c>
      <c r="D384" s="1">
        <v>7335962.0</v>
      </c>
      <c r="E384" s="1" t="s">
        <v>1093</v>
      </c>
    </row>
    <row r="385">
      <c r="A385" s="1">
        <v>7.165937484E9</v>
      </c>
      <c r="B385" s="1" t="s">
        <v>1461</v>
      </c>
      <c r="C385" s="1" t="s">
        <v>1092</v>
      </c>
      <c r="D385" s="1">
        <v>7335962.0</v>
      </c>
      <c r="E385" s="1" t="s">
        <v>1093</v>
      </c>
    </row>
    <row r="386">
      <c r="A386" s="1">
        <v>7.165779318E9</v>
      </c>
      <c r="B386" s="1" t="s">
        <v>1462</v>
      </c>
      <c r="C386" s="1" t="s">
        <v>1092</v>
      </c>
      <c r="D386" s="1">
        <v>7335962.0</v>
      </c>
      <c r="E386" s="1" t="s">
        <v>1093</v>
      </c>
    </row>
    <row r="387">
      <c r="A387" s="1">
        <v>7.165779199E9</v>
      </c>
      <c r="B387" s="1" t="s">
        <v>1463</v>
      </c>
      <c r="C387" s="1" t="s">
        <v>1092</v>
      </c>
      <c r="D387" s="1">
        <v>7335962.0</v>
      </c>
      <c r="E387" s="1" t="s">
        <v>1093</v>
      </c>
    </row>
    <row r="388">
      <c r="A388" s="1">
        <v>7.165384002E9</v>
      </c>
      <c r="B388" s="1" t="s">
        <v>1464</v>
      </c>
      <c r="C388" s="1" t="s">
        <v>1092</v>
      </c>
      <c r="D388" s="1">
        <v>7335962.0</v>
      </c>
      <c r="E388" s="1" t="s">
        <v>1093</v>
      </c>
    </row>
    <row r="389">
      <c r="A389" s="1">
        <v>7.164538135E9</v>
      </c>
      <c r="B389" s="1" t="s">
        <v>1465</v>
      </c>
      <c r="C389" s="1" t="s">
        <v>1092</v>
      </c>
      <c r="D389" s="1">
        <v>7335962.0</v>
      </c>
      <c r="E389" s="1" t="s">
        <v>1093</v>
      </c>
    </row>
    <row r="390">
      <c r="A390" s="1">
        <v>7.164537995E9</v>
      </c>
      <c r="B390" s="1" t="s">
        <v>1466</v>
      </c>
      <c r="C390" s="1" t="s">
        <v>1092</v>
      </c>
      <c r="D390" s="1">
        <v>7335962.0</v>
      </c>
      <c r="E390" s="1" t="s">
        <v>1093</v>
      </c>
    </row>
    <row r="391">
      <c r="A391" s="1">
        <v>7.164483781E9</v>
      </c>
      <c r="B391" s="1" t="s">
        <v>1467</v>
      </c>
      <c r="C391" s="1" t="s">
        <v>1092</v>
      </c>
      <c r="D391" s="1">
        <v>7335962.0</v>
      </c>
      <c r="E391" s="1" t="s">
        <v>1093</v>
      </c>
    </row>
    <row r="392">
      <c r="A392" s="1">
        <v>7.164483642E9</v>
      </c>
      <c r="B392" s="1" t="s">
        <v>1468</v>
      </c>
      <c r="C392" s="1" t="s">
        <v>1092</v>
      </c>
      <c r="D392" s="1">
        <v>7335962.0</v>
      </c>
      <c r="E392" s="1" t="s">
        <v>1093</v>
      </c>
    </row>
    <row r="393">
      <c r="A393" s="1">
        <v>7.163744088E9</v>
      </c>
      <c r="B393" s="1" t="s">
        <v>1469</v>
      </c>
      <c r="C393" s="1" t="s">
        <v>1092</v>
      </c>
      <c r="D393" s="1">
        <v>7335962.0</v>
      </c>
      <c r="E393" s="1" t="s">
        <v>1093</v>
      </c>
    </row>
    <row r="394">
      <c r="A394" s="1">
        <v>7.163743943E9</v>
      </c>
      <c r="B394" s="1" t="s">
        <v>1470</v>
      </c>
      <c r="C394" s="1" t="s">
        <v>1092</v>
      </c>
      <c r="D394" s="1">
        <v>7335962.0</v>
      </c>
      <c r="E394" s="1" t="s">
        <v>1093</v>
      </c>
    </row>
    <row r="395">
      <c r="A395" s="1">
        <v>7.163485488E9</v>
      </c>
      <c r="B395" s="1" t="s">
        <v>1471</v>
      </c>
      <c r="C395" s="1" t="s">
        <v>1092</v>
      </c>
      <c r="D395" s="1">
        <v>7335962.0</v>
      </c>
      <c r="E395" s="1" t="s">
        <v>1093</v>
      </c>
    </row>
    <row r="396">
      <c r="A396" s="1">
        <v>7.163485283E9</v>
      </c>
      <c r="B396" s="1" t="s">
        <v>1472</v>
      </c>
      <c r="C396" s="1" t="s">
        <v>1092</v>
      </c>
      <c r="D396" s="1">
        <v>7335962.0</v>
      </c>
      <c r="E396" s="1" t="s">
        <v>1093</v>
      </c>
    </row>
    <row r="397">
      <c r="A397" s="1">
        <v>7.151871881E9</v>
      </c>
      <c r="B397" s="1" t="s">
        <v>1473</v>
      </c>
      <c r="C397" s="1" t="s">
        <v>1092</v>
      </c>
      <c r="D397" s="1">
        <v>7335962.0</v>
      </c>
      <c r="E397" s="1" t="s">
        <v>1093</v>
      </c>
    </row>
    <row r="398">
      <c r="A398" s="1">
        <v>7.1518718E9</v>
      </c>
      <c r="B398" s="1" t="s">
        <v>1474</v>
      </c>
      <c r="C398" s="1" t="s">
        <v>1092</v>
      </c>
      <c r="D398" s="1">
        <v>7335962.0</v>
      </c>
      <c r="E398" s="1" t="s">
        <v>1093</v>
      </c>
    </row>
    <row r="399">
      <c r="A399" s="1">
        <v>7.151799553E9</v>
      </c>
      <c r="B399" s="1" t="s">
        <v>1475</v>
      </c>
      <c r="C399" s="1" t="s">
        <v>1092</v>
      </c>
      <c r="D399" s="1">
        <v>7335962.0</v>
      </c>
      <c r="E399" s="1" t="s">
        <v>1093</v>
      </c>
    </row>
    <row r="400">
      <c r="A400" s="1">
        <v>7.151799415E9</v>
      </c>
      <c r="B400" s="1" t="s">
        <v>1476</v>
      </c>
      <c r="C400" s="1" t="s">
        <v>1092</v>
      </c>
      <c r="D400" s="1">
        <v>7335962.0</v>
      </c>
      <c r="E400" s="1" t="s">
        <v>1093</v>
      </c>
    </row>
    <row r="401">
      <c r="A401" s="1">
        <v>7.133809377E9</v>
      </c>
      <c r="B401" s="1" t="s">
        <v>1477</v>
      </c>
      <c r="C401" s="1" t="s">
        <v>1078</v>
      </c>
      <c r="D401" s="1">
        <v>7335962.0</v>
      </c>
      <c r="E401" s="1" t="s">
        <v>1093</v>
      </c>
    </row>
    <row r="402">
      <c r="A402" s="1">
        <v>7.105760285E9</v>
      </c>
      <c r="B402" s="1" t="s">
        <v>1478</v>
      </c>
      <c r="C402" s="1" t="s">
        <v>1092</v>
      </c>
      <c r="D402" s="1">
        <v>7335962.0</v>
      </c>
      <c r="E402" s="1" t="s">
        <v>1093</v>
      </c>
    </row>
    <row r="403">
      <c r="A403" s="1">
        <v>7.105747361E9</v>
      </c>
      <c r="B403" s="1" t="s">
        <v>1479</v>
      </c>
      <c r="C403" s="1" t="s">
        <v>1078</v>
      </c>
      <c r="D403" s="1">
        <v>7335962.0</v>
      </c>
      <c r="E403" s="1" t="s">
        <v>1093</v>
      </c>
    </row>
    <row r="404">
      <c r="A404" s="1">
        <v>7.105747256E9</v>
      </c>
      <c r="B404" s="1" t="s">
        <v>1480</v>
      </c>
      <c r="C404" s="1" t="s">
        <v>1078</v>
      </c>
      <c r="D404" s="1">
        <v>7335962.0</v>
      </c>
      <c r="E404" s="1" t="s">
        <v>1093</v>
      </c>
    </row>
    <row r="405">
      <c r="A405" s="1">
        <v>1.8120348435E10</v>
      </c>
      <c r="B405" s="1" t="s">
        <v>1481</v>
      </c>
      <c r="C405" s="1" t="s">
        <v>1078</v>
      </c>
      <c r="D405" s="1">
        <v>7628139.0</v>
      </c>
      <c r="E405" s="1" t="s">
        <v>1482</v>
      </c>
    </row>
    <row r="406">
      <c r="A406" s="1">
        <v>7.419447998E9</v>
      </c>
      <c r="B406" s="1" t="s">
        <v>1483</v>
      </c>
      <c r="C406" s="1" t="s">
        <v>1078</v>
      </c>
      <c r="D406" s="1">
        <v>7628139.0</v>
      </c>
      <c r="E406" s="1" t="s">
        <v>1482</v>
      </c>
    </row>
    <row r="407">
      <c r="A407" s="1">
        <v>7.280392342E9</v>
      </c>
      <c r="B407" s="1" t="s">
        <v>1484</v>
      </c>
      <c r="C407" s="1" t="s">
        <v>1078</v>
      </c>
      <c r="D407" s="1">
        <v>7628139.0</v>
      </c>
      <c r="E407" s="1" t="s">
        <v>1482</v>
      </c>
    </row>
    <row r="408">
      <c r="A408" s="1">
        <v>7.18971806E9</v>
      </c>
      <c r="B408" s="1" t="s">
        <v>1485</v>
      </c>
      <c r="C408" s="1" t="s">
        <v>1092</v>
      </c>
      <c r="D408" s="1">
        <v>7628139.0</v>
      </c>
      <c r="E408" s="1" t="s">
        <v>1482</v>
      </c>
    </row>
    <row r="409">
      <c r="A409" s="1">
        <v>7.189089897E9</v>
      </c>
      <c r="B409" s="1" t="s">
        <v>1486</v>
      </c>
      <c r="C409" s="1" t="s">
        <v>1092</v>
      </c>
      <c r="D409" s="1">
        <v>7628139.0</v>
      </c>
      <c r="E409" s="1" t="s">
        <v>1482</v>
      </c>
    </row>
    <row r="410">
      <c r="A410" s="1">
        <v>1.840127588E10</v>
      </c>
      <c r="B410" s="1" t="s">
        <v>1487</v>
      </c>
      <c r="C410" s="1" t="s">
        <v>1078</v>
      </c>
      <c r="D410" s="1">
        <v>9393423.0</v>
      </c>
      <c r="E410" s="1" t="s">
        <v>1488</v>
      </c>
    </row>
    <row r="411">
      <c r="A411" s="1">
        <v>1.8398347754E10</v>
      </c>
      <c r="B411" s="1" t="s">
        <v>1489</v>
      </c>
      <c r="C411" s="1" t="s">
        <v>1078</v>
      </c>
      <c r="D411" s="1">
        <v>9393423.0</v>
      </c>
      <c r="E411" s="1" t="s">
        <v>1488</v>
      </c>
    </row>
    <row r="412">
      <c r="A412" s="1">
        <v>1.8396881415E10</v>
      </c>
      <c r="B412" s="1" t="s">
        <v>1490</v>
      </c>
      <c r="C412" s="1" t="s">
        <v>1078</v>
      </c>
      <c r="D412" s="1">
        <v>9393423.0</v>
      </c>
      <c r="E412" s="1" t="s">
        <v>1488</v>
      </c>
    </row>
    <row r="413">
      <c r="A413" s="1">
        <v>1.8392760557E10</v>
      </c>
      <c r="B413" s="1" t="s">
        <v>1491</v>
      </c>
      <c r="C413" s="1" t="s">
        <v>1078</v>
      </c>
      <c r="D413" s="1">
        <v>9393423.0</v>
      </c>
      <c r="E413" s="1" t="s">
        <v>1488</v>
      </c>
    </row>
    <row r="414">
      <c r="A414" s="1">
        <v>1.8392204561E10</v>
      </c>
      <c r="B414" s="1" t="s">
        <v>1492</v>
      </c>
      <c r="C414" s="1" t="s">
        <v>1078</v>
      </c>
      <c r="D414" s="1">
        <v>9393423.0</v>
      </c>
      <c r="E414" s="1" t="s">
        <v>1488</v>
      </c>
    </row>
    <row r="415">
      <c r="A415" s="1">
        <v>1.8391945937E10</v>
      </c>
      <c r="B415" s="1" t="s">
        <v>1493</v>
      </c>
      <c r="C415" s="1" t="s">
        <v>1078</v>
      </c>
      <c r="D415" s="1">
        <v>9393423.0</v>
      </c>
      <c r="E415" s="1" t="s">
        <v>1488</v>
      </c>
    </row>
    <row r="416">
      <c r="A416" s="1">
        <v>1.8391686086E10</v>
      </c>
      <c r="B416" s="1" t="s">
        <v>1494</v>
      </c>
      <c r="C416" s="1" t="s">
        <v>1078</v>
      </c>
      <c r="D416" s="1">
        <v>9393423.0</v>
      </c>
      <c r="E416" s="1" t="s">
        <v>1488</v>
      </c>
    </row>
    <row r="417">
      <c r="A417" s="1">
        <v>1.8391683656E10</v>
      </c>
      <c r="B417" s="1" t="s">
        <v>1495</v>
      </c>
      <c r="C417" s="1" t="s">
        <v>1078</v>
      </c>
      <c r="D417" s="1">
        <v>9393423.0</v>
      </c>
      <c r="E417" s="1" t="s">
        <v>1488</v>
      </c>
    </row>
    <row r="418">
      <c r="A418" s="1">
        <v>1.8391667964E10</v>
      </c>
      <c r="B418" s="1" t="s">
        <v>1496</v>
      </c>
      <c r="C418" s="1" t="s">
        <v>1078</v>
      </c>
      <c r="D418" s="1">
        <v>9393423.0</v>
      </c>
      <c r="E418" s="1" t="s">
        <v>1488</v>
      </c>
    </row>
    <row r="419">
      <c r="A419" s="1">
        <v>1.8391665216E10</v>
      </c>
      <c r="B419" s="1" t="s">
        <v>1497</v>
      </c>
      <c r="C419" s="1" t="s">
        <v>1078</v>
      </c>
      <c r="D419" s="1">
        <v>9393423.0</v>
      </c>
      <c r="E419" s="1" t="s">
        <v>1488</v>
      </c>
    </row>
    <row r="420">
      <c r="A420" s="1">
        <v>1.8390534699E10</v>
      </c>
      <c r="B420" s="1" t="s">
        <v>1498</v>
      </c>
      <c r="C420" s="1" t="s">
        <v>1078</v>
      </c>
      <c r="D420" s="1">
        <v>9393423.0</v>
      </c>
      <c r="E420" s="1" t="s">
        <v>1488</v>
      </c>
    </row>
    <row r="421">
      <c r="A421" s="1">
        <v>1.8373383065E10</v>
      </c>
      <c r="B421" s="1" t="s">
        <v>1499</v>
      </c>
      <c r="C421" s="1" t="s">
        <v>1078</v>
      </c>
      <c r="D421" s="1">
        <v>9393423.0</v>
      </c>
      <c r="E421" s="1" t="s">
        <v>1488</v>
      </c>
    </row>
    <row r="422">
      <c r="A422" s="1">
        <v>9.915936436E9</v>
      </c>
      <c r="B422" s="1" t="s">
        <v>1500</v>
      </c>
      <c r="C422" s="1" t="s">
        <v>1078</v>
      </c>
      <c r="D422" s="1">
        <v>9393423.0</v>
      </c>
      <c r="E422" s="1" t="s">
        <v>1488</v>
      </c>
    </row>
    <row r="423">
      <c r="A423" s="1">
        <v>9.915516933E9</v>
      </c>
      <c r="B423" s="1" t="s">
        <v>1501</v>
      </c>
      <c r="C423" s="1" t="s">
        <v>1078</v>
      </c>
      <c r="D423" s="1">
        <v>9393423.0</v>
      </c>
      <c r="E423" s="1" t="s">
        <v>1488</v>
      </c>
    </row>
    <row r="424">
      <c r="A424" s="1">
        <v>9.151902247E9</v>
      </c>
      <c r="B424" s="1" t="s">
        <v>1502</v>
      </c>
      <c r="C424" s="1" t="s">
        <v>1078</v>
      </c>
      <c r="D424" s="1">
        <v>9393423.0</v>
      </c>
      <c r="E424" s="1" t="s">
        <v>1488</v>
      </c>
    </row>
    <row r="425">
      <c r="A425" s="1">
        <v>8.196776743E9</v>
      </c>
      <c r="B425" s="1" t="s">
        <v>1503</v>
      </c>
      <c r="C425" s="1" t="s">
        <v>1078</v>
      </c>
      <c r="D425" s="1">
        <v>9393423.0</v>
      </c>
      <c r="E425" s="1" t="s">
        <v>1488</v>
      </c>
    </row>
    <row r="426">
      <c r="A426" s="1">
        <v>8.196776688E9</v>
      </c>
      <c r="B426" s="1" t="s">
        <v>1504</v>
      </c>
      <c r="C426" s="1" t="s">
        <v>1078</v>
      </c>
      <c r="D426" s="1">
        <v>9393423.0</v>
      </c>
      <c r="E426" s="1" t="s">
        <v>1488</v>
      </c>
    </row>
    <row r="427">
      <c r="A427" s="1">
        <v>1.840216702E10</v>
      </c>
      <c r="B427" s="1" t="s">
        <v>1505</v>
      </c>
      <c r="C427" s="1" t="s">
        <v>1078</v>
      </c>
      <c r="D427" s="1">
        <v>9854802.0</v>
      </c>
      <c r="E427" s="1" t="s">
        <v>1506</v>
      </c>
    </row>
    <row r="428">
      <c r="A428" s="1">
        <v>1.8401824415E10</v>
      </c>
      <c r="B428" s="1" t="s">
        <v>1507</v>
      </c>
      <c r="C428" s="1" t="s">
        <v>1078</v>
      </c>
      <c r="D428" s="1">
        <v>9854802.0</v>
      </c>
      <c r="E428" s="1" t="s">
        <v>1506</v>
      </c>
    </row>
    <row r="429">
      <c r="A429" s="1">
        <v>1.8401817E10</v>
      </c>
      <c r="B429" s="1" t="s">
        <v>1508</v>
      </c>
      <c r="C429" s="1" t="s">
        <v>1092</v>
      </c>
      <c r="D429" s="1">
        <v>9854802.0</v>
      </c>
      <c r="E429" s="1" t="s">
        <v>1506</v>
      </c>
    </row>
    <row r="430">
      <c r="A430" s="1">
        <v>1.8401816999E10</v>
      </c>
      <c r="B430" s="1" t="s">
        <v>1509</v>
      </c>
      <c r="C430" s="1" t="s">
        <v>1092</v>
      </c>
      <c r="D430" s="1">
        <v>9854802.0</v>
      </c>
      <c r="E430" s="1" t="s">
        <v>1506</v>
      </c>
    </row>
    <row r="431">
      <c r="A431" s="1">
        <v>1.8401816992E10</v>
      </c>
      <c r="B431" s="1" t="s">
        <v>939</v>
      </c>
      <c r="C431" s="1" t="s">
        <v>1092</v>
      </c>
      <c r="D431" s="1">
        <v>9854802.0</v>
      </c>
      <c r="E431" s="1" t="s">
        <v>1506</v>
      </c>
    </row>
    <row r="432">
      <c r="A432" s="1">
        <v>1.8401816991E10</v>
      </c>
      <c r="B432" s="1" t="s">
        <v>1510</v>
      </c>
      <c r="C432" s="1" t="s">
        <v>1092</v>
      </c>
      <c r="D432" s="1">
        <v>9854802.0</v>
      </c>
      <c r="E432" s="1" t="s">
        <v>1506</v>
      </c>
    </row>
    <row r="433">
      <c r="A433" s="1">
        <v>1.8401796304E10</v>
      </c>
      <c r="B433" s="1" t="s">
        <v>1511</v>
      </c>
      <c r="C433" s="1" t="s">
        <v>1092</v>
      </c>
      <c r="D433" s="1">
        <v>9854802.0</v>
      </c>
      <c r="E433" s="1" t="s">
        <v>1506</v>
      </c>
    </row>
    <row r="434">
      <c r="A434" s="1">
        <v>1.84017963E10</v>
      </c>
      <c r="B434" s="1" t="s">
        <v>535</v>
      </c>
      <c r="C434" s="1" t="s">
        <v>1092</v>
      </c>
      <c r="D434" s="1">
        <v>9854802.0</v>
      </c>
      <c r="E434" s="1" t="s">
        <v>1506</v>
      </c>
    </row>
    <row r="435">
      <c r="A435" s="1">
        <v>1.8401796151E10</v>
      </c>
      <c r="B435" s="1" t="s">
        <v>1512</v>
      </c>
      <c r="C435" s="1" t="s">
        <v>1092</v>
      </c>
      <c r="D435" s="1">
        <v>9854802.0</v>
      </c>
      <c r="E435" s="1" t="s">
        <v>1506</v>
      </c>
    </row>
    <row r="436">
      <c r="A436" s="1">
        <v>1.8401796128E10</v>
      </c>
      <c r="B436" s="1" t="s">
        <v>1513</v>
      </c>
      <c r="C436" s="1" t="s">
        <v>1092</v>
      </c>
      <c r="D436" s="1">
        <v>9854802.0</v>
      </c>
      <c r="E436" s="1" t="s">
        <v>1506</v>
      </c>
    </row>
    <row r="437">
      <c r="A437" s="1">
        <v>1.8401794836E10</v>
      </c>
      <c r="B437" s="1" t="s">
        <v>1514</v>
      </c>
      <c r="C437" s="1" t="s">
        <v>1092</v>
      </c>
      <c r="D437" s="1">
        <v>9854802.0</v>
      </c>
      <c r="E437" s="1" t="s">
        <v>1506</v>
      </c>
    </row>
    <row r="438">
      <c r="A438" s="1">
        <v>1.8401794829E10</v>
      </c>
      <c r="B438" s="1" t="s">
        <v>1515</v>
      </c>
      <c r="C438" s="1" t="s">
        <v>1092</v>
      </c>
      <c r="D438" s="1">
        <v>9854802.0</v>
      </c>
      <c r="E438" s="1" t="s">
        <v>1506</v>
      </c>
    </row>
    <row r="439">
      <c r="A439" s="1">
        <v>1.8401216675E10</v>
      </c>
      <c r="B439" s="1" t="s">
        <v>1516</v>
      </c>
      <c r="C439" s="1" t="s">
        <v>1092</v>
      </c>
      <c r="D439" s="1">
        <v>9854802.0</v>
      </c>
      <c r="E439" s="1" t="s">
        <v>1506</v>
      </c>
    </row>
    <row r="440">
      <c r="A440" s="1">
        <v>1.8401216667E10</v>
      </c>
      <c r="B440" s="1" t="s">
        <v>1517</v>
      </c>
      <c r="C440" s="1" t="s">
        <v>1092</v>
      </c>
      <c r="D440" s="1">
        <v>9854802.0</v>
      </c>
      <c r="E440" s="1" t="s">
        <v>1506</v>
      </c>
    </row>
    <row r="441">
      <c r="A441" s="1">
        <v>1.8399296698E10</v>
      </c>
      <c r="B441" s="1" t="s">
        <v>1518</v>
      </c>
      <c r="C441" s="1" t="s">
        <v>1092</v>
      </c>
      <c r="D441" s="1">
        <v>9854802.0</v>
      </c>
      <c r="E441" s="1" t="s">
        <v>1506</v>
      </c>
    </row>
    <row r="442">
      <c r="A442" s="1">
        <v>1.8399296689E10</v>
      </c>
      <c r="B442" s="1" t="s">
        <v>1519</v>
      </c>
      <c r="C442" s="1" t="s">
        <v>1092</v>
      </c>
      <c r="D442" s="1">
        <v>9854802.0</v>
      </c>
      <c r="E442" s="1" t="s">
        <v>1506</v>
      </c>
    </row>
    <row r="443">
      <c r="A443" s="1">
        <v>1.8399103049E10</v>
      </c>
      <c r="B443" s="1" t="s">
        <v>1520</v>
      </c>
      <c r="C443" s="1" t="s">
        <v>1078</v>
      </c>
      <c r="D443" s="1">
        <v>9854802.0</v>
      </c>
      <c r="E443" s="1" t="s">
        <v>1506</v>
      </c>
    </row>
    <row r="444">
      <c r="A444" s="1">
        <v>1.8391809069E10</v>
      </c>
      <c r="B444" s="1" t="s">
        <v>1521</v>
      </c>
      <c r="C444" s="1" t="s">
        <v>1092</v>
      </c>
      <c r="D444" s="1">
        <v>9854802.0</v>
      </c>
      <c r="E444" s="1" t="s">
        <v>1506</v>
      </c>
    </row>
    <row r="445">
      <c r="A445" s="1">
        <v>1.8391809062E10</v>
      </c>
      <c r="B445" s="1" t="s">
        <v>1522</v>
      </c>
      <c r="C445" s="1" t="s">
        <v>1092</v>
      </c>
      <c r="D445" s="1">
        <v>9854802.0</v>
      </c>
      <c r="E445" s="1" t="s">
        <v>1506</v>
      </c>
    </row>
    <row r="446">
      <c r="A446" s="1">
        <v>1.8391300167E10</v>
      </c>
      <c r="B446" s="1" t="s">
        <v>1523</v>
      </c>
      <c r="C446" s="1" t="s">
        <v>1092</v>
      </c>
      <c r="D446" s="1">
        <v>9854802.0</v>
      </c>
      <c r="E446" s="1" t="s">
        <v>1506</v>
      </c>
    </row>
    <row r="447">
      <c r="A447" s="1">
        <v>1.8391300162E10</v>
      </c>
      <c r="B447" s="1" t="s">
        <v>1524</v>
      </c>
      <c r="C447" s="1" t="s">
        <v>1092</v>
      </c>
      <c r="D447" s="1">
        <v>9854802.0</v>
      </c>
      <c r="E447" s="1" t="s">
        <v>1506</v>
      </c>
    </row>
    <row r="448">
      <c r="A448" s="1">
        <v>1.8389979958E10</v>
      </c>
      <c r="B448" s="1" t="s">
        <v>1525</v>
      </c>
      <c r="C448" s="1" t="s">
        <v>1092</v>
      </c>
      <c r="D448" s="1">
        <v>9854802.0</v>
      </c>
      <c r="E448" s="1" t="s">
        <v>1506</v>
      </c>
    </row>
    <row r="449">
      <c r="A449" s="1">
        <v>1.8389979949E10</v>
      </c>
      <c r="B449" s="1" t="s">
        <v>1526</v>
      </c>
      <c r="C449" s="1" t="s">
        <v>1092</v>
      </c>
      <c r="D449" s="1">
        <v>9854802.0</v>
      </c>
      <c r="E449" s="1" t="s">
        <v>1506</v>
      </c>
    </row>
    <row r="450">
      <c r="A450" s="1">
        <v>1.8388033015E10</v>
      </c>
      <c r="B450" s="1" t="s">
        <v>1527</v>
      </c>
      <c r="C450" s="1" t="s">
        <v>1092</v>
      </c>
      <c r="D450" s="1">
        <v>9854802.0</v>
      </c>
      <c r="E450" s="1" t="s">
        <v>1506</v>
      </c>
    </row>
    <row r="451">
      <c r="A451" s="1">
        <v>1.8388032977E10</v>
      </c>
      <c r="B451" s="1" t="s">
        <v>1528</v>
      </c>
      <c r="C451" s="1" t="s">
        <v>1092</v>
      </c>
      <c r="D451" s="1">
        <v>9854802.0</v>
      </c>
      <c r="E451" s="1" t="s">
        <v>1506</v>
      </c>
    </row>
    <row r="452">
      <c r="A452" s="1">
        <v>1.8387787152E10</v>
      </c>
      <c r="B452" s="1" t="s">
        <v>1529</v>
      </c>
      <c r="C452" s="1" t="s">
        <v>1092</v>
      </c>
      <c r="D452" s="1">
        <v>9854802.0</v>
      </c>
      <c r="E452" s="1" t="s">
        <v>1506</v>
      </c>
    </row>
    <row r="453">
      <c r="A453" s="1">
        <v>1.8387787101E10</v>
      </c>
      <c r="B453" s="1" t="s">
        <v>1530</v>
      </c>
      <c r="C453" s="1" t="s">
        <v>1092</v>
      </c>
      <c r="D453" s="1">
        <v>9854802.0</v>
      </c>
      <c r="E453" s="1" t="s">
        <v>1506</v>
      </c>
    </row>
    <row r="454">
      <c r="A454" s="1">
        <v>1.8387775953E10</v>
      </c>
      <c r="B454" s="1" t="s">
        <v>1531</v>
      </c>
      <c r="C454" s="1" t="s">
        <v>1092</v>
      </c>
      <c r="D454" s="1">
        <v>9854802.0</v>
      </c>
      <c r="E454" s="1" t="s">
        <v>1506</v>
      </c>
    </row>
    <row r="455">
      <c r="A455" s="1">
        <v>1.8387775916E10</v>
      </c>
      <c r="B455" s="1" t="s">
        <v>1532</v>
      </c>
      <c r="C455" s="1" t="s">
        <v>1092</v>
      </c>
      <c r="D455" s="1">
        <v>9854802.0</v>
      </c>
      <c r="E455" s="1" t="s">
        <v>1506</v>
      </c>
    </row>
    <row r="456">
      <c r="A456" s="1">
        <v>1.8387740735E10</v>
      </c>
      <c r="B456" s="1" t="s">
        <v>1533</v>
      </c>
      <c r="C456" s="1" t="s">
        <v>1092</v>
      </c>
      <c r="D456" s="1">
        <v>9854802.0</v>
      </c>
      <c r="E456" s="1" t="s">
        <v>1506</v>
      </c>
    </row>
    <row r="457">
      <c r="A457" s="1">
        <v>1.8387740672E10</v>
      </c>
      <c r="B457" s="1" t="s">
        <v>1534</v>
      </c>
      <c r="C457" s="1" t="s">
        <v>1092</v>
      </c>
      <c r="D457" s="1">
        <v>9854802.0</v>
      </c>
      <c r="E457" s="1" t="s">
        <v>1506</v>
      </c>
    </row>
    <row r="458">
      <c r="A458" s="1">
        <v>1.8387724646E10</v>
      </c>
      <c r="B458" s="1" t="s">
        <v>1535</v>
      </c>
      <c r="C458" s="1" t="s">
        <v>1092</v>
      </c>
      <c r="D458" s="1">
        <v>9854802.0</v>
      </c>
      <c r="E458" s="1" t="s">
        <v>1506</v>
      </c>
    </row>
    <row r="459">
      <c r="A459" s="1">
        <v>1.8387724607E10</v>
      </c>
      <c r="B459" s="1" t="s">
        <v>1536</v>
      </c>
      <c r="C459" s="1" t="s">
        <v>1092</v>
      </c>
      <c r="D459" s="1">
        <v>9854802.0</v>
      </c>
      <c r="E459" s="1" t="s">
        <v>1506</v>
      </c>
    </row>
    <row r="460">
      <c r="A460" s="1">
        <v>1.8387720782E10</v>
      </c>
      <c r="B460" s="1" t="s">
        <v>1537</v>
      </c>
      <c r="C460" s="1" t="s">
        <v>1092</v>
      </c>
      <c r="D460" s="1">
        <v>9854802.0</v>
      </c>
      <c r="E460" s="1" t="s">
        <v>1506</v>
      </c>
    </row>
    <row r="461">
      <c r="A461" s="1">
        <v>1.8387720723E10</v>
      </c>
      <c r="B461" s="1" t="s">
        <v>1538</v>
      </c>
      <c r="C461" s="1" t="s">
        <v>1092</v>
      </c>
      <c r="D461" s="1">
        <v>9854802.0</v>
      </c>
      <c r="E461" s="1" t="s">
        <v>1506</v>
      </c>
    </row>
    <row r="462">
      <c r="A462" s="1">
        <v>1.8387689656E10</v>
      </c>
      <c r="B462" s="1" t="s">
        <v>1539</v>
      </c>
      <c r="C462" s="1" t="s">
        <v>1092</v>
      </c>
      <c r="D462" s="1">
        <v>9854802.0</v>
      </c>
      <c r="E462" s="1" t="s">
        <v>1506</v>
      </c>
    </row>
    <row r="463">
      <c r="A463" s="1">
        <v>1.8387689596E10</v>
      </c>
      <c r="B463" s="1" t="s">
        <v>1540</v>
      </c>
      <c r="C463" s="1" t="s">
        <v>1092</v>
      </c>
      <c r="D463" s="1">
        <v>9854802.0</v>
      </c>
      <c r="E463" s="1" t="s">
        <v>1506</v>
      </c>
    </row>
    <row r="464">
      <c r="A464" s="1">
        <v>1.8387657154E10</v>
      </c>
      <c r="B464" s="1" t="s">
        <v>1541</v>
      </c>
      <c r="C464" s="1" t="s">
        <v>1092</v>
      </c>
      <c r="D464" s="1">
        <v>9854802.0</v>
      </c>
      <c r="E464" s="1" t="s">
        <v>1506</v>
      </c>
    </row>
    <row r="465">
      <c r="A465" s="1">
        <v>1.8387657109E10</v>
      </c>
      <c r="B465" s="1" t="s">
        <v>1542</v>
      </c>
      <c r="C465" s="1" t="s">
        <v>1092</v>
      </c>
      <c r="D465" s="1">
        <v>9854802.0</v>
      </c>
      <c r="E465" s="1" t="s">
        <v>1506</v>
      </c>
    </row>
    <row r="466">
      <c r="A466" s="1">
        <v>1.8387596238E10</v>
      </c>
      <c r="B466" s="1" t="s">
        <v>1543</v>
      </c>
      <c r="C466" s="1" t="s">
        <v>1092</v>
      </c>
      <c r="D466" s="1">
        <v>9854802.0</v>
      </c>
      <c r="E466" s="1" t="s">
        <v>1506</v>
      </c>
    </row>
    <row r="467">
      <c r="A467" s="1">
        <v>1.8387596186E10</v>
      </c>
      <c r="B467" s="1" t="s">
        <v>1544</v>
      </c>
      <c r="C467" s="1" t="s">
        <v>1092</v>
      </c>
      <c r="D467" s="1">
        <v>9854802.0</v>
      </c>
      <c r="E467" s="1" t="s">
        <v>1506</v>
      </c>
    </row>
    <row r="468">
      <c r="A468" s="1">
        <v>1.8387571069E10</v>
      </c>
      <c r="B468" s="1" t="s">
        <v>1545</v>
      </c>
      <c r="C468" s="1" t="s">
        <v>1092</v>
      </c>
      <c r="D468" s="1">
        <v>9854802.0</v>
      </c>
      <c r="E468" s="1" t="s">
        <v>1506</v>
      </c>
    </row>
    <row r="469">
      <c r="A469" s="1">
        <v>1.8387570969E10</v>
      </c>
      <c r="B469" s="1" t="s">
        <v>1546</v>
      </c>
      <c r="C469" s="1" t="s">
        <v>1092</v>
      </c>
      <c r="D469" s="1">
        <v>9854802.0</v>
      </c>
      <c r="E469" s="1" t="s">
        <v>1506</v>
      </c>
    </row>
    <row r="470">
      <c r="A470" s="1">
        <v>1.8375144625E10</v>
      </c>
      <c r="B470" s="1" t="s">
        <v>1547</v>
      </c>
      <c r="C470" s="1" t="s">
        <v>1078</v>
      </c>
      <c r="D470" s="1">
        <v>9854802.0</v>
      </c>
      <c r="E470" s="1" t="s">
        <v>1506</v>
      </c>
    </row>
    <row r="471">
      <c r="A471" s="1">
        <v>1.8375144602E10</v>
      </c>
      <c r="B471" s="1" t="s">
        <v>1548</v>
      </c>
      <c r="C471" s="1" t="s">
        <v>1078</v>
      </c>
      <c r="D471" s="1">
        <v>9854802.0</v>
      </c>
      <c r="E471" s="1" t="s">
        <v>1506</v>
      </c>
    </row>
    <row r="472">
      <c r="A472" s="1">
        <v>1.8375039174E10</v>
      </c>
      <c r="B472" s="1" t="s">
        <v>1547</v>
      </c>
      <c r="C472" s="1" t="s">
        <v>1078</v>
      </c>
      <c r="D472" s="1">
        <v>9854802.0</v>
      </c>
      <c r="E472" s="1" t="s">
        <v>1506</v>
      </c>
    </row>
    <row r="473">
      <c r="A473" s="1">
        <v>1.8375039091E10</v>
      </c>
      <c r="B473" s="1" t="s">
        <v>1548</v>
      </c>
      <c r="C473" s="1" t="s">
        <v>1078</v>
      </c>
      <c r="D473" s="1">
        <v>9854802.0</v>
      </c>
      <c r="E473" s="1" t="s">
        <v>1506</v>
      </c>
    </row>
    <row r="474">
      <c r="A474" s="1">
        <v>1.8375013453E10</v>
      </c>
      <c r="B474" s="1" t="s">
        <v>1549</v>
      </c>
      <c r="C474" s="1" t="s">
        <v>1078</v>
      </c>
      <c r="D474" s="1">
        <v>9854802.0</v>
      </c>
      <c r="E474" s="1" t="s">
        <v>1506</v>
      </c>
    </row>
    <row r="475">
      <c r="A475" s="1">
        <v>1.837501336E10</v>
      </c>
      <c r="B475" s="1" t="s">
        <v>687</v>
      </c>
      <c r="C475" s="1" t="s">
        <v>1078</v>
      </c>
      <c r="D475" s="1">
        <v>9854802.0</v>
      </c>
      <c r="E475" s="1" t="s">
        <v>1506</v>
      </c>
    </row>
    <row r="476">
      <c r="A476" s="1">
        <v>1.8374806401E10</v>
      </c>
      <c r="B476" s="1" t="s">
        <v>1550</v>
      </c>
      <c r="C476" s="1" t="s">
        <v>1078</v>
      </c>
      <c r="D476" s="1">
        <v>9854802.0</v>
      </c>
      <c r="E476" s="1" t="s">
        <v>1506</v>
      </c>
    </row>
    <row r="477">
      <c r="A477" s="1">
        <v>1.8374691271E10</v>
      </c>
      <c r="B477" s="1" t="s">
        <v>1551</v>
      </c>
      <c r="C477" s="1" t="s">
        <v>1092</v>
      </c>
      <c r="D477" s="1">
        <v>9854802.0</v>
      </c>
      <c r="E477" s="1" t="s">
        <v>1506</v>
      </c>
    </row>
    <row r="478">
      <c r="A478" s="1">
        <v>1.8374691224E10</v>
      </c>
      <c r="B478" s="1" t="s">
        <v>1552</v>
      </c>
      <c r="C478" s="1" t="s">
        <v>1092</v>
      </c>
      <c r="D478" s="1">
        <v>9854802.0</v>
      </c>
      <c r="E478" s="1" t="s">
        <v>1506</v>
      </c>
    </row>
    <row r="479">
      <c r="A479" s="1">
        <v>1.8374434005E10</v>
      </c>
      <c r="B479" s="1" t="s">
        <v>1553</v>
      </c>
      <c r="C479" s="1" t="s">
        <v>1092</v>
      </c>
      <c r="D479" s="1">
        <v>9854802.0</v>
      </c>
      <c r="E479" s="1" t="s">
        <v>1506</v>
      </c>
    </row>
    <row r="480">
      <c r="A480" s="1">
        <v>1.8374433884E10</v>
      </c>
      <c r="B480" s="1" t="s">
        <v>545</v>
      </c>
      <c r="C480" s="1" t="s">
        <v>1092</v>
      </c>
      <c r="D480" s="1">
        <v>9854802.0</v>
      </c>
      <c r="E480" s="1" t="s">
        <v>1506</v>
      </c>
    </row>
    <row r="481">
      <c r="A481" s="1">
        <v>1.8374432854E10</v>
      </c>
      <c r="B481" s="1" t="s">
        <v>1554</v>
      </c>
      <c r="C481" s="1" t="s">
        <v>1092</v>
      </c>
      <c r="D481" s="1">
        <v>9854802.0</v>
      </c>
      <c r="E481" s="1" t="s">
        <v>1506</v>
      </c>
    </row>
    <row r="482">
      <c r="A482" s="1">
        <v>1.8374432782E10</v>
      </c>
      <c r="B482" s="1" t="s">
        <v>539</v>
      </c>
      <c r="C482" s="1" t="s">
        <v>1092</v>
      </c>
      <c r="D482" s="1">
        <v>9854802.0</v>
      </c>
      <c r="E482" s="1" t="s">
        <v>1506</v>
      </c>
    </row>
    <row r="483">
      <c r="A483" s="1">
        <v>1.8374431817E10</v>
      </c>
      <c r="B483" s="1" t="s">
        <v>1555</v>
      </c>
      <c r="C483" s="1" t="s">
        <v>1092</v>
      </c>
      <c r="D483" s="1">
        <v>9854802.0</v>
      </c>
      <c r="E483" s="1" t="s">
        <v>1506</v>
      </c>
    </row>
    <row r="484">
      <c r="A484" s="1">
        <v>1.8374431752E10</v>
      </c>
      <c r="B484" s="1" t="s">
        <v>537</v>
      </c>
      <c r="C484" s="1" t="s">
        <v>1092</v>
      </c>
      <c r="D484" s="1">
        <v>9854802.0</v>
      </c>
      <c r="E484" s="1" t="s">
        <v>1506</v>
      </c>
    </row>
    <row r="485">
      <c r="A485" s="1">
        <v>1.8374430855E10</v>
      </c>
      <c r="B485" s="1" t="s">
        <v>1556</v>
      </c>
      <c r="C485" s="1" t="s">
        <v>1092</v>
      </c>
      <c r="D485" s="1">
        <v>9854802.0</v>
      </c>
      <c r="E485" s="1" t="s">
        <v>1506</v>
      </c>
    </row>
    <row r="486">
      <c r="A486" s="1">
        <v>1.8374430712E10</v>
      </c>
      <c r="B486" s="1" t="s">
        <v>533</v>
      </c>
      <c r="C486" s="1" t="s">
        <v>1092</v>
      </c>
      <c r="D486" s="1">
        <v>9854802.0</v>
      </c>
      <c r="E486" s="1" t="s">
        <v>1506</v>
      </c>
    </row>
    <row r="487">
      <c r="A487" s="1">
        <v>1.8374429908E10</v>
      </c>
      <c r="B487" s="1" t="s">
        <v>1557</v>
      </c>
      <c r="C487" s="1" t="s">
        <v>1092</v>
      </c>
      <c r="D487" s="1">
        <v>9854802.0</v>
      </c>
      <c r="E487" s="1" t="s">
        <v>1506</v>
      </c>
    </row>
    <row r="488">
      <c r="A488" s="1">
        <v>1.8374429805E10</v>
      </c>
      <c r="B488" s="1" t="s">
        <v>1558</v>
      </c>
      <c r="C488" s="1" t="s">
        <v>1092</v>
      </c>
      <c r="D488" s="1">
        <v>9854802.0</v>
      </c>
      <c r="E488" s="1" t="s">
        <v>1506</v>
      </c>
    </row>
    <row r="489">
      <c r="A489" s="1">
        <v>1.837442867E10</v>
      </c>
      <c r="B489" s="1" t="s">
        <v>1559</v>
      </c>
      <c r="C489" s="1" t="s">
        <v>1092</v>
      </c>
      <c r="D489" s="1">
        <v>9854802.0</v>
      </c>
      <c r="E489" s="1" t="s">
        <v>1506</v>
      </c>
    </row>
    <row r="490">
      <c r="A490" s="1">
        <v>1.8374428559E10</v>
      </c>
      <c r="B490" s="1" t="s">
        <v>872</v>
      </c>
      <c r="C490" s="1" t="s">
        <v>1092</v>
      </c>
      <c r="D490" s="1">
        <v>9854802.0</v>
      </c>
      <c r="E490" s="1" t="s">
        <v>1506</v>
      </c>
    </row>
    <row r="491">
      <c r="A491" s="1">
        <v>1.8374427965E10</v>
      </c>
      <c r="B491" s="1" t="s">
        <v>1560</v>
      </c>
      <c r="C491" s="1" t="s">
        <v>1092</v>
      </c>
      <c r="D491" s="1">
        <v>9854802.0</v>
      </c>
      <c r="E491" s="1" t="s">
        <v>1506</v>
      </c>
    </row>
    <row r="492">
      <c r="A492" s="1">
        <v>1.837442789E10</v>
      </c>
      <c r="B492" s="1" t="s">
        <v>541</v>
      </c>
      <c r="C492" s="1" t="s">
        <v>1092</v>
      </c>
      <c r="D492" s="1">
        <v>9854802.0</v>
      </c>
      <c r="E492" s="1" t="s">
        <v>1506</v>
      </c>
    </row>
    <row r="493">
      <c r="A493" s="1">
        <v>1.8374426202E10</v>
      </c>
      <c r="B493" s="1" t="s">
        <v>1561</v>
      </c>
      <c r="C493" s="1" t="s">
        <v>1092</v>
      </c>
      <c r="D493" s="1">
        <v>9854802.0</v>
      </c>
      <c r="E493" s="1" t="s">
        <v>1506</v>
      </c>
    </row>
    <row r="494">
      <c r="A494" s="1">
        <v>1.837442613E10</v>
      </c>
      <c r="B494" s="1" t="s">
        <v>1562</v>
      </c>
      <c r="C494" s="1" t="s">
        <v>1092</v>
      </c>
      <c r="D494" s="1">
        <v>9854802.0</v>
      </c>
      <c r="E494" s="1" t="s">
        <v>1506</v>
      </c>
    </row>
    <row r="495">
      <c r="A495" s="1">
        <v>1.8374425133E10</v>
      </c>
      <c r="B495" s="1" t="s">
        <v>1563</v>
      </c>
      <c r="C495" s="1" t="s">
        <v>1092</v>
      </c>
      <c r="D495" s="1">
        <v>9854802.0</v>
      </c>
      <c r="E495" s="1" t="s">
        <v>1506</v>
      </c>
    </row>
    <row r="496">
      <c r="A496" s="1">
        <v>1.8374424994E10</v>
      </c>
      <c r="B496" s="1" t="s">
        <v>293</v>
      </c>
      <c r="C496" s="1" t="s">
        <v>1092</v>
      </c>
      <c r="D496" s="1">
        <v>9854802.0</v>
      </c>
      <c r="E496" s="1" t="s">
        <v>1506</v>
      </c>
    </row>
    <row r="497">
      <c r="A497" s="1">
        <v>1.8374424239E10</v>
      </c>
      <c r="B497" s="1" t="s">
        <v>1564</v>
      </c>
      <c r="C497" s="1" t="s">
        <v>1092</v>
      </c>
      <c r="D497" s="1">
        <v>9854802.0</v>
      </c>
      <c r="E497" s="1" t="s">
        <v>1506</v>
      </c>
    </row>
    <row r="498">
      <c r="A498" s="1">
        <v>1.8374424168E10</v>
      </c>
      <c r="B498" s="1" t="s">
        <v>531</v>
      </c>
      <c r="C498" s="1" t="s">
        <v>1092</v>
      </c>
      <c r="D498" s="1">
        <v>9854802.0</v>
      </c>
      <c r="E498" s="1" t="s">
        <v>1506</v>
      </c>
    </row>
    <row r="499">
      <c r="A499" s="1">
        <v>1.8374423111E10</v>
      </c>
      <c r="B499" s="1" t="s">
        <v>1565</v>
      </c>
      <c r="C499" s="1" t="s">
        <v>1092</v>
      </c>
      <c r="D499" s="1">
        <v>9854802.0</v>
      </c>
      <c r="E499" s="1" t="s">
        <v>1506</v>
      </c>
    </row>
    <row r="500">
      <c r="A500" s="1">
        <v>1.837442298E10</v>
      </c>
      <c r="B500" s="1" t="s">
        <v>527</v>
      </c>
      <c r="C500" s="1" t="s">
        <v>1092</v>
      </c>
      <c r="D500" s="1">
        <v>9854802.0</v>
      </c>
      <c r="E500" s="1" t="s">
        <v>1506</v>
      </c>
    </row>
    <row r="501">
      <c r="A501" s="1">
        <v>1.8374422381E10</v>
      </c>
      <c r="B501" s="1" t="s">
        <v>1566</v>
      </c>
      <c r="C501" s="1" t="s">
        <v>1092</v>
      </c>
      <c r="D501" s="1">
        <v>9854802.0</v>
      </c>
      <c r="E501" s="1" t="s">
        <v>1506</v>
      </c>
    </row>
    <row r="502">
      <c r="A502" s="1">
        <v>1.8374422315E10</v>
      </c>
      <c r="B502" s="1" t="s">
        <v>525</v>
      </c>
      <c r="C502" s="1" t="s">
        <v>1092</v>
      </c>
      <c r="D502" s="1">
        <v>9854802.0</v>
      </c>
      <c r="E502" s="1" t="s">
        <v>1506</v>
      </c>
    </row>
    <row r="503">
      <c r="A503" s="1">
        <v>1.8374421281E10</v>
      </c>
      <c r="B503" s="1" t="s">
        <v>1567</v>
      </c>
      <c r="C503" s="1" t="s">
        <v>1092</v>
      </c>
      <c r="D503" s="1">
        <v>9854802.0</v>
      </c>
      <c r="E503" s="1" t="s">
        <v>1506</v>
      </c>
    </row>
    <row r="504">
      <c r="A504" s="1">
        <v>1.8374421219E10</v>
      </c>
      <c r="B504" s="1" t="s">
        <v>523</v>
      </c>
      <c r="C504" s="1" t="s">
        <v>1092</v>
      </c>
      <c r="D504" s="1">
        <v>9854802.0</v>
      </c>
      <c r="E504" s="1" t="s">
        <v>1506</v>
      </c>
    </row>
    <row r="505">
      <c r="A505" s="1">
        <v>1.8374420002E10</v>
      </c>
      <c r="B505" s="1" t="s">
        <v>1568</v>
      </c>
      <c r="C505" s="1" t="s">
        <v>1092</v>
      </c>
      <c r="D505" s="1">
        <v>9854802.0</v>
      </c>
      <c r="E505" s="1" t="s">
        <v>1506</v>
      </c>
    </row>
    <row r="506">
      <c r="A506" s="1">
        <v>1.8374419937E10</v>
      </c>
      <c r="B506" s="1" t="s">
        <v>521</v>
      </c>
      <c r="C506" s="1" t="s">
        <v>1092</v>
      </c>
      <c r="D506" s="1">
        <v>9854802.0</v>
      </c>
      <c r="E506" s="1" t="s">
        <v>1506</v>
      </c>
    </row>
    <row r="507">
      <c r="A507" s="1">
        <v>1.8374418716E10</v>
      </c>
      <c r="B507" s="1" t="s">
        <v>1569</v>
      </c>
      <c r="C507" s="1" t="s">
        <v>1092</v>
      </c>
      <c r="D507" s="1">
        <v>9854802.0</v>
      </c>
      <c r="E507" s="1" t="s">
        <v>1506</v>
      </c>
    </row>
    <row r="508">
      <c r="A508" s="1">
        <v>1.8374418646E10</v>
      </c>
      <c r="B508" s="1" t="s">
        <v>512</v>
      </c>
      <c r="C508" s="1" t="s">
        <v>1092</v>
      </c>
      <c r="D508" s="1">
        <v>9854802.0</v>
      </c>
      <c r="E508" s="1" t="s">
        <v>1506</v>
      </c>
    </row>
    <row r="509">
      <c r="A509" s="1">
        <v>1.8374417249E10</v>
      </c>
      <c r="B509" s="1" t="s">
        <v>1570</v>
      </c>
      <c r="C509" s="1" t="s">
        <v>1092</v>
      </c>
      <c r="D509" s="1">
        <v>9854802.0</v>
      </c>
      <c r="E509" s="1" t="s">
        <v>1506</v>
      </c>
    </row>
    <row r="510">
      <c r="A510" s="1">
        <v>1.8374417107E10</v>
      </c>
      <c r="B510" s="1" t="s">
        <v>508</v>
      </c>
      <c r="C510" s="1" t="s">
        <v>1092</v>
      </c>
      <c r="D510" s="1">
        <v>9854802.0</v>
      </c>
      <c r="E510" s="1" t="s">
        <v>1506</v>
      </c>
    </row>
    <row r="511">
      <c r="A511" s="1">
        <v>1.8374415918E10</v>
      </c>
      <c r="B511" s="1" t="s">
        <v>1571</v>
      </c>
      <c r="C511" s="1" t="s">
        <v>1092</v>
      </c>
      <c r="D511" s="1">
        <v>9854802.0</v>
      </c>
      <c r="E511" s="1" t="s">
        <v>1506</v>
      </c>
    </row>
    <row r="512">
      <c r="A512" s="1">
        <v>1.8374415823E10</v>
      </c>
      <c r="B512" s="1" t="s">
        <v>503</v>
      </c>
      <c r="C512" s="1" t="s">
        <v>1092</v>
      </c>
      <c r="D512" s="1">
        <v>9854802.0</v>
      </c>
      <c r="E512" s="1" t="s">
        <v>1506</v>
      </c>
    </row>
    <row r="513">
      <c r="A513" s="1">
        <v>1.8374414096E10</v>
      </c>
      <c r="B513" s="1" t="s">
        <v>1572</v>
      </c>
      <c r="C513" s="1" t="s">
        <v>1092</v>
      </c>
      <c r="D513" s="1">
        <v>9854802.0</v>
      </c>
      <c r="E513" s="1" t="s">
        <v>1506</v>
      </c>
    </row>
    <row r="514">
      <c r="A514" s="1">
        <v>1.8374414016E10</v>
      </c>
      <c r="B514" s="1" t="s">
        <v>501</v>
      </c>
      <c r="C514" s="1" t="s">
        <v>1092</v>
      </c>
      <c r="D514" s="1">
        <v>9854802.0</v>
      </c>
      <c r="E514" s="1" t="s">
        <v>1506</v>
      </c>
    </row>
    <row r="515">
      <c r="A515" s="1">
        <v>1.8374412675E10</v>
      </c>
      <c r="B515" s="1" t="s">
        <v>1573</v>
      </c>
      <c r="C515" s="1" t="s">
        <v>1092</v>
      </c>
      <c r="D515" s="1">
        <v>9854802.0</v>
      </c>
      <c r="E515" s="1" t="s">
        <v>1506</v>
      </c>
    </row>
    <row r="516">
      <c r="A516" s="1">
        <v>1.8374412611E10</v>
      </c>
      <c r="B516" s="1" t="s">
        <v>493</v>
      </c>
      <c r="C516" s="1" t="s">
        <v>1092</v>
      </c>
      <c r="D516" s="1">
        <v>9854802.0</v>
      </c>
      <c r="E516" s="1" t="s">
        <v>1506</v>
      </c>
    </row>
    <row r="517">
      <c r="A517" s="1">
        <v>1.837441171E10</v>
      </c>
      <c r="B517" s="1" t="s">
        <v>1574</v>
      </c>
      <c r="C517" s="1" t="s">
        <v>1092</v>
      </c>
      <c r="D517" s="1">
        <v>9854802.0</v>
      </c>
      <c r="E517" s="1" t="s">
        <v>1506</v>
      </c>
    </row>
    <row r="518">
      <c r="A518" s="1">
        <v>1.8374411634E10</v>
      </c>
      <c r="B518" s="1" t="s">
        <v>488</v>
      </c>
      <c r="C518" s="1" t="s">
        <v>1092</v>
      </c>
      <c r="D518" s="1">
        <v>9854802.0</v>
      </c>
      <c r="E518" s="1" t="s">
        <v>1506</v>
      </c>
    </row>
    <row r="519">
      <c r="A519" s="1">
        <v>1.8374410339E10</v>
      </c>
      <c r="B519" s="1" t="s">
        <v>1575</v>
      </c>
      <c r="C519" s="1" t="s">
        <v>1092</v>
      </c>
      <c r="D519" s="1">
        <v>9854802.0</v>
      </c>
      <c r="E519" s="1" t="s">
        <v>1506</v>
      </c>
    </row>
    <row r="520">
      <c r="A520" s="1">
        <v>1.8374410292E10</v>
      </c>
      <c r="B520" s="1" t="s">
        <v>975</v>
      </c>
      <c r="C520" s="1" t="s">
        <v>1092</v>
      </c>
      <c r="D520" s="1">
        <v>9854802.0</v>
      </c>
      <c r="E520" s="1" t="s">
        <v>1506</v>
      </c>
    </row>
    <row r="521">
      <c r="A521" s="1">
        <v>1.8374409667E10</v>
      </c>
      <c r="B521" s="1" t="s">
        <v>1576</v>
      </c>
      <c r="C521" s="1" t="s">
        <v>1092</v>
      </c>
      <c r="D521" s="1">
        <v>9854802.0</v>
      </c>
      <c r="E521" s="1" t="s">
        <v>1506</v>
      </c>
    </row>
    <row r="522">
      <c r="A522" s="1">
        <v>1.8374409536E10</v>
      </c>
      <c r="B522" s="1" t="s">
        <v>484</v>
      </c>
      <c r="C522" s="1" t="s">
        <v>1092</v>
      </c>
      <c r="D522" s="1">
        <v>9854802.0</v>
      </c>
      <c r="E522" s="1" t="s">
        <v>1506</v>
      </c>
    </row>
    <row r="523">
      <c r="A523" s="1">
        <v>1.8374408162E10</v>
      </c>
      <c r="B523" s="1" t="s">
        <v>1577</v>
      </c>
      <c r="C523" s="1" t="s">
        <v>1092</v>
      </c>
      <c r="D523" s="1">
        <v>9854802.0</v>
      </c>
      <c r="E523" s="1" t="s">
        <v>1506</v>
      </c>
    </row>
    <row r="524">
      <c r="A524" s="1">
        <v>1.8374408106E10</v>
      </c>
      <c r="B524" s="1" t="s">
        <v>1011</v>
      </c>
      <c r="C524" s="1" t="s">
        <v>1092</v>
      </c>
      <c r="D524" s="1">
        <v>9854802.0</v>
      </c>
      <c r="E524" s="1" t="s">
        <v>1506</v>
      </c>
    </row>
    <row r="525">
      <c r="A525" s="1">
        <v>1.8374406573E10</v>
      </c>
      <c r="B525" s="1" t="s">
        <v>1578</v>
      </c>
      <c r="C525" s="1" t="s">
        <v>1092</v>
      </c>
      <c r="D525" s="1">
        <v>9854802.0</v>
      </c>
      <c r="E525" s="1" t="s">
        <v>1506</v>
      </c>
    </row>
    <row r="526">
      <c r="A526" s="1">
        <v>1.8374406517E10</v>
      </c>
      <c r="B526" s="1" t="s">
        <v>947</v>
      </c>
      <c r="C526" s="1" t="s">
        <v>1092</v>
      </c>
      <c r="D526" s="1">
        <v>9854802.0</v>
      </c>
      <c r="E526" s="1" t="s">
        <v>1506</v>
      </c>
    </row>
    <row r="527">
      <c r="A527" s="1">
        <v>1.8374404863E10</v>
      </c>
      <c r="B527" s="1" t="s">
        <v>1579</v>
      </c>
      <c r="C527" s="1" t="s">
        <v>1092</v>
      </c>
      <c r="D527" s="1">
        <v>9854802.0</v>
      </c>
      <c r="E527" s="1" t="s">
        <v>1506</v>
      </c>
    </row>
    <row r="528">
      <c r="A528" s="1">
        <v>1.8374404736E10</v>
      </c>
      <c r="B528" s="1" t="s">
        <v>462</v>
      </c>
      <c r="C528" s="1" t="s">
        <v>1092</v>
      </c>
      <c r="D528" s="1">
        <v>9854802.0</v>
      </c>
      <c r="E528" s="1" t="s">
        <v>1506</v>
      </c>
    </row>
    <row r="529">
      <c r="A529" s="1">
        <v>1.8374402915E10</v>
      </c>
      <c r="B529" s="1" t="s">
        <v>1580</v>
      </c>
      <c r="C529" s="1" t="s">
        <v>1092</v>
      </c>
      <c r="D529" s="1">
        <v>9854802.0</v>
      </c>
      <c r="E529" s="1" t="s">
        <v>1506</v>
      </c>
    </row>
    <row r="530">
      <c r="A530" s="1">
        <v>1.8374402861E10</v>
      </c>
      <c r="B530" s="1" t="s">
        <v>490</v>
      </c>
      <c r="C530" s="1" t="s">
        <v>1092</v>
      </c>
      <c r="D530" s="1">
        <v>9854802.0</v>
      </c>
      <c r="E530" s="1" t="s">
        <v>1506</v>
      </c>
    </row>
    <row r="531">
      <c r="A531" s="1">
        <v>1.8345142419E10</v>
      </c>
      <c r="B531" s="1" t="s">
        <v>1581</v>
      </c>
      <c r="C531" s="1" t="s">
        <v>1092</v>
      </c>
      <c r="D531" s="1">
        <v>9854802.0</v>
      </c>
      <c r="E531" s="1" t="s">
        <v>1506</v>
      </c>
    </row>
    <row r="532">
      <c r="A532" s="1">
        <v>1.8345142117E10</v>
      </c>
      <c r="B532" s="1" t="s">
        <v>423</v>
      </c>
      <c r="C532" s="1" t="s">
        <v>1092</v>
      </c>
      <c r="D532" s="1">
        <v>9854802.0</v>
      </c>
      <c r="E532" s="1" t="s">
        <v>1506</v>
      </c>
    </row>
    <row r="533">
      <c r="A533" s="1">
        <v>9.797873546E9</v>
      </c>
      <c r="B533" s="1" t="s">
        <v>1582</v>
      </c>
      <c r="C533" s="1" t="s">
        <v>1078</v>
      </c>
      <c r="D533" s="1">
        <v>9854802.0</v>
      </c>
      <c r="E533" s="1" t="s">
        <v>1506</v>
      </c>
    </row>
    <row r="534">
      <c r="A534" s="1">
        <v>9.791272683E9</v>
      </c>
      <c r="B534" s="1" t="s">
        <v>1583</v>
      </c>
      <c r="C534" s="1" t="s">
        <v>1092</v>
      </c>
      <c r="D534" s="1">
        <v>9854802.0</v>
      </c>
      <c r="E534" s="1" t="s">
        <v>1506</v>
      </c>
    </row>
    <row r="535">
      <c r="A535" s="1">
        <v>9.79127239E9</v>
      </c>
      <c r="B535" s="1" t="s">
        <v>49</v>
      </c>
      <c r="C535" s="1" t="s">
        <v>1092</v>
      </c>
      <c r="D535" s="1">
        <v>9854802.0</v>
      </c>
      <c r="E535" s="1" t="s">
        <v>1506</v>
      </c>
    </row>
    <row r="536">
      <c r="A536" s="1">
        <v>9.791256239E9</v>
      </c>
      <c r="B536" s="1" t="s">
        <v>1584</v>
      </c>
      <c r="C536" s="1" t="s">
        <v>1092</v>
      </c>
      <c r="D536" s="1">
        <v>9854802.0</v>
      </c>
      <c r="E536" s="1" t="s">
        <v>1506</v>
      </c>
    </row>
    <row r="537">
      <c r="A537" s="1">
        <v>9.791255941E9</v>
      </c>
      <c r="B537" s="1" t="s">
        <v>30</v>
      </c>
      <c r="C537" s="1" t="s">
        <v>1092</v>
      </c>
      <c r="D537" s="1">
        <v>9854802.0</v>
      </c>
      <c r="E537" s="1" t="s">
        <v>1506</v>
      </c>
    </row>
    <row r="538">
      <c r="A538" s="1">
        <v>9.770467355E9</v>
      </c>
      <c r="B538" s="1" t="s">
        <v>893</v>
      </c>
      <c r="C538" s="1" t="s">
        <v>1092</v>
      </c>
      <c r="D538" s="1">
        <v>9854802.0</v>
      </c>
      <c r="E538" s="1" t="s">
        <v>1506</v>
      </c>
    </row>
    <row r="539">
      <c r="A539" s="1">
        <v>9.710279182E9</v>
      </c>
      <c r="B539" s="1" t="s">
        <v>1585</v>
      </c>
      <c r="C539" s="1" t="s">
        <v>1092</v>
      </c>
      <c r="D539" s="1">
        <v>9854802.0</v>
      </c>
      <c r="E539" s="1" t="s">
        <v>1506</v>
      </c>
    </row>
    <row r="540">
      <c r="A540" s="1">
        <v>9.710279044E9</v>
      </c>
      <c r="B540" s="1" t="s">
        <v>1586</v>
      </c>
      <c r="C540" s="1" t="s">
        <v>1092</v>
      </c>
      <c r="D540" s="1">
        <v>9854802.0</v>
      </c>
      <c r="E540" s="1" t="s">
        <v>1506</v>
      </c>
    </row>
    <row r="541">
      <c r="A541" s="1">
        <v>9.696229379E9</v>
      </c>
      <c r="B541" s="1" t="s">
        <v>1587</v>
      </c>
      <c r="C541" s="1" t="s">
        <v>1092</v>
      </c>
      <c r="D541" s="1">
        <v>9854802.0</v>
      </c>
      <c r="E541" s="1" t="s">
        <v>1506</v>
      </c>
    </row>
    <row r="542">
      <c r="A542" s="1">
        <v>9.696229134E9</v>
      </c>
      <c r="B542" s="1" t="s">
        <v>517</v>
      </c>
      <c r="C542" s="1" t="s">
        <v>1092</v>
      </c>
      <c r="D542" s="1">
        <v>9854802.0</v>
      </c>
      <c r="E542" s="1" t="s">
        <v>1506</v>
      </c>
    </row>
    <row r="543">
      <c r="A543" s="1">
        <v>9.696217446E9</v>
      </c>
      <c r="B543" s="1" t="s">
        <v>1588</v>
      </c>
      <c r="C543" s="1" t="s">
        <v>1092</v>
      </c>
      <c r="D543" s="1">
        <v>9854802.0</v>
      </c>
      <c r="E543" s="1" t="s">
        <v>1506</v>
      </c>
    </row>
    <row r="544">
      <c r="A544" s="1">
        <v>9.696216163E9</v>
      </c>
      <c r="B544" s="1" t="s">
        <v>510</v>
      </c>
      <c r="C544" s="1" t="s">
        <v>1092</v>
      </c>
      <c r="D544" s="1">
        <v>9854802.0</v>
      </c>
      <c r="E544" s="1" t="s">
        <v>1506</v>
      </c>
    </row>
    <row r="545">
      <c r="A545" s="1">
        <v>9.696210526E9</v>
      </c>
      <c r="B545" s="1" t="s">
        <v>1589</v>
      </c>
      <c r="C545" s="1" t="s">
        <v>1092</v>
      </c>
      <c r="D545" s="1">
        <v>9854802.0</v>
      </c>
      <c r="E545" s="1" t="s">
        <v>1506</v>
      </c>
    </row>
    <row r="546">
      <c r="A546" s="1">
        <v>9.69620997E9</v>
      </c>
      <c r="B546" s="1" t="s">
        <v>1590</v>
      </c>
      <c r="C546" s="1" t="s">
        <v>1092</v>
      </c>
      <c r="D546" s="1">
        <v>9854802.0</v>
      </c>
      <c r="E546" s="1" t="s">
        <v>1506</v>
      </c>
    </row>
    <row r="547">
      <c r="A547" s="1">
        <v>9.696209898E9</v>
      </c>
      <c r="B547" s="1" t="s">
        <v>241</v>
      </c>
      <c r="C547" s="1" t="s">
        <v>1092</v>
      </c>
      <c r="D547" s="1">
        <v>9854802.0</v>
      </c>
      <c r="E547" s="1" t="s">
        <v>1506</v>
      </c>
    </row>
    <row r="548">
      <c r="A548" s="1">
        <v>9.696209476E9</v>
      </c>
      <c r="B548" s="1" t="s">
        <v>478</v>
      </c>
      <c r="C548" s="1" t="s">
        <v>1092</v>
      </c>
      <c r="D548" s="1">
        <v>9854802.0</v>
      </c>
      <c r="E548" s="1" t="s">
        <v>1506</v>
      </c>
    </row>
    <row r="549">
      <c r="A549" s="1">
        <v>9.696209386E9</v>
      </c>
      <c r="B549" s="1" t="s">
        <v>1591</v>
      </c>
      <c r="C549" s="1" t="s">
        <v>1092</v>
      </c>
      <c r="D549" s="1">
        <v>9854802.0</v>
      </c>
      <c r="E549" s="1" t="s">
        <v>1506</v>
      </c>
    </row>
    <row r="550">
      <c r="A550" s="1">
        <v>9.696208747E9</v>
      </c>
      <c r="B550" s="1" t="s">
        <v>1038</v>
      </c>
      <c r="C550" s="1" t="s">
        <v>1092</v>
      </c>
      <c r="D550" s="1">
        <v>9854802.0</v>
      </c>
      <c r="E550" s="1" t="s">
        <v>1506</v>
      </c>
    </row>
    <row r="551">
      <c r="A551" s="1">
        <v>9.696206963E9</v>
      </c>
      <c r="B551" s="1" t="s">
        <v>1592</v>
      </c>
      <c r="C551" s="1" t="s">
        <v>1092</v>
      </c>
      <c r="D551" s="1">
        <v>9854802.0</v>
      </c>
      <c r="E551" s="1" t="s">
        <v>1506</v>
      </c>
    </row>
    <row r="552">
      <c r="A552" s="1">
        <v>9.696206264E9</v>
      </c>
      <c r="B552" s="1" t="s">
        <v>281</v>
      </c>
      <c r="C552" s="1" t="s">
        <v>1092</v>
      </c>
      <c r="D552" s="1">
        <v>9854802.0</v>
      </c>
      <c r="E552" s="1" t="s">
        <v>1506</v>
      </c>
    </row>
    <row r="553">
      <c r="A553" s="1">
        <v>9.696205684E9</v>
      </c>
      <c r="B553" s="1" t="s">
        <v>1593</v>
      </c>
      <c r="C553" s="1" t="s">
        <v>1092</v>
      </c>
      <c r="D553" s="1">
        <v>9854802.0</v>
      </c>
      <c r="E553" s="1" t="s">
        <v>1506</v>
      </c>
    </row>
    <row r="554">
      <c r="A554" s="1">
        <v>9.696205105E9</v>
      </c>
      <c r="B554" s="1" t="s">
        <v>1594</v>
      </c>
      <c r="C554" s="1" t="s">
        <v>1092</v>
      </c>
      <c r="D554" s="1">
        <v>9854802.0</v>
      </c>
      <c r="E554" s="1" t="s">
        <v>1506</v>
      </c>
    </row>
    <row r="555">
      <c r="A555" s="1">
        <v>9.696205003E9</v>
      </c>
      <c r="B555" s="1" t="s">
        <v>278</v>
      </c>
      <c r="C555" s="1" t="s">
        <v>1092</v>
      </c>
      <c r="D555" s="1">
        <v>9854802.0</v>
      </c>
      <c r="E555" s="1" t="s">
        <v>1506</v>
      </c>
    </row>
    <row r="556">
      <c r="A556" s="1">
        <v>9.696204464E9</v>
      </c>
      <c r="B556" s="1" t="s">
        <v>970</v>
      </c>
      <c r="C556" s="1" t="s">
        <v>1092</v>
      </c>
      <c r="D556" s="1">
        <v>9854802.0</v>
      </c>
      <c r="E556" s="1" t="s">
        <v>1506</v>
      </c>
    </row>
    <row r="557">
      <c r="A557" s="1">
        <v>9.673098968E9</v>
      </c>
      <c r="B557" s="1" t="s">
        <v>1595</v>
      </c>
      <c r="C557" s="1" t="s">
        <v>1596</v>
      </c>
      <c r="D557" s="1">
        <v>9854802.0</v>
      </c>
      <c r="E557" s="1" t="s">
        <v>1506</v>
      </c>
    </row>
    <row r="558">
      <c r="A558" s="1">
        <v>9.673098137E9</v>
      </c>
      <c r="B558" s="1" t="s">
        <v>1595</v>
      </c>
      <c r="C558" s="1" t="s">
        <v>1596</v>
      </c>
      <c r="D558" s="1">
        <v>9854802.0</v>
      </c>
      <c r="E558" s="1" t="s">
        <v>1506</v>
      </c>
    </row>
    <row r="559">
      <c r="A559" s="1">
        <v>8.979315331E9</v>
      </c>
      <c r="B559" s="1" t="s">
        <v>1597</v>
      </c>
      <c r="C559" s="1" t="s">
        <v>1092</v>
      </c>
      <c r="D559" s="1">
        <v>9854802.0</v>
      </c>
      <c r="E559" s="1" t="s">
        <v>1506</v>
      </c>
    </row>
    <row r="560">
      <c r="A560" s="1">
        <v>8.741572735E9</v>
      </c>
      <c r="B560" s="1" t="s">
        <v>1598</v>
      </c>
      <c r="C560" s="1" t="s">
        <v>1092</v>
      </c>
      <c r="D560" s="1">
        <v>9854802.0</v>
      </c>
      <c r="E560" s="1" t="s">
        <v>1506</v>
      </c>
    </row>
    <row r="561">
      <c r="A561" s="1">
        <v>8.741572581E9</v>
      </c>
      <c r="B561" s="1" t="s">
        <v>1009</v>
      </c>
      <c r="C561" s="1" t="s">
        <v>1092</v>
      </c>
      <c r="D561" s="1">
        <v>9854802.0</v>
      </c>
      <c r="E561" s="1" t="s">
        <v>1506</v>
      </c>
    </row>
    <row r="562">
      <c r="A562" s="1">
        <v>8.741568712E9</v>
      </c>
      <c r="B562" s="1" t="s">
        <v>1599</v>
      </c>
      <c r="C562" s="1" t="s">
        <v>1092</v>
      </c>
      <c r="D562" s="1">
        <v>9854802.0</v>
      </c>
      <c r="E562" s="1" t="s">
        <v>1506</v>
      </c>
    </row>
    <row r="563">
      <c r="A563" s="1">
        <v>8.741568589E9</v>
      </c>
      <c r="B563" s="1" t="s">
        <v>304</v>
      </c>
      <c r="C563" s="1" t="s">
        <v>1092</v>
      </c>
      <c r="D563" s="1">
        <v>9854802.0</v>
      </c>
      <c r="E563" s="1" t="s">
        <v>1506</v>
      </c>
    </row>
    <row r="564">
      <c r="A564" s="1">
        <v>8.741557168E9</v>
      </c>
      <c r="B564" s="1" t="s">
        <v>1600</v>
      </c>
      <c r="C564" s="1" t="s">
        <v>1092</v>
      </c>
      <c r="D564" s="1">
        <v>9854802.0</v>
      </c>
      <c r="E564" s="1" t="s">
        <v>1506</v>
      </c>
    </row>
    <row r="565">
      <c r="A565" s="1">
        <v>8.741556925E9</v>
      </c>
      <c r="B565" s="1" t="s">
        <v>1055</v>
      </c>
      <c r="C565" s="1" t="s">
        <v>1092</v>
      </c>
      <c r="D565" s="1">
        <v>9854802.0</v>
      </c>
      <c r="E565" s="1" t="s">
        <v>1506</v>
      </c>
    </row>
    <row r="566">
      <c r="A566" s="1">
        <v>8.736873313E9</v>
      </c>
      <c r="B566" s="1" t="s">
        <v>1601</v>
      </c>
      <c r="C566" s="1" t="s">
        <v>1092</v>
      </c>
      <c r="D566" s="1">
        <v>9854802.0</v>
      </c>
      <c r="E566" s="1" t="s">
        <v>1506</v>
      </c>
    </row>
    <row r="567">
      <c r="A567" s="1">
        <v>8.705508201E9</v>
      </c>
      <c r="B567" s="1" t="s">
        <v>1602</v>
      </c>
      <c r="C567" s="1" t="s">
        <v>1078</v>
      </c>
      <c r="D567" s="1">
        <v>9854802.0</v>
      </c>
      <c r="E567" s="1" t="s">
        <v>1506</v>
      </c>
    </row>
    <row r="568">
      <c r="A568" s="1">
        <v>8.666541741E9</v>
      </c>
      <c r="B568" s="1" t="s">
        <v>1603</v>
      </c>
      <c r="C568" s="1" t="s">
        <v>1092</v>
      </c>
      <c r="D568" s="1">
        <v>9854802.0</v>
      </c>
      <c r="E568" s="1" t="s">
        <v>1506</v>
      </c>
    </row>
    <row r="569">
      <c r="A569" s="1">
        <v>8.576600556E9</v>
      </c>
      <c r="B569" s="1" t="s">
        <v>1604</v>
      </c>
      <c r="C569" s="1" t="s">
        <v>1092</v>
      </c>
      <c r="D569" s="1">
        <v>9854802.0</v>
      </c>
      <c r="E569" s="1" t="s">
        <v>1506</v>
      </c>
    </row>
    <row r="570">
      <c r="A570" s="1">
        <v>8.576506249E9</v>
      </c>
      <c r="B570" s="1" t="s">
        <v>1022</v>
      </c>
      <c r="C570" s="1" t="s">
        <v>1092</v>
      </c>
      <c r="D570" s="1">
        <v>9854802.0</v>
      </c>
      <c r="E570" s="1" t="s">
        <v>1506</v>
      </c>
    </row>
    <row r="571">
      <c r="A571" s="1">
        <v>8.564058547E9</v>
      </c>
      <c r="B571" s="1" t="s">
        <v>1605</v>
      </c>
      <c r="C571" s="1" t="s">
        <v>1092</v>
      </c>
      <c r="D571" s="1">
        <v>9854802.0</v>
      </c>
      <c r="E571" s="1" t="s">
        <v>1506</v>
      </c>
    </row>
    <row r="572">
      <c r="A572" s="1">
        <v>8.522547711E9</v>
      </c>
      <c r="B572" s="1" t="s">
        <v>1026</v>
      </c>
      <c r="C572" s="1" t="s">
        <v>1092</v>
      </c>
      <c r="D572" s="1">
        <v>9854802.0</v>
      </c>
      <c r="E572" s="1" t="s">
        <v>1506</v>
      </c>
    </row>
    <row r="573">
      <c r="A573" s="1">
        <v>8.474047229E9</v>
      </c>
      <c r="B573" s="1" t="s">
        <v>1064</v>
      </c>
      <c r="C573" s="1" t="s">
        <v>1092</v>
      </c>
      <c r="D573" s="1">
        <v>9854802.0</v>
      </c>
      <c r="E573" s="1" t="s">
        <v>1506</v>
      </c>
    </row>
    <row r="574">
      <c r="A574" s="1">
        <v>8.465980366E9</v>
      </c>
      <c r="B574" s="1" t="s">
        <v>271</v>
      </c>
      <c r="C574" s="1" t="s">
        <v>1092</v>
      </c>
      <c r="D574" s="1">
        <v>9854802.0</v>
      </c>
      <c r="E574" s="1" t="s">
        <v>1506</v>
      </c>
    </row>
    <row r="575">
      <c r="A575" s="1">
        <v>8.463767815E9</v>
      </c>
      <c r="B575" s="1" t="s">
        <v>1030</v>
      </c>
      <c r="C575" s="1" t="s">
        <v>1092</v>
      </c>
      <c r="D575" s="1">
        <v>9854802.0</v>
      </c>
      <c r="E575" s="1" t="s">
        <v>1506</v>
      </c>
    </row>
    <row r="576">
      <c r="A576" s="1">
        <v>9.585296338E9</v>
      </c>
      <c r="B576" s="1" t="s">
        <v>1606</v>
      </c>
      <c r="C576" s="1" t="s">
        <v>1092</v>
      </c>
      <c r="D576" s="1">
        <v>1.1633275E7</v>
      </c>
      <c r="E576" s="1" t="s">
        <v>1607</v>
      </c>
    </row>
    <row r="577">
      <c r="A577" s="1">
        <v>9.585231598E9</v>
      </c>
      <c r="B577" s="1" t="s">
        <v>1608</v>
      </c>
      <c r="C577" s="1" t="s">
        <v>1092</v>
      </c>
      <c r="D577" s="1">
        <v>1.1633275E7</v>
      </c>
      <c r="E577" s="1" t="s">
        <v>1607</v>
      </c>
    </row>
  </sheetData>
  <drawing r:id="rId1"/>
</worksheet>
</file>